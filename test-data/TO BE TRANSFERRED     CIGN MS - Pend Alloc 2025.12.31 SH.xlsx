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aia1.sharepoint.com/sites/external-support/Shared Documents/Ext FS/Accounting/1. Commission Processing/08. Comm Stmts for Review/"/>
    </mc:Choice>
  </mc:AlternateContent>
  <xr:revisionPtr revIDLastSave="0" documentId="8_{ADDC1AB4-BE34-4A55-AEEB-03B0DDBBE89B}" xr6:coauthVersionLast="47" xr6:coauthVersionMax="47" xr10:uidLastSave="{00000000-0000-0000-0000-000000000000}"/>
  <bookViews>
    <workbookView xWindow="-108" yWindow="-108" windowWidth="23256" windowHeight="12576" tabRatio="817" firstSheet="3" activeTab="3" xr2:uid="{400EC790-1E51-4F47-A515-519232D51454}"/>
  </bookViews>
  <sheets>
    <sheet name="NOTES" sheetId="4" r:id="rId1"/>
    <sheet name="Allocation Summary" sheetId="11" r:id="rId2"/>
    <sheet name="CIGN CF 2025.12.31" sheetId="13" r:id="rId3"/>
    <sheet name="CIGN MS Alloc 2025.12.31" sheetId="1" r:id="rId4"/>
    <sheet name="CIGN MS House 2025.12.31" sheetId="29" r:id="rId5"/>
    <sheet name="TEMP" sheetId="10" r:id="rId6"/>
    <sheet name="Clifford" sheetId="15" r:id="rId7"/>
    <sheet name="O&amp;A" sheetId="16" r:id="rId8"/>
    <sheet name="PGP" sheetId="18" r:id="rId9"/>
    <sheet name="PTI" sheetId="19" r:id="rId10"/>
    <sheet name="Senior" sheetId="22" r:id="rId11"/>
    <sheet name="TSIB" sheetId="17" r:id="rId12"/>
    <sheet name="Wizdom" sheetId="20" r:id="rId13"/>
    <sheet name="Beuttel" sheetId="14" r:id="rId14"/>
    <sheet name="D'Angelo" sheetId="21" r:id="rId15"/>
    <sheet name="Nesbitt" sheetId="23" r:id="rId16"/>
    <sheet name="JWA Upline CIGN MS 2025.12.31" sheetId="24" r:id="rId17"/>
    <sheet name="Sheet1" sheetId="12" state="hidden" r:id="rId18"/>
    <sheet name="Carrier Names" sheetId="5" state="hidden" r:id="rId19"/>
  </sheets>
  <externalReferences>
    <externalReference r:id="rId20"/>
    <externalReference r:id="rId21"/>
  </externalReferences>
  <definedNames>
    <definedName name="_xlnm._FilterDatabase" localSheetId="13" hidden="1">Beuttel!$A$26:$CH$26</definedName>
    <definedName name="_xlnm._FilterDatabase" localSheetId="18" hidden="1">'Carrier Names'!$A$1:$D$1</definedName>
    <definedName name="_xlnm._FilterDatabase" localSheetId="2" hidden="1">'CIGN CF 2025.12.31'!$A$23:$CK$23</definedName>
    <definedName name="_xlnm._FilterDatabase" localSheetId="3" hidden="1">'CIGN MS Alloc 2025.12.31'!$A$11:$CG$82</definedName>
    <definedName name="_xlnm._FilterDatabase" localSheetId="4" hidden="1">'CIGN MS House 2025.12.31'!$A$11:$CG$82</definedName>
    <definedName name="_xlnm._FilterDatabase" localSheetId="6" hidden="1">Clifford!$A$26:$CH$26</definedName>
    <definedName name="_xlnm._FilterDatabase" localSheetId="14" hidden="1">'D''Angelo'!$A$26:$CH$26</definedName>
    <definedName name="_xlnm._FilterDatabase" localSheetId="16" hidden="1">'JWA Upline CIGN MS 2025.12.31'!$A$26:$CH$26</definedName>
    <definedName name="_xlnm._FilterDatabase" localSheetId="15" hidden="1">Nesbitt!$A$26:$CH$26</definedName>
    <definedName name="_xlnm._FilterDatabase" localSheetId="7" hidden="1">'O&amp;A'!$A$26:$CH$26</definedName>
    <definedName name="_xlnm._FilterDatabase" localSheetId="8" hidden="1">PGP!$A$26:$CH$26</definedName>
    <definedName name="_xlnm._FilterDatabase" localSheetId="9" hidden="1">PTI!$A$26:$CH$26</definedName>
    <definedName name="_xlnm._FilterDatabase" localSheetId="10" hidden="1">Senior!$A$26:$CH$26</definedName>
    <definedName name="_xlnm._FilterDatabase" localSheetId="5" hidden="1">TEMP!$A$26:$CH$26</definedName>
    <definedName name="_xlnm._FilterDatabase" localSheetId="11" hidden="1">TSIB!$A$26:$CH$26</definedName>
    <definedName name="_xlnm._FilterDatabase" localSheetId="12" hidden="1">Wizdom!$A$26:$CH$26</definedName>
    <definedName name="ca" localSheetId="2">[1]Sheet2!$A:$A</definedName>
    <definedName name="ca">[1]Sheet2!$A:$A</definedName>
    <definedName name="CAR">[2]Sheet2!$A:$A</definedName>
    <definedName name="carr">[2]Sheet2!$A:$A</definedName>
    <definedName name="Carrier">[2]Sheet2!$A:$A</definedName>
    <definedName name="Carrier1">[2]Sheet2!$A:$A</definedName>
    <definedName name="Carrier10" localSheetId="2">[1]Sheet2!$A:$A</definedName>
    <definedName name="Carrier10">[1]Sheet2!$A:$A</definedName>
    <definedName name="Carrier3">[2]Sheet2!$A:$A</definedName>
    <definedName name="carrier5">[2]Sheet2!$A:$A</definedName>
    <definedName name="CARRIER6">[2]Sheet2!$A:$A</definedName>
    <definedName name="Carrier7">[2]Sheet2!$A:$A</definedName>
    <definedName name="_xlnm.Print_Area" localSheetId="13">Beuttel!$A$1:$BH$28</definedName>
    <definedName name="_xlnm.Print_Area" localSheetId="2">'CIGN CF 2025.12.31'!$A$1:$BF$28</definedName>
    <definedName name="_xlnm.Print_Area" localSheetId="3">'CIGN MS Alloc 2025.12.31'!$A$1:$BH$92</definedName>
    <definedName name="_xlnm.Print_Area" localSheetId="4">'CIGN MS House 2025.12.31'!$A$1:$BH$92</definedName>
    <definedName name="_xlnm.Print_Area" localSheetId="6">Clifford!$A$1:$BH$34</definedName>
    <definedName name="_xlnm.Print_Area" localSheetId="14">'D''Angelo'!$A$1:$BH$28</definedName>
    <definedName name="_xlnm.Print_Area" localSheetId="16">'JWA Upline CIGN MS 2025.12.31'!$A$1:$BH$28</definedName>
    <definedName name="_xlnm.Print_Area" localSheetId="15">Nesbitt!$A$1:$BH$28</definedName>
    <definedName name="_xlnm.Print_Area" localSheetId="7">'O&amp;A'!$A$1:$BH$29</definedName>
    <definedName name="_xlnm.Print_Area" localSheetId="8">PGP!$A$1:$BH$36</definedName>
    <definedName name="_xlnm.Print_Area" localSheetId="9">PTI!$A$1:$BH$46</definedName>
    <definedName name="_xlnm.Print_Area" localSheetId="10">Senior!$A$1:$BH$29</definedName>
    <definedName name="_xlnm.Print_Area" localSheetId="5">TEMP!$A$1:$BH$64</definedName>
    <definedName name="_xlnm.Print_Area" localSheetId="11">TSIB!$A$1:$BH$41</definedName>
    <definedName name="_xlnm.Print_Area" localSheetId="12">Wizdom!$A$1:$BH$47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87" i="29" l="1"/>
  <c r="AY91" i="29" s="1"/>
  <c r="AX87" i="29"/>
  <c r="AX91" i="29" s="1"/>
  <c r="AS87" i="29"/>
  <c r="AS91" i="29" s="1"/>
  <c r="AP87" i="29"/>
  <c r="AP91" i="29" s="1"/>
  <c r="AM87" i="29"/>
  <c r="AM91" i="29" s="1"/>
  <c r="BG82" i="29"/>
  <c r="BG87" i="29" s="1"/>
  <c r="BG91" i="29" s="1"/>
  <c r="BF82" i="29"/>
  <c r="BF87" i="29" s="1"/>
  <c r="BF91" i="29" s="1"/>
  <c r="BE82" i="29"/>
  <c r="BE87" i="29" s="1"/>
  <c r="BE91" i="29" s="1"/>
  <c r="BD82" i="29"/>
  <c r="BC82" i="29"/>
  <c r="BB82" i="29"/>
  <c r="BB87" i="29" s="1"/>
  <c r="BB91" i="29" s="1"/>
  <c r="BA82" i="29"/>
  <c r="BA87" i="29" s="1"/>
  <c r="BA91" i="29" s="1"/>
  <c r="AZ82" i="29"/>
  <c r="AZ87" i="29" s="1"/>
  <c r="AZ91" i="29" s="1"/>
  <c r="AY82" i="29"/>
  <c r="AX82" i="29"/>
  <c r="AW82" i="29"/>
  <c r="AW87" i="29" s="1"/>
  <c r="AW91" i="29" s="1"/>
  <c r="AV82" i="29"/>
  <c r="AU82" i="29"/>
  <c r="AT82" i="29"/>
  <c r="AT87" i="29" s="1"/>
  <c r="AT91" i="29" s="1"/>
  <c r="AS82" i="29"/>
  <c r="AR82" i="29"/>
  <c r="AR87" i="29" s="1"/>
  <c r="AR91" i="29" s="1"/>
  <c r="AQ82" i="29"/>
  <c r="AQ87" i="29" s="1"/>
  <c r="AQ91" i="29" s="1"/>
  <c r="AP82" i="29"/>
  <c r="AO82" i="29"/>
  <c r="AO87" i="29" s="1"/>
  <c r="AO91" i="29" s="1"/>
  <c r="AN82" i="29"/>
  <c r="AN87" i="29" s="1"/>
  <c r="AN91" i="29" s="1"/>
  <c r="AM82" i="29"/>
  <c r="AL82" i="29"/>
  <c r="AK82" i="29"/>
  <c r="AK87" i="29" s="1"/>
  <c r="AK91" i="29" s="1"/>
  <c r="AJ82" i="29"/>
  <c r="AJ87" i="29" s="1"/>
  <c r="AJ91" i="29" s="1"/>
  <c r="AI82" i="29"/>
  <c r="AI87" i="29" s="1"/>
  <c r="AI91" i="29" s="1"/>
  <c r="AH82" i="29"/>
  <c r="AH87" i="29" s="1"/>
  <c r="AH91" i="29" s="1"/>
  <c r="AG82" i="29"/>
  <c r="AG87" i="29" s="1"/>
  <c r="AF82" i="29"/>
  <c r="AF87" i="29" s="1"/>
  <c r="AE82" i="29"/>
  <c r="AE87" i="29" s="1"/>
  <c r="AD82" i="29"/>
  <c r="AD87" i="29" s="1"/>
  <c r="AD91" i="29" s="1"/>
  <c r="AC82" i="29"/>
  <c r="AB82" i="29"/>
  <c r="AA82" i="29"/>
  <c r="A9" i="29"/>
  <c r="BG28" i="22"/>
  <c r="BG27" i="22"/>
  <c r="BG28" i="20"/>
  <c r="BG29" i="20"/>
  <c r="BG30" i="20"/>
  <c r="BG31" i="20"/>
  <c r="BG32" i="20"/>
  <c r="BG33" i="20"/>
  <c r="BG48" i="20" s="1"/>
  <c r="BG34" i="20"/>
  <c r="BG35" i="20"/>
  <c r="BG36" i="20"/>
  <c r="BG37" i="20"/>
  <c r="BG38" i="20"/>
  <c r="BG39" i="20"/>
  <c r="BG40" i="20"/>
  <c r="BG41" i="20"/>
  <c r="BG42" i="20"/>
  <c r="BG43" i="20"/>
  <c r="BG44" i="20"/>
  <c r="BG45" i="20"/>
  <c r="BG46" i="20"/>
  <c r="BG27" i="20"/>
  <c r="BG28" i="18"/>
  <c r="BG29" i="18"/>
  <c r="BG30" i="18"/>
  <c r="BG31" i="18"/>
  <c r="BG32" i="18"/>
  <c r="BG33" i="18"/>
  <c r="BG34" i="18"/>
  <c r="BG35" i="18"/>
  <c r="BG27" i="18"/>
  <c r="BG28" i="17"/>
  <c r="BG29" i="17"/>
  <c r="BG30" i="17"/>
  <c r="BG31" i="17"/>
  <c r="BG32" i="17"/>
  <c r="BG33" i="17"/>
  <c r="BG34" i="17"/>
  <c r="BG35" i="17"/>
  <c r="BG36" i="17"/>
  <c r="BG37" i="17"/>
  <c r="BG38" i="17"/>
  <c r="BG39" i="17"/>
  <c r="BG40" i="17"/>
  <c r="BG27" i="17"/>
  <c r="BG28" i="15"/>
  <c r="BG29" i="15"/>
  <c r="BG30" i="15"/>
  <c r="BG31" i="15"/>
  <c r="BG32" i="15"/>
  <c r="BG33" i="15"/>
  <c r="BG27" i="15"/>
  <c r="BG29" i="24"/>
  <c r="BF29" i="24"/>
  <c r="BE29" i="24"/>
  <c r="BD29" i="24"/>
  <c r="BC29" i="24"/>
  <c r="BB29" i="24"/>
  <c r="BA29" i="24"/>
  <c r="AZ29" i="24"/>
  <c r="AY29" i="24"/>
  <c r="AX29" i="24"/>
  <c r="AW29" i="24"/>
  <c r="AV29" i="24"/>
  <c r="AU29" i="24"/>
  <c r="AT29" i="24"/>
  <c r="AS29" i="24"/>
  <c r="AR29" i="24"/>
  <c r="AQ29" i="24"/>
  <c r="AP29" i="24"/>
  <c r="AO29" i="24"/>
  <c r="AN29" i="24"/>
  <c r="AM29" i="24"/>
  <c r="AL29" i="24"/>
  <c r="AK29" i="24"/>
  <c r="AJ29" i="24"/>
  <c r="AI29" i="24"/>
  <c r="AH29" i="24"/>
  <c r="AG29" i="24"/>
  <c r="AF29" i="24"/>
  <c r="AE29" i="24"/>
  <c r="AD29" i="24"/>
  <c r="AC29" i="24"/>
  <c r="AB29" i="24"/>
  <c r="AA29" i="24"/>
  <c r="BG29" i="23"/>
  <c r="BF29" i="23"/>
  <c r="BE29" i="23"/>
  <c r="BD29" i="23"/>
  <c r="BC29" i="23"/>
  <c r="BB29" i="23"/>
  <c r="BA29" i="23"/>
  <c r="AZ29" i="23"/>
  <c r="AY29" i="23"/>
  <c r="AX29" i="23"/>
  <c r="AW29" i="23"/>
  <c r="AV29" i="23"/>
  <c r="AU29" i="23"/>
  <c r="AT29" i="23"/>
  <c r="AS29" i="23"/>
  <c r="AR29" i="23"/>
  <c r="AQ29" i="23"/>
  <c r="AP29" i="23"/>
  <c r="AO29" i="23"/>
  <c r="AN29" i="23"/>
  <c r="AM29" i="23"/>
  <c r="AL29" i="23"/>
  <c r="AK29" i="23"/>
  <c r="AJ29" i="23"/>
  <c r="AI29" i="23"/>
  <c r="AH29" i="23"/>
  <c r="AG29" i="23"/>
  <c r="AF29" i="23"/>
  <c r="AE29" i="23"/>
  <c r="AD29" i="23"/>
  <c r="AC29" i="23"/>
  <c r="AB29" i="23"/>
  <c r="AA29" i="23"/>
  <c r="BF30" i="22"/>
  <c r="BE30" i="22"/>
  <c r="BD30" i="22"/>
  <c r="BC30" i="22"/>
  <c r="BB30" i="22"/>
  <c r="BA30" i="22"/>
  <c r="AZ30" i="22"/>
  <c r="AY30" i="22"/>
  <c r="AX30" i="22"/>
  <c r="AW30" i="22"/>
  <c r="AV30" i="22"/>
  <c r="AU30" i="22"/>
  <c r="AT30" i="22"/>
  <c r="AS30" i="22"/>
  <c r="AR30" i="22"/>
  <c r="AQ30" i="22"/>
  <c r="AP30" i="22"/>
  <c r="AO30" i="22"/>
  <c r="AN30" i="22"/>
  <c r="AM30" i="22"/>
  <c r="AL30" i="22"/>
  <c r="AK30" i="22"/>
  <c r="AJ30" i="22"/>
  <c r="AI30" i="22"/>
  <c r="AH30" i="22"/>
  <c r="AG30" i="22"/>
  <c r="AF30" i="22"/>
  <c r="AE30" i="22"/>
  <c r="AD30" i="22"/>
  <c r="AC30" i="22"/>
  <c r="AB30" i="22"/>
  <c r="AA30" i="22"/>
  <c r="BG29" i="21"/>
  <c r="BF29" i="21"/>
  <c r="BE29" i="21"/>
  <c r="BD29" i="21"/>
  <c r="BC29" i="21"/>
  <c r="BB29" i="21"/>
  <c r="BA29" i="21"/>
  <c r="AZ29" i="21"/>
  <c r="AY29" i="21"/>
  <c r="AX29" i="21"/>
  <c r="AW29" i="21"/>
  <c r="AV29" i="21"/>
  <c r="AU29" i="21"/>
  <c r="AT29" i="21"/>
  <c r="AS29" i="21"/>
  <c r="AR29" i="21"/>
  <c r="AQ29" i="21"/>
  <c r="AP29" i="21"/>
  <c r="AO29" i="21"/>
  <c r="AN29" i="21"/>
  <c r="AM29" i="21"/>
  <c r="AL29" i="21"/>
  <c r="AK29" i="21"/>
  <c r="AJ29" i="21"/>
  <c r="AI29" i="21"/>
  <c r="AH29" i="21"/>
  <c r="AG29" i="21"/>
  <c r="AF29" i="21"/>
  <c r="AE29" i="21"/>
  <c r="AD29" i="21"/>
  <c r="AC29" i="21"/>
  <c r="AB29" i="21"/>
  <c r="AA29" i="21"/>
  <c r="BF48" i="20"/>
  <c r="BE48" i="20"/>
  <c r="BD48" i="20"/>
  <c r="BC48" i="20"/>
  <c r="BB48" i="20"/>
  <c r="BA48" i="20"/>
  <c r="AZ48" i="20"/>
  <c r="AY48" i="20"/>
  <c r="AX48" i="20"/>
  <c r="AW48" i="20"/>
  <c r="AV48" i="20"/>
  <c r="AU48" i="20"/>
  <c r="AT48" i="20"/>
  <c r="AS48" i="20"/>
  <c r="AR48" i="20"/>
  <c r="AQ48" i="20"/>
  <c r="AP48" i="20"/>
  <c r="AO48" i="20"/>
  <c r="AN48" i="20"/>
  <c r="AM48" i="20"/>
  <c r="AL48" i="20"/>
  <c r="AK48" i="20"/>
  <c r="AJ48" i="20"/>
  <c r="AI48" i="20"/>
  <c r="AH48" i="20"/>
  <c r="AG48" i="20"/>
  <c r="AF48" i="20"/>
  <c r="AE48" i="20"/>
  <c r="AD48" i="20"/>
  <c r="AC48" i="20"/>
  <c r="AB48" i="20"/>
  <c r="AA48" i="20"/>
  <c r="BG47" i="19"/>
  <c r="BF47" i="19"/>
  <c r="BE47" i="19"/>
  <c r="BD47" i="19"/>
  <c r="BC47" i="19"/>
  <c r="BB47" i="19"/>
  <c r="BA47" i="19"/>
  <c r="AZ47" i="19"/>
  <c r="AY47" i="19"/>
  <c r="AX47" i="19"/>
  <c r="AW47" i="19"/>
  <c r="AV47" i="19"/>
  <c r="AU47" i="19"/>
  <c r="AT47" i="19"/>
  <c r="AS47" i="19"/>
  <c r="AR47" i="19"/>
  <c r="AQ47" i="19"/>
  <c r="AP47" i="19"/>
  <c r="AO47" i="19"/>
  <c r="AN47" i="19"/>
  <c r="AM47" i="19"/>
  <c r="AL47" i="19"/>
  <c r="AK47" i="19"/>
  <c r="AJ47" i="19"/>
  <c r="AI47" i="19"/>
  <c r="AH47" i="19"/>
  <c r="AG47" i="19"/>
  <c r="AF47" i="19"/>
  <c r="AE47" i="19"/>
  <c r="AD47" i="19"/>
  <c r="AC47" i="19"/>
  <c r="AB47" i="19"/>
  <c r="AA47" i="19"/>
  <c r="BF37" i="18"/>
  <c r="BE37" i="18"/>
  <c r="BD37" i="18"/>
  <c r="BC37" i="18"/>
  <c r="BB37" i="18"/>
  <c r="BA37" i="18"/>
  <c r="AZ37" i="18"/>
  <c r="AY37" i="18"/>
  <c r="AX37" i="18"/>
  <c r="AW37" i="18"/>
  <c r="AV37" i="18"/>
  <c r="AU37" i="18"/>
  <c r="AT37" i="18"/>
  <c r="AS37" i="18"/>
  <c r="AR37" i="18"/>
  <c r="AQ37" i="18"/>
  <c r="AP37" i="18"/>
  <c r="AO37" i="18"/>
  <c r="AN37" i="18"/>
  <c r="AM37" i="18"/>
  <c r="AL37" i="18"/>
  <c r="AK37" i="18"/>
  <c r="AJ37" i="18"/>
  <c r="AI37" i="18"/>
  <c r="AH37" i="18"/>
  <c r="AG37" i="18"/>
  <c r="AF37" i="18"/>
  <c r="AE37" i="18"/>
  <c r="AD37" i="18"/>
  <c r="AC37" i="18"/>
  <c r="AB37" i="18"/>
  <c r="AA37" i="18"/>
  <c r="BF42" i="17"/>
  <c r="BE42" i="17"/>
  <c r="BD42" i="17"/>
  <c r="BC42" i="17"/>
  <c r="BB42" i="17"/>
  <c r="BA42" i="17"/>
  <c r="AZ42" i="17"/>
  <c r="AY42" i="17"/>
  <c r="AX42" i="17"/>
  <c r="AW42" i="17"/>
  <c r="AV42" i="17"/>
  <c r="AU42" i="17"/>
  <c r="AT42" i="17"/>
  <c r="AS42" i="17"/>
  <c r="AR42" i="17"/>
  <c r="AQ42" i="17"/>
  <c r="AP42" i="17"/>
  <c r="AO42" i="17"/>
  <c r="AN42" i="17"/>
  <c r="AM42" i="17"/>
  <c r="AL42" i="17"/>
  <c r="AK42" i="17"/>
  <c r="AJ42" i="17"/>
  <c r="AI42" i="17"/>
  <c r="AH42" i="17"/>
  <c r="AG42" i="17"/>
  <c r="AF42" i="17"/>
  <c r="AE42" i="17"/>
  <c r="AD42" i="17"/>
  <c r="AC42" i="17"/>
  <c r="AB42" i="17"/>
  <c r="AA42" i="17"/>
  <c r="BG30" i="16"/>
  <c r="BF30" i="16"/>
  <c r="BE30" i="16"/>
  <c r="BD30" i="16"/>
  <c r="BC30" i="16"/>
  <c r="BB30" i="16"/>
  <c r="BA30" i="16"/>
  <c r="AZ30" i="16"/>
  <c r="AY30" i="16"/>
  <c r="AX30" i="16"/>
  <c r="AW30" i="16"/>
  <c r="AV30" i="16"/>
  <c r="AU30" i="16"/>
  <c r="AT30" i="16"/>
  <c r="AS30" i="16"/>
  <c r="AR30" i="16"/>
  <c r="AQ30" i="16"/>
  <c r="AP30" i="16"/>
  <c r="AO30" i="16"/>
  <c r="AN30" i="16"/>
  <c r="AM30" i="16"/>
  <c r="AL30" i="16"/>
  <c r="AK30" i="16"/>
  <c r="AJ30" i="16"/>
  <c r="AI30" i="16"/>
  <c r="AH30" i="16"/>
  <c r="AG30" i="16"/>
  <c r="AF30" i="16"/>
  <c r="AE30" i="16"/>
  <c r="AD30" i="16"/>
  <c r="AC30" i="16"/>
  <c r="AB30" i="16"/>
  <c r="AA30" i="16"/>
  <c r="BF35" i="15"/>
  <c r="BE35" i="15"/>
  <c r="BD35" i="15"/>
  <c r="BC35" i="15"/>
  <c r="BB35" i="15"/>
  <c r="BA35" i="15"/>
  <c r="AZ35" i="15"/>
  <c r="AY35" i="15"/>
  <c r="AX35" i="15"/>
  <c r="AW35" i="15"/>
  <c r="AV35" i="15"/>
  <c r="AU35" i="15"/>
  <c r="AT35" i="15"/>
  <c r="AS35" i="15"/>
  <c r="AR35" i="15"/>
  <c r="AQ35" i="15"/>
  <c r="AP35" i="15"/>
  <c r="AO35" i="15"/>
  <c r="AN35" i="15"/>
  <c r="AM35" i="15"/>
  <c r="AL35" i="15"/>
  <c r="AK35" i="15"/>
  <c r="AJ35" i="15"/>
  <c r="AI35" i="15"/>
  <c r="AH35" i="15"/>
  <c r="AG35" i="15"/>
  <c r="AF35" i="15"/>
  <c r="AE35" i="15"/>
  <c r="AD35" i="15"/>
  <c r="AC35" i="15"/>
  <c r="AB35" i="15"/>
  <c r="AA35" i="15"/>
  <c r="BG29" i="14"/>
  <c r="BF29" i="14"/>
  <c r="BE29" i="14"/>
  <c r="BD29" i="14"/>
  <c r="BC29" i="14"/>
  <c r="BB29" i="14"/>
  <c r="BA29" i="14"/>
  <c r="AZ29" i="14"/>
  <c r="AY29" i="14"/>
  <c r="AX29" i="14"/>
  <c r="AW29" i="14"/>
  <c r="AV29" i="14"/>
  <c r="AU29" i="14"/>
  <c r="AT29" i="14"/>
  <c r="AS29" i="14"/>
  <c r="AR29" i="14"/>
  <c r="AQ29" i="14"/>
  <c r="AP29" i="14"/>
  <c r="AO29" i="14"/>
  <c r="AN29" i="14"/>
  <c r="AM29" i="14"/>
  <c r="AL29" i="14"/>
  <c r="AK29" i="14"/>
  <c r="AJ29" i="14"/>
  <c r="AI29" i="14"/>
  <c r="AH29" i="14"/>
  <c r="AG29" i="14"/>
  <c r="AF29" i="14"/>
  <c r="AE29" i="14"/>
  <c r="AD29" i="14"/>
  <c r="AC29" i="14"/>
  <c r="AB29" i="14"/>
  <c r="AA29" i="14"/>
  <c r="BG30" i="22" l="1"/>
  <c r="BG37" i="18"/>
  <c r="BG42" i="17"/>
  <c r="BG35" i="15"/>
  <c r="CC25" i="13"/>
  <c r="BE29" i="13"/>
  <c r="BD29" i="13"/>
  <c r="BC29" i="13"/>
  <c r="BB29" i="13"/>
  <c r="BA29" i="13"/>
  <c r="AZ29" i="13"/>
  <c r="AY29" i="13"/>
  <c r="AX29" i="13"/>
  <c r="AW29" i="13"/>
  <c r="AV29" i="13"/>
  <c r="AU29" i="13"/>
  <c r="AT29" i="13"/>
  <c r="AS29" i="13"/>
  <c r="AR29" i="13"/>
  <c r="AQ29" i="13"/>
  <c r="AP29" i="13"/>
  <c r="AO29" i="13"/>
  <c r="AN29" i="13"/>
  <c r="AM29" i="13"/>
  <c r="AL29" i="13"/>
  <c r="AK29" i="13"/>
  <c r="AJ29" i="13"/>
  <c r="AI29" i="13"/>
  <c r="AH29" i="13"/>
  <c r="AG29" i="13"/>
  <c r="AF29" i="13"/>
  <c r="AE29" i="13"/>
  <c r="AD29" i="13"/>
  <c r="AC29" i="13"/>
  <c r="AB29" i="13"/>
  <c r="AA29" i="13"/>
  <c r="CC27" i="13"/>
  <c r="CC26" i="13"/>
  <c r="CC24" i="13"/>
  <c r="AB82" i="1" l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T82" i="1"/>
  <c r="AU82" i="1"/>
  <c r="AV82" i="1"/>
  <c r="AW82" i="1"/>
  <c r="AX82" i="1"/>
  <c r="AY82" i="1"/>
  <c r="AZ82" i="1"/>
  <c r="BA82" i="1"/>
  <c r="BB82" i="1"/>
  <c r="BC82" i="1"/>
  <c r="BD82" i="1"/>
  <c r="BE82" i="1"/>
  <c r="BF82" i="1"/>
  <c r="BG82" i="1"/>
  <c r="AA82" i="1"/>
  <c r="CC27" i="1"/>
  <c r="CC80" i="1"/>
  <c r="CC46" i="1"/>
  <c r="CC45" i="1"/>
  <c r="CC38" i="1"/>
  <c r="CC36" i="1"/>
  <c r="CC48" i="1"/>
  <c r="CC76" i="1"/>
  <c r="CC78" i="1"/>
  <c r="CC55" i="1"/>
  <c r="CC65" i="1"/>
  <c r="CC33" i="1"/>
  <c r="CC79" i="1"/>
  <c r="CC42" i="1"/>
  <c r="CC41" i="1"/>
  <c r="CC62" i="1"/>
  <c r="CC61" i="1"/>
  <c r="CC71" i="1"/>
  <c r="CC40" i="1"/>
  <c r="CC39" i="1"/>
  <c r="CC25" i="1"/>
  <c r="CC24" i="1"/>
  <c r="CC60" i="1"/>
  <c r="CC59" i="1"/>
  <c r="CC81" i="1"/>
  <c r="CC51" i="1"/>
  <c r="CC50" i="1"/>
  <c r="CC64" i="1"/>
  <c r="CC34" i="1"/>
  <c r="CC20" i="1"/>
  <c r="CC19" i="1"/>
  <c r="CC18" i="1"/>
  <c r="CC70" i="1"/>
  <c r="CC68" i="1"/>
  <c r="CC17" i="1"/>
  <c r="CC14" i="1"/>
  <c r="CC69" i="1"/>
  <c r="CC32" i="1"/>
  <c r="CC13" i="1"/>
  <c r="CC31" i="1"/>
  <c r="CC44" i="1"/>
  <c r="CC16" i="1"/>
  <c r="CC43" i="1"/>
  <c r="CC56" i="1"/>
  <c r="CC54" i="1"/>
  <c r="CC12" i="1"/>
  <c r="CC67" i="1"/>
  <c r="CC66" i="1"/>
  <c r="CC22" i="1"/>
  <c r="CC21" i="1"/>
  <c r="CC30" i="1"/>
  <c r="CC26" i="1"/>
  <c r="CC72" i="1"/>
  <c r="CC63" i="1"/>
  <c r="CC29" i="1"/>
  <c r="CC28" i="1"/>
  <c r="CC74" i="1"/>
  <c r="CC73" i="1"/>
  <c r="CC58" i="1"/>
  <c r="CC23" i="1"/>
  <c r="CC57" i="1"/>
  <c r="CC37" i="1"/>
  <c r="CC35" i="1"/>
  <c r="CC15" i="1"/>
  <c r="CC53" i="1"/>
  <c r="CC52" i="1"/>
  <c r="CC49" i="1"/>
  <c r="CC47" i="1"/>
  <c r="CC75" i="1"/>
  <c r="CC77" i="1"/>
  <c r="BF65" i="10"/>
  <c r="BG65" i="10"/>
  <c r="BC65" i="10"/>
  <c r="BD65" i="10"/>
  <c r="AD14" i="11"/>
  <c r="AE14" i="11"/>
  <c r="AF14" i="11"/>
  <c r="AG14" i="11"/>
  <c r="AH14" i="11"/>
  <c r="AI14" i="11"/>
  <c r="AJ14" i="11"/>
  <c r="AK14" i="11"/>
  <c r="AL14" i="11"/>
  <c r="AM14" i="11"/>
  <c r="R14" i="11"/>
  <c r="S14" i="11"/>
  <c r="T14" i="11"/>
  <c r="U14" i="11"/>
  <c r="V14" i="11"/>
  <c r="W14" i="11"/>
  <c r="X14" i="11"/>
  <c r="Y14" i="11"/>
  <c r="Z14" i="11"/>
  <c r="AA14" i="11"/>
  <c r="D14" i="11"/>
  <c r="E14" i="11"/>
  <c r="F14" i="11"/>
  <c r="G14" i="11"/>
  <c r="H14" i="11"/>
  <c r="I14" i="11"/>
  <c r="J14" i="11"/>
  <c r="K14" i="11"/>
  <c r="L14" i="11"/>
  <c r="M14" i="11"/>
  <c r="AJ12" i="11"/>
  <c r="AI12" i="11"/>
  <c r="AH12" i="11"/>
  <c r="AG12" i="11"/>
  <c r="AF12" i="11"/>
  <c r="AE12" i="11"/>
  <c r="AL12" i="11" s="1"/>
  <c r="AD12" i="11"/>
  <c r="AK12" i="11" s="1"/>
  <c r="AC12" i="11"/>
  <c r="AJ11" i="11"/>
  <c r="AI11" i="11"/>
  <c r="AH11" i="11"/>
  <c r="AK11" i="11" s="1"/>
  <c r="AG11" i="11"/>
  <c r="AL11" i="11" s="1"/>
  <c r="AF11" i="11"/>
  <c r="AE11" i="11"/>
  <c r="AD11" i="11"/>
  <c r="AC11" i="11"/>
  <c r="AJ10" i="11"/>
  <c r="AI10" i="11"/>
  <c r="AH10" i="11"/>
  <c r="AG10" i="11"/>
  <c r="AF10" i="11"/>
  <c r="AE10" i="11"/>
  <c r="AL10" i="11" s="1"/>
  <c r="AD10" i="11"/>
  <c r="AM10" i="11" s="1"/>
  <c r="AC10" i="11"/>
  <c r="AJ9" i="11"/>
  <c r="AI9" i="11"/>
  <c r="AH9" i="11"/>
  <c r="AG9" i="11"/>
  <c r="AF9" i="11"/>
  <c r="AE9" i="11"/>
  <c r="AD9" i="11"/>
  <c r="AC9" i="11"/>
  <c r="AJ8" i="11"/>
  <c r="AI8" i="11"/>
  <c r="AH8" i="11"/>
  <c r="AK8" i="11" s="1"/>
  <c r="AG8" i="11"/>
  <c r="AL8" i="11" s="1"/>
  <c r="AF8" i="11"/>
  <c r="AE8" i="11"/>
  <c r="AD8" i="11"/>
  <c r="AC8" i="11"/>
  <c r="AJ7" i="11"/>
  <c r="AI7" i="11"/>
  <c r="AH7" i="11"/>
  <c r="AG7" i="11"/>
  <c r="AF7" i="11"/>
  <c r="AE7" i="11"/>
  <c r="AL7" i="11" s="1"/>
  <c r="AD7" i="11"/>
  <c r="AK7" i="11" s="1"/>
  <c r="AC7" i="11"/>
  <c r="AJ6" i="11"/>
  <c r="AI6" i="11"/>
  <c r="AH6" i="11"/>
  <c r="AG6" i="11"/>
  <c r="AF6" i="11"/>
  <c r="AE6" i="11"/>
  <c r="AD6" i="11"/>
  <c r="AC6" i="11"/>
  <c r="AJ5" i="11"/>
  <c r="AI5" i="11"/>
  <c r="AH5" i="11"/>
  <c r="AK5" i="11" s="1"/>
  <c r="AG5" i="11"/>
  <c r="AL5" i="11" s="1"/>
  <c r="AF5" i="11"/>
  <c r="AE5" i="11"/>
  <c r="AD5" i="11"/>
  <c r="AC5" i="11"/>
  <c r="AJ4" i="11"/>
  <c r="AI4" i="11"/>
  <c r="AH4" i="11"/>
  <c r="AG4" i="11"/>
  <c r="AF4" i="11"/>
  <c r="AE4" i="11"/>
  <c r="AL4" i="11" s="1"/>
  <c r="AD4" i="11"/>
  <c r="AM4" i="11" s="1"/>
  <c r="AC4" i="11"/>
  <c r="AD3" i="11"/>
  <c r="AE3" i="11"/>
  <c r="AF3" i="11"/>
  <c r="AG3" i="11"/>
  <c r="AH3" i="11"/>
  <c r="AI3" i="11"/>
  <c r="AC3" i="11"/>
  <c r="AM6" i="11"/>
  <c r="AM7" i="11"/>
  <c r="AL9" i="11"/>
  <c r="AK9" i="11"/>
  <c r="AM9" i="11"/>
  <c r="AL6" i="11"/>
  <c r="AK6" i="11"/>
  <c r="AK4" i="11"/>
  <c r="Z12" i="11"/>
  <c r="Y12" i="11"/>
  <c r="X12" i="11"/>
  <c r="AA12" i="11" s="1"/>
  <c r="Z11" i="11"/>
  <c r="Y11" i="11"/>
  <c r="X11" i="11"/>
  <c r="AA11" i="11" s="1"/>
  <c r="Z10" i="11"/>
  <c r="Y10" i="11"/>
  <c r="X10" i="11"/>
  <c r="AA10" i="11" s="1"/>
  <c r="Z9" i="11"/>
  <c r="Y9" i="11"/>
  <c r="X9" i="11"/>
  <c r="AA9" i="11" s="1"/>
  <c r="Z8" i="11"/>
  <c r="Y8" i="11"/>
  <c r="X8" i="11"/>
  <c r="AA8" i="11" s="1"/>
  <c r="Z7" i="11"/>
  <c r="Y7" i="11"/>
  <c r="X7" i="11"/>
  <c r="AA7" i="11" s="1"/>
  <c r="Z6" i="11"/>
  <c r="Y6" i="11"/>
  <c r="X6" i="11"/>
  <c r="AA6" i="11" s="1"/>
  <c r="Z5" i="11"/>
  <c r="Y5" i="11"/>
  <c r="X5" i="11"/>
  <c r="AA5" i="11" s="1"/>
  <c r="Z4" i="11"/>
  <c r="Y4" i="11"/>
  <c r="X4" i="11"/>
  <c r="AA4" i="11" s="1"/>
  <c r="Z3" i="11"/>
  <c r="Y3" i="11"/>
  <c r="X3" i="11"/>
  <c r="AA3" i="11" s="1"/>
  <c r="L12" i="11"/>
  <c r="K12" i="11"/>
  <c r="J12" i="11"/>
  <c r="M12" i="11" s="1"/>
  <c r="L11" i="11"/>
  <c r="K11" i="11"/>
  <c r="J11" i="11"/>
  <c r="M11" i="11" s="1"/>
  <c r="L10" i="11"/>
  <c r="K10" i="11"/>
  <c r="J10" i="11"/>
  <c r="M10" i="11" s="1"/>
  <c r="L9" i="11"/>
  <c r="K9" i="11"/>
  <c r="J9" i="11"/>
  <c r="M9" i="11" s="1"/>
  <c r="L8" i="11"/>
  <c r="K8" i="11"/>
  <c r="J8" i="11"/>
  <c r="M8" i="11" s="1"/>
  <c r="L7" i="11"/>
  <c r="K7" i="11"/>
  <c r="J7" i="11"/>
  <c r="M7" i="11" s="1"/>
  <c r="L6" i="11"/>
  <c r="K6" i="11"/>
  <c r="J6" i="11"/>
  <c r="M6" i="11" s="1"/>
  <c r="L5" i="11"/>
  <c r="K5" i="11"/>
  <c r="J5" i="11"/>
  <c r="M5" i="11" s="1"/>
  <c r="L4" i="11"/>
  <c r="K4" i="11"/>
  <c r="J4" i="11"/>
  <c r="M4" i="11" s="1"/>
  <c r="L3" i="11"/>
  <c r="Q14" i="11"/>
  <c r="AL3" i="11" l="1"/>
  <c r="AK3" i="11"/>
  <c r="AK10" i="11"/>
  <c r="AM11" i="11"/>
  <c r="AM5" i="11"/>
  <c r="AM8" i="11"/>
  <c r="AM12" i="11"/>
  <c r="AC14" i="11"/>
  <c r="C14" i="11"/>
  <c r="BE65" i="10" l="1"/>
  <c r="BB65" i="10"/>
  <c r="BA65" i="10"/>
  <c r="AZ65" i="10"/>
  <c r="AY65" i="10"/>
  <c r="AX65" i="10"/>
  <c r="AW65" i="10"/>
  <c r="AV65" i="10"/>
  <c r="AU65" i="10"/>
  <c r="AT65" i="10"/>
  <c r="AS65" i="10"/>
  <c r="AR65" i="10"/>
  <c r="AQ65" i="10"/>
  <c r="AP65" i="10"/>
  <c r="AO65" i="10"/>
  <c r="AN65" i="10"/>
  <c r="AM65" i="10"/>
  <c r="AL65" i="10"/>
  <c r="AK65" i="10"/>
  <c r="AJ65" i="10"/>
  <c r="AI65" i="10"/>
  <c r="AH65" i="10"/>
  <c r="AG65" i="10"/>
  <c r="AF65" i="10"/>
  <c r="AE65" i="10"/>
  <c r="AD65" i="10"/>
  <c r="AC65" i="10"/>
  <c r="AB65" i="10"/>
  <c r="AA65" i="10"/>
  <c r="O9" i="11" l="1"/>
  <c r="O12" i="11"/>
  <c r="O8" i="11"/>
  <c r="O5" i="11"/>
  <c r="O10" i="11"/>
  <c r="O6" i="11"/>
  <c r="O11" i="11"/>
  <c r="O7" i="11"/>
  <c r="O4" i="11"/>
  <c r="AW87" i="1"/>
  <c r="AW91" i="1" s="1"/>
  <c r="AK87" i="1"/>
  <c r="AM87" i="1"/>
  <c r="AM91" i="1" s="1"/>
  <c r="AN87" i="1"/>
  <c r="AN91" i="1" s="1"/>
  <c r="AO87" i="1"/>
  <c r="AO91" i="1" s="1"/>
  <c r="AP87" i="1"/>
  <c r="AP91" i="1" s="1"/>
  <c r="AQ87" i="1"/>
  <c r="AQ91" i="1" s="1"/>
  <c r="AR87" i="1"/>
  <c r="AR91" i="1" s="1"/>
  <c r="AS87" i="1"/>
  <c r="AS91" i="1" s="1"/>
  <c r="AT87" i="1"/>
  <c r="AT91" i="1" s="1"/>
  <c r="AX87" i="1"/>
  <c r="AX91" i="1" s="1"/>
  <c r="AY87" i="1"/>
  <c r="AY91" i="1" s="1"/>
  <c r="AZ87" i="1"/>
  <c r="AZ91" i="1" s="1"/>
  <c r="BA87" i="1"/>
  <c r="BA91" i="1" s="1"/>
  <c r="BB87" i="1"/>
  <c r="BB91" i="1" s="1"/>
  <c r="AD87" i="1" l="1"/>
  <c r="AD91" i="1" s="1"/>
  <c r="AE87" i="1"/>
  <c r="AF87" i="1"/>
  <c r="AG87" i="1"/>
  <c r="AK91" i="1"/>
  <c r="BE87" i="1"/>
  <c r="BE91" i="1" s="1"/>
  <c r="BF87" i="1"/>
  <c r="BF91" i="1" s="1"/>
  <c r="BG87" i="1"/>
  <c r="BG91" i="1" s="1"/>
  <c r="AI87" i="1" l="1"/>
  <c r="AI91" i="1" s="1"/>
  <c r="AH87" i="1"/>
  <c r="AH91" i="1" s="1"/>
  <c r="AJ87" i="1"/>
  <c r="AJ91" i="1" s="1"/>
  <c r="A9" i="1" l="1"/>
  <c r="K3" i="11" l="1"/>
  <c r="J3" i="11"/>
  <c r="AJ3" i="11" s="1"/>
  <c r="AM3" i="11" s="1"/>
  <c r="M3" i="11" l="1"/>
  <c r="O3" i="11" s="1"/>
  <c r="O14" i="11" s="1"/>
</calcChain>
</file>

<file path=xl/sharedStrings.xml><?xml version="1.0" encoding="utf-8"?>
<sst xmlns="http://schemas.openxmlformats.org/spreadsheetml/2006/main" count="7547" uniqueCount="648">
  <si>
    <t>IMPORTANT:</t>
  </si>
  <si>
    <t>Change name of tab to include carrier name, alloc. and statement date, see example below:</t>
  </si>
  <si>
    <t>AETN Alloc 2019.01.15</t>
  </si>
  <si>
    <t>Do NOT change the margins</t>
  </si>
  <si>
    <t>Do NOT change the print settings</t>
  </si>
  <si>
    <t>Current Month Allocation</t>
  </si>
  <si>
    <t>Prior Months Payment Allocation</t>
  </si>
  <si>
    <t>Total Allocation</t>
  </si>
  <si>
    <t>Carrier</t>
  </si>
  <si>
    <t>Statement Date</t>
  </si>
  <si>
    <t>Commission Statement Total</t>
  </si>
  <si>
    <t>House Initial</t>
  </si>
  <si>
    <t>House Renewal</t>
  </si>
  <si>
    <t>Fee Initial</t>
  </si>
  <si>
    <t>Fee Renewal</t>
  </si>
  <si>
    <t>Agent Initial</t>
  </si>
  <si>
    <t>Agent Renewal</t>
  </si>
  <si>
    <t>Unallocated</t>
  </si>
  <si>
    <t>Total Initial</t>
  </si>
  <si>
    <t>Total Renewal</t>
  </si>
  <si>
    <t>Total</t>
  </si>
  <si>
    <t>Difference</t>
  </si>
  <si>
    <t>Prior Unallocated Amount</t>
  </si>
  <si>
    <t>Total Receipts Allocated</t>
  </si>
  <si>
    <t>Total Comm Received</t>
  </si>
  <si>
    <t>COMMISSION STATEMENT</t>
  </si>
  <si>
    <t xml:space="preserve">AGENT NAME: </t>
  </si>
  <si>
    <t>MONTH:</t>
  </si>
  <si>
    <t>October</t>
  </si>
  <si>
    <t>DATE:</t>
  </si>
  <si>
    <t>STATEMENT #:</t>
  </si>
  <si>
    <t>STATEMENT TOTAL:</t>
  </si>
  <si>
    <t>FEE 2:</t>
  </si>
  <si>
    <t>FEE:</t>
  </si>
  <si>
    <t>AGENT COMMISSION:</t>
  </si>
  <si>
    <t>TTP FEE :</t>
  </si>
  <si>
    <t>TTP FEE 10%:</t>
  </si>
  <si>
    <t>TTP FEE 20%:</t>
  </si>
  <si>
    <t>TTP FEE 30%:</t>
  </si>
  <si>
    <t>TTP FEE 35%:</t>
  </si>
  <si>
    <t>TTP FEE 40%:</t>
  </si>
  <si>
    <t>TTP FEE 45%:</t>
  </si>
  <si>
    <t>TTP FEE 50%:</t>
  </si>
  <si>
    <t>MEMBER NAME</t>
  </si>
  <si>
    <t>INSURANCE TYPE</t>
  </si>
  <si>
    <t>EFFECTIVE DATE</t>
  </si>
  <si>
    <t>STATE</t>
  </si>
  <si>
    <t>CARRIER</t>
  </si>
  <si>
    <t>PLAN TYPE</t>
  </si>
  <si>
    <t>PLAN NAME</t>
  </si>
  <si>
    <t>PLAN CODE</t>
  </si>
  <si>
    <t>ELECTION PERIOD</t>
  </si>
  <si>
    <t>HOUSE</t>
  </si>
  <si>
    <t>HOUSE (RM) Upline 1</t>
  </si>
  <si>
    <t>HOUSE (HO) Upline 2</t>
  </si>
  <si>
    <t>UPLINE 4</t>
  </si>
  <si>
    <t>UPLINE 3</t>
  </si>
  <si>
    <t>UPLINE 2</t>
  </si>
  <si>
    <t>UPLINE</t>
  </si>
  <si>
    <t>AGENT</t>
  </si>
  <si>
    <t>The Trusted Program (Referring Agent)</t>
  </si>
  <si>
    <t>Allocation (Referring Agent) 4</t>
  </si>
  <si>
    <t>Allocation (Referring Agent) 3</t>
  </si>
  <si>
    <t>Allocation (Referring Agent) 2</t>
  </si>
  <si>
    <t>Allocation (Referring Agent) 1</t>
  </si>
  <si>
    <t>Alocation Agent (Reporting)</t>
  </si>
  <si>
    <t>POLICY NUMBER</t>
  </si>
  <si>
    <t>PREMIUM PAID</t>
  </si>
  <si>
    <t>PAYMENT FREQUENCY</t>
  </si>
  <si>
    <t>COUNT</t>
  </si>
  <si>
    <t>AMT RECEIVED</t>
  </si>
  <si>
    <t>HOUSE (RM) FEE 1</t>
  </si>
  <si>
    <t>HOUSE (HO) FEE 2</t>
  </si>
  <si>
    <t>FEE 4</t>
  </si>
  <si>
    <t>FEE 3</t>
  </si>
  <si>
    <t>FEE 2</t>
  </si>
  <si>
    <t>FEE</t>
  </si>
  <si>
    <t>TOTAL AGENT COMMISSION</t>
  </si>
  <si>
    <r>
      <rPr>
        <b/>
        <sz val="11"/>
        <rFont val="Calibri"/>
        <family val="2"/>
        <scheme val="minor"/>
      </rPr>
      <t xml:space="preserve">TTP AGENT COMMISSION </t>
    </r>
    <r>
      <rPr>
        <b/>
        <sz val="11"/>
        <color rgb="FFFF0000"/>
        <rFont val="Calibri"/>
        <family val="2"/>
        <scheme val="minor"/>
      </rPr>
      <t>(This amount is not included in statement total)</t>
    </r>
  </si>
  <si>
    <t>THE TRUSTED PROGRAM</t>
  </si>
  <si>
    <t>THE TRUSTED PROGRAM 10%</t>
  </si>
  <si>
    <t>THE TRUSTED PROGRAM 20%</t>
  </si>
  <si>
    <t>THE TRUSTED PROGRAM 30%</t>
  </si>
  <si>
    <t>THE TRUSTED PROGRAM 35%</t>
  </si>
  <si>
    <t>THE TRUSTED PROGRAM 40%</t>
  </si>
  <si>
    <t>THE TRUSTED PROGRAM 45%</t>
  </si>
  <si>
    <t>THE TRUSTED PROGRAM  45%</t>
  </si>
  <si>
    <t>THE TRUSTED PROGRAM  50%</t>
  </si>
  <si>
    <t>NET  PAY</t>
  </si>
  <si>
    <t>KEY</t>
  </si>
  <si>
    <t>Carrier Stmt Date</t>
  </si>
  <si>
    <t>Stmt Amt</t>
  </si>
  <si>
    <t>Agent Stmt Date</t>
  </si>
  <si>
    <t>Agent Stmt Total</t>
  </si>
  <si>
    <t>STMT ADDRESSEE</t>
  </si>
  <si>
    <t>TRANSACTION TYPE</t>
  </si>
  <si>
    <t>Reviewed Date</t>
  </si>
  <si>
    <t>Term Date</t>
  </si>
  <si>
    <t>House Stmt Date</t>
  </si>
  <si>
    <t>Statement Number</t>
  </si>
  <si>
    <t>Deposit Date</t>
  </si>
  <si>
    <t>Deposit Amount</t>
  </si>
  <si>
    <t>Type of Deposit - EFT/Check</t>
  </si>
  <si>
    <t>Check/EFT #</t>
  </si>
  <si>
    <t>Check Date</t>
  </si>
  <si>
    <t>Corresponding Commission Statement Date</t>
  </si>
  <si>
    <t>Carrier Commission Recipient</t>
  </si>
  <si>
    <t>DIFFERENCE</t>
  </si>
  <si>
    <t>Internal Notes</t>
  </si>
  <si>
    <t>Note</t>
  </si>
  <si>
    <t>Hughes, Antony E</t>
  </si>
  <si>
    <t>Health</t>
  </si>
  <si>
    <t>CA</t>
  </si>
  <si>
    <t>Cigna Loyal American</t>
  </si>
  <si>
    <t>Med Supp</t>
  </si>
  <si>
    <t>F</t>
  </si>
  <si>
    <t/>
  </si>
  <si>
    <t>gi</t>
  </si>
  <si>
    <t>TAIA</t>
  </si>
  <si>
    <t>Ornellas &amp; Associates Insurance Services, Inc.</t>
  </si>
  <si>
    <t>Elite Senior Marketing</t>
  </si>
  <si>
    <t>Hutchison, Jon</t>
  </si>
  <si>
    <t>12F0071626</t>
  </si>
  <si>
    <t>Monthly</t>
  </si>
  <si>
    <t>CS</t>
  </si>
  <si>
    <t>Machado, Dina</t>
  </si>
  <si>
    <t>Lombardi, Mavis</t>
  </si>
  <si>
    <t>36Y0253253</t>
  </si>
  <si>
    <t>Pacheco, Josephine</t>
  </si>
  <si>
    <t>IA</t>
  </si>
  <si>
    <t>G</t>
  </si>
  <si>
    <t>Think2Age</t>
  </si>
  <si>
    <t>36F0097790</t>
  </si>
  <si>
    <t>Need to verify if the Upline is actual Thnk2Age</t>
  </si>
  <si>
    <t>Peplowski, Carole L</t>
  </si>
  <si>
    <t>GI</t>
  </si>
  <si>
    <t>Bortoletto, Luciano</t>
  </si>
  <si>
    <t>Peplowski, John</t>
  </si>
  <si>
    <t>N/A</t>
  </si>
  <si>
    <t>80F0106868</t>
  </si>
  <si>
    <t>Total:</t>
  </si>
  <si>
    <t xml:space="preserve">CARRIER NAME: </t>
  </si>
  <si>
    <t>December</t>
  </si>
  <si>
    <t>(844) 998-7878</t>
  </si>
  <si>
    <t>Copyright 2016, All Rights Reserved</t>
  </si>
  <si>
    <t>TOTAL AGENT COMMISSION FOR TTP CALCULATION</t>
  </si>
  <si>
    <t>THE TRUSTED PROGRAM 50%</t>
  </si>
  <si>
    <t>THE TRUSTED PROGRAM 60%</t>
  </si>
  <si>
    <t>THE TRUSTED PROGRAM 70%</t>
  </si>
  <si>
    <t>INTERNAL NOTES</t>
  </si>
  <si>
    <t>NOTE</t>
  </si>
  <si>
    <t>Initial/Renewal</t>
  </si>
  <si>
    <t>Freed, Diane</t>
  </si>
  <si>
    <t>N</t>
  </si>
  <si>
    <t>Beuttel, Elizabeth</t>
  </si>
  <si>
    <t>80Y0459697</t>
  </si>
  <si>
    <t>1% Y1 R11</t>
  </si>
  <si>
    <t>Renewal</t>
  </si>
  <si>
    <t>Beck, Craig</t>
  </si>
  <si>
    <t>Clifford Benefits Group</t>
  </si>
  <si>
    <t>Fear, David</t>
  </si>
  <si>
    <t>80F0115891</t>
  </si>
  <si>
    <t>0.5% Y2 R4</t>
  </si>
  <si>
    <t>Chatlien, Joann</t>
  </si>
  <si>
    <t>36Y0246234</t>
  </si>
  <si>
    <t>1% Y1 M7</t>
  </si>
  <si>
    <t>Initial</t>
  </si>
  <si>
    <t>Jackson, Robert</t>
  </si>
  <si>
    <t>AZ</t>
  </si>
  <si>
    <t>60F0022880</t>
  </si>
  <si>
    <t>12.5% Y1 M8</t>
  </si>
  <si>
    <t>Jacobs, Jane</t>
  </si>
  <si>
    <t>TN</t>
  </si>
  <si>
    <t>63F0003494</t>
  </si>
  <si>
    <t>1% Y1 M6</t>
  </si>
  <si>
    <t>McCulley, Bruce</t>
  </si>
  <si>
    <t>36Y0253892</t>
  </si>
  <si>
    <t>1% Y1 M1</t>
  </si>
  <si>
    <t>Bender, Ruth</t>
  </si>
  <si>
    <t>NJ</t>
  </si>
  <si>
    <t>Cogliano, Dolores</t>
  </si>
  <si>
    <t>Hegel, Peter</t>
  </si>
  <si>
    <t>60Y0353425</t>
  </si>
  <si>
    <t>Berhang, Anna</t>
  </si>
  <si>
    <t>60Y0213868</t>
  </si>
  <si>
    <t>Davis, David</t>
  </si>
  <si>
    <t>60Y0353454</t>
  </si>
  <si>
    <t>Mack, Carolyn</t>
  </si>
  <si>
    <t>60Y0283009</t>
  </si>
  <si>
    <t>1% Y1 M3</t>
  </si>
  <si>
    <t>Mack, Ronald</t>
  </si>
  <si>
    <t>60Y02830044</t>
  </si>
  <si>
    <t>McGowan, Brenda</t>
  </si>
  <si>
    <t>60Y0160276</t>
  </si>
  <si>
    <t>0.5% Y1 M11</t>
  </si>
  <si>
    <t>Pulley, Karen</t>
  </si>
  <si>
    <t>60Y0267248</t>
  </si>
  <si>
    <t>1% Y1 M4</t>
  </si>
  <si>
    <t>Pulley, Lloyd</t>
  </si>
  <si>
    <t>60Y0267244</t>
  </si>
  <si>
    <t>Russo, Carol</t>
  </si>
  <si>
    <t>60Y0278269</t>
  </si>
  <si>
    <t>1% Y1 M2</t>
  </si>
  <si>
    <t>Ryerson, Lisa</t>
  </si>
  <si>
    <t>60Y0241853</t>
  </si>
  <si>
    <t>Ryerson, Robert</t>
  </si>
  <si>
    <t>60Y0241852</t>
  </si>
  <si>
    <t>Vassalo, Dennis</t>
  </si>
  <si>
    <t>60Y0242895</t>
  </si>
  <si>
    <t>Ballner, MaryJean</t>
  </si>
  <si>
    <t>HDF</t>
  </si>
  <si>
    <t>80F0116259</t>
  </si>
  <si>
    <t>27% / 0.5% Y2 R1</t>
  </si>
  <si>
    <t>Little, Margaret</t>
  </si>
  <si>
    <t>uw</t>
  </si>
  <si>
    <t>80F0114576</t>
  </si>
  <si>
    <t>11% / .25% / .25% Y3 R8</t>
  </si>
  <si>
    <t>Wattman, Norman</t>
  </si>
  <si>
    <t>Medicare Resource Group, LLC</t>
  </si>
  <si>
    <t>Spira, Marc</t>
  </si>
  <si>
    <t>80F0114165</t>
  </si>
  <si>
    <t>Y2 R12</t>
  </si>
  <si>
    <t>Dedulin, Yuri</t>
  </si>
  <si>
    <t>oe</t>
  </si>
  <si>
    <t>Professional Group Plans, Inc.</t>
  </si>
  <si>
    <t>Grayevsky, Mila</t>
  </si>
  <si>
    <t>60F0017649</t>
  </si>
  <si>
    <t>24%/1% Y1 R5</t>
  </si>
  <si>
    <t>Khaykis, Bela</t>
  </si>
  <si>
    <t>plan N</t>
  </si>
  <si>
    <t>60Y0179130</t>
  </si>
  <si>
    <t>1% Y1 M10</t>
  </si>
  <si>
    <t>1% Y1 M11</t>
  </si>
  <si>
    <t>Khaykis, Vladimir</t>
  </si>
  <si>
    <t>60Y0179781</t>
  </si>
  <si>
    <t>1% Y1 M12</t>
  </si>
  <si>
    <t>Rozenshteyn, Marina</t>
  </si>
  <si>
    <t>plan G</t>
  </si>
  <si>
    <t>60Y0182314</t>
  </si>
  <si>
    <t>Rozenshteyn, Yefim</t>
  </si>
  <si>
    <t>60Y0182811</t>
  </si>
  <si>
    <t>Sverdlova, Yelena</t>
  </si>
  <si>
    <t>60F0017648</t>
  </si>
  <si>
    <t>Zimmermann, Susan</t>
  </si>
  <si>
    <t>Plan G</t>
  </si>
  <si>
    <t>Lawrence, Kevin E</t>
  </si>
  <si>
    <t>60F0023473</t>
  </si>
  <si>
    <t>Quarterly</t>
  </si>
  <si>
    <t>21% / 1% Y1 M7-M9</t>
  </si>
  <si>
    <t>Berezhanskiy, Isak</t>
  </si>
  <si>
    <t>CO</t>
  </si>
  <si>
    <t>Winegardner, Lyubov</t>
  </si>
  <si>
    <t>63F0001482</t>
  </si>
  <si>
    <t>Shtern, Polina</t>
  </si>
  <si>
    <t>63F0001483</t>
  </si>
  <si>
    <t>Bonanno, Dianne</t>
  </si>
  <si>
    <t>WizdomCare Senior Solutions, LLC</t>
  </si>
  <si>
    <t>PTI Consulting Services LLC</t>
  </si>
  <si>
    <t>Covington-Plerqui, Charline</t>
  </si>
  <si>
    <t>60Y0240159</t>
  </si>
  <si>
    <t>0.5% Y1 M7-M9</t>
  </si>
  <si>
    <t>Bonanno, Raymond</t>
  </si>
  <si>
    <t>60Y0240071</t>
  </si>
  <si>
    <t>Falco, Sherry</t>
  </si>
  <si>
    <t>60Y0210972</t>
  </si>
  <si>
    <t>0.5% Y1 M6</t>
  </si>
  <si>
    <t>0.5% Y1 M7</t>
  </si>
  <si>
    <t>Fleming, Joyce</t>
  </si>
  <si>
    <t>60Y0235177</t>
  </si>
  <si>
    <t>Gillespie, Donna</t>
  </si>
  <si>
    <t>IL</t>
  </si>
  <si>
    <t>60Y0247877</t>
  </si>
  <si>
    <t>0.5% Y1 M5</t>
  </si>
  <si>
    <t>Gillespie, Robert</t>
  </si>
  <si>
    <t>60Y0247789</t>
  </si>
  <si>
    <t>Horowitz, Janie</t>
  </si>
  <si>
    <t>60Y0235243</t>
  </si>
  <si>
    <t>Horowitz, Philip</t>
  </si>
  <si>
    <t>60Y0235236</t>
  </si>
  <si>
    <t>0.5% Y1 M67</t>
  </si>
  <si>
    <t>Keller, Edward</t>
  </si>
  <si>
    <t>VT</t>
  </si>
  <si>
    <t>80Y0474852</t>
  </si>
  <si>
    <t>0.5% Y1 M10</t>
  </si>
  <si>
    <t>Keller, Karen</t>
  </si>
  <si>
    <t>80Y0475092</t>
  </si>
  <si>
    <t>Kubart, Sharon</t>
  </si>
  <si>
    <t>60Y0259753</t>
  </si>
  <si>
    <t>0.5% Y1 M4</t>
  </si>
  <si>
    <t>Mixson, Vicky</t>
  </si>
  <si>
    <t>FL</t>
  </si>
  <si>
    <t>60Y0329624</t>
  </si>
  <si>
    <t>Annually</t>
  </si>
  <si>
    <t>0.5% Y1 M1-M12</t>
  </si>
  <si>
    <t>Noble, Martha</t>
  </si>
  <si>
    <t>60Y0259284</t>
  </si>
  <si>
    <t>Noble, Richard</t>
  </si>
  <si>
    <t>60Y0259281</t>
  </si>
  <si>
    <t>Schipke, Andrew</t>
  </si>
  <si>
    <t>60Y0344619</t>
  </si>
  <si>
    <t>0.5% Y1 M1</t>
  </si>
  <si>
    <t>Schipke, Cynthia</t>
  </si>
  <si>
    <t>60Y0344610</t>
  </si>
  <si>
    <t>Udell, Heidi</t>
  </si>
  <si>
    <t>CT</t>
  </si>
  <si>
    <t>60Y0195417</t>
  </si>
  <si>
    <t>Freeman, Patricia</t>
  </si>
  <si>
    <t>NY</t>
  </si>
  <si>
    <t>Senior Care Brokers, Inc</t>
  </si>
  <si>
    <t>Donohue, Patrick</t>
  </si>
  <si>
    <t>60F0019907</t>
  </si>
  <si>
    <t>22% / 0.5% Y1 M12</t>
  </si>
  <si>
    <t>22% / 1% Y3 R1</t>
  </si>
  <si>
    <t>Pullin , John</t>
  </si>
  <si>
    <t>Baughn, Eileen</t>
  </si>
  <si>
    <t>36F0105121</t>
  </si>
  <si>
    <t>6% Y1 M12</t>
  </si>
  <si>
    <t>Pullin, Lynette</t>
  </si>
  <si>
    <t>36F0105122</t>
  </si>
  <si>
    <t>Yoshimura, Clifford</t>
  </si>
  <si>
    <t>Plan N</t>
  </si>
  <si>
    <t>36F0105238</t>
  </si>
  <si>
    <t>6% Y1 M7</t>
  </si>
  <si>
    <t>Budig, Patricia</t>
  </si>
  <si>
    <t>UT</t>
  </si>
  <si>
    <t>Butz, Michelle</t>
  </si>
  <si>
    <t>Y7 R7</t>
  </si>
  <si>
    <t>Shulz, Bryan</t>
  </si>
  <si>
    <t>36Y0255189</t>
  </si>
  <si>
    <t>Y1 M1</t>
  </si>
  <si>
    <t>Ruggeri, Frank</t>
  </si>
  <si>
    <t>60Y0283044</t>
  </si>
  <si>
    <t>24% Y1 M5</t>
  </si>
  <si>
    <t>Youngblood, Johnnie</t>
  </si>
  <si>
    <t>GA</t>
  </si>
  <si>
    <t>60F0015111</t>
  </si>
  <si>
    <t>22% Y1 R10</t>
  </si>
  <si>
    <t>Mossing, Kirk</t>
  </si>
  <si>
    <t>Nesbitt, Christopher</t>
  </si>
  <si>
    <t>60Y0274491</t>
  </si>
  <si>
    <t>3% Y1 M4</t>
  </si>
  <si>
    <t>Rosenbaum, Stuart</t>
  </si>
  <si>
    <t>60F0021482</t>
  </si>
  <si>
    <t>22% Y1 M8</t>
  </si>
  <si>
    <t>Rush, Marianne</t>
  </si>
  <si>
    <t>Taraborrelli, Rocco</t>
  </si>
  <si>
    <t>12Y0134964</t>
  </si>
  <si>
    <t>3% Y7 R12</t>
  </si>
  <si>
    <t>3% Y8 R1</t>
  </si>
  <si>
    <t>Martinez, Judith</t>
  </si>
  <si>
    <t>Ward-Abdo, Julie</t>
  </si>
  <si>
    <t>Schwartz, Stuart</t>
  </si>
  <si>
    <t>12F0064244</t>
  </si>
  <si>
    <t>.5% Y8 R1</t>
  </si>
  <si>
    <t>.5% Y8 R2</t>
  </si>
  <si>
    <t>Michelin, Stephen</t>
  </si>
  <si>
    <t>Dangelo, Tammy</t>
  </si>
  <si>
    <t>60Y0355861</t>
  </si>
  <si>
    <t>Mason, James</t>
  </si>
  <si>
    <t>D'Angelo, Tammy</t>
  </si>
  <si>
    <t>60Y0247603</t>
  </si>
  <si>
    <t>24%/1% Y1 M6</t>
  </si>
  <si>
    <t xml:space="preserve">FEE </t>
  </si>
  <si>
    <t>AGENT COMMISSION FOR TTP CALCULATION</t>
  </si>
  <si>
    <t>THE TRUSTED PROGRAM AGENT</t>
  </si>
  <si>
    <t>THE TRUSTED PROGRAM REF AGENT</t>
  </si>
  <si>
    <t>THE TRUSTED PROGRAM AGENT 10%</t>
  </si>
  <si>
    <t>THE TRUSTED PROGRAM REF AGENT 10%</t>
  </si>
  <si>
    <t>THE TRUSTED PROGRAM AGENT 20%</t>
  </si>
  <si>
    <t>THE TRUSTED PROGRAM REF AGENT 20%</t>
  </si>
  <si>
    <t>THE TRUSTED PROGRAM AGENT 30%</t>
  </si>
  <si>
    <t>THE TRUSTED PROGRAM REF AGENT 30%</t>
  </si>
  <si>
    <t>THE TRUSTED PROGRAM AGENT 35%</t>
  </si>
  <si>
    <t>THE TRUSTED PROGRAM REF AGENT 35%</t>
  </si>
  <si>
    <t>THE TRUSTED PROGRAM AGENT 40%</t>
  </si>
  <si>
    <t>THE TRUSTED PROGRAM REF AGENT 40%</t>
  </si>
  <si>
    <t>THE TRUSTED PROGRAM AGENT 45%</t>
  </si>
  <si>
    <t>THE TRUSTED PROGRAM REF AGENT 45%</t>
  </si>
  <si>
    <t>THE TRUSTED PROGRAM AGENT 50%</t>
  </si>
  <si>
    <t>THE TRUSTED PROGRAM REF AGENT 50%</t>
  </si>
  <si>
    <t>ALLOCATION AGENT</t>
  </si>
  <si>
    <t>ALLOCATION REFERRING AGENT</t>
  </si>
  <si>
    <t>NET PAY</t>
  </si>
  <si>
    <t>COMMISSIONS PAID THIS STATEMENT:</t>
  </si>
  <si>
    <t>PRIOR BALANCE:</t>
  </si>
  <si>
    <t>TOTAL COMMISSIONS PAID:</t>
  </si>
  <si>
    <t>AS</t>
  </si>
  <si>
    <t>January</t>
  </si>
  <si>
    <t>FEE 3:</t>
  </si>
  <si>
    <t>TTP FEE 60%:</t>
  </si>
  <si>
    <t>TTP FEE 70%:</t>
  </si>
  <si>
    <r>
      <rPr>
        <b/>
        <sz val="11"/>
        <rFont val="Calibri"/>
        <family val="2"/>
      </rPr>
      <t xml:space="preserve">TTP AGENT COMMISSION </t>
    </r>
    <r>
      <rPr>
        <b/>
        <sz val="11"/>
        <color rgb="FFFF0000"/>
        <rFont val="Calibri"/>
        <family val="2"/>
      </rPr>
      <t>(This amount is not included in statement total)</t>
    </r>
  </si>
  <si>
    <t>11% / .25% Y3 R8</t>
  </si>
  <si>
    <t>0.5% Y2 R1</t>
  </si>
  <si>
    <t>.25% Y3 R8</t>
  </si>
  <si>
    <t>1% Y1 M10-M11</t>
  </si>
  <si>
    <t>1% Y1 M11-M12</t>
  </si>
  <si>
    <t>Trusted Solutions Insurance Brokerage, Inc.</t>
  </si>
  <si>
    <t>****</t>
  </si>
  <si>
    <t>1% Y1 M2-M3</t>
  </si>
  <si>
    <t>Elizabeth Beuttel</t>
  </si>
  <si>
    <t>Tammy D'Angelo</t>
  </si>
  <si>
    <t>24% Y1 M6</t>
  </si>
  <si>
    <t>Christopher Nesbitt</t>
  </si>
  <si>
    <t>Julie Ward-Abdo</t>
  </si>
  <si>
    <t>.5% Y8 R1-R2</t>
  </si>
  <si>
    <t>Termed - Initial</t>
  </si>
  <si>
    <t>Termed - Renewal</t>
  </si>
  <si>
    <t>Name</t>
  </si>
  <si>
    <t>Name Full</t>
  </si>
  <si>
    <t>Code</t>
  </si>
  <si>
    <t>Source</t>
  </si>
  <si>
    <t>ACE</t>
  </si>
  <si>
    <t>Aetna</t>
  </si>
  <si>
    <t>AETN</t>
  </si>
  <si>
    <t>Portal</t>
  </si>
  <si>
    <t>Aetna (Clearview)</t>
  </si>
  <si>
    <t>AETN (CV)</t>
  </si>
  <si>
    <t>Aetna American Continental</t>
  </si>
  <si>
    <t>AAC</t>
  </si>
  <si>
    <t xml:space="preserve">Agentra </t>
  </si>
  <si>
    <t>AGEN</t>
  </si>
  <si>
    <t>AgeWell New York</t>
  </si>
  <si>
    <t>AGEW</t>
  </si>
  <si>
    <t>Portal &amp; (Email carrier for Excel version)</t>
  </si>
  <si>
    <t>AIG</t>
  </si>
  <si>
    <t>AIP (Override for various carriers)</t>
  </si>
  <si>
    <t>AIP</t>
  </si>
  <si>
    <t>Mail</t>
  </si>
  <si>
    <t>Alignment</t>
  </si>
  <si>
    <t>ALIG</t>
  </si>
  <si>
    <t>TBD</t>
  </si>
  <si>
    <t>Allstate</t>
  </si>
  <si>
    <t>ALLS</t>
  </si>
  <si>
    <t>Ameritas</t>
  </si>
  <si>
    <t>AMER</t>
  </si>
  <si>
    <t>Anthem</t>
  </si>
  <si>
    <t>ANTH RIM</t>
  </si>
  <si>
    <t>Portal (RitterIM)</t>
  </si>
  <si>
    <t>Atrio</t>
  </si>
  <si>
    <t>Atrio Health Plans</t>
  </si>
  <si>
    <t>ATRI</t>
  </si>
  <si>
    <t>Bankers Fidelity</t>
  </si>
  <si>
    <t>BANK</t>
  </si>
  <si>
    <t>Blue Cross Blue Shield - Illinois</t>
  </si>
  <si>
    <t>BLUE IL</t>
  </si>
  <si>
    <t>Blue Cross Blue Shield - Montana</t>
  </si>
  <si>
    <t>BLUE MT</t>
  </si>
  <si>
    <t>Blue Cross Blue Shield - Oregon</t>
  </si>
  <si>
    <t>BLUE OR</t>
  </si>
  <si>
    <t>Blue Cross Blue Shield - Texas</t>
  </si>
  <si>
    <t>BLUE TX</t>
  </si>
  <si>
    <t>Blue Shield of Arizona</t>
  </si>
  <si>
    <t>BLUE AZ</t>
  </si>
  <si>
    <t>Blue Shield of California</t>
  </si>
  <si>
    <t xml:space="preserve">BLUE </t>
  </si>
  <si>
    <t>Brand New Day</t>
  </si>
  <si>
    <t>BND</t>
  </si>
  <si>
    <t>Portal (Van Berg)</t>
  </si>
  <si>
    <t>Careington</t>
  </si>
  <si>
    <t>Careington (MWG)</t>
  </si>
  <si>
    <t>CARE MWG</t>
  </si>
  <si>
    <t>Portal (Morgan White Group)</t>
  </si>
  <si>
    <t>Caremore</t>
  </si>
  <si>
    <t>CARE</t>
  </si>
  <si>
    <t>Central Health Plan</t>
  </si>
  <si>
    <t>CENT VB</t>
  </si>
  <si>
    <t>Cigna Health Springs (MAPD)</t>
  </si>
  <si>
    <t>Cigna Health Springs</t>
  </si>
  <si>
    <t>CIGN HS MA</t>
  </si>
  <si>
    <t>Cigna Health Springs (PDP)</t>
  </si>
  <si>
    <t>CIGN HS PDP</t>
  </si>
  <si>
    <t>CIGN</t>
  </si>
  <si>
    <t>Clear Spring Health</t>
  </si>
  <si>
    <t>CLEA</t>
  </si>
  <si>
    <t>Clover Health</t>
  </si>
  <si>
    <t>Clover Health - (RIM - Ritter Insurance Marketing)</t>
  </si>
  <si>
    <t>CLOV RIM</t>
  </si>
  <si>
    <t>Portal Ritter IM</t>
  </si>
  <si>
    <t>Combined Insurance</t>
  </si>
  <si>
    <t>COMB</t>
  </si>
  <si>
    <t>Continental Life</t>
  </si>
  <si>
    <t>CONT</t>
  </si>
  <si>
    <t>e-mail</t>
  </si>
  <si>
    <t>Corebridge</t>
  </si>
  <si>
    <t>CORE</t>
  </si>
  <si>
    <t>Delta Dental</t>
  </si>
  <si>
    <t>Delta Dental (MWG) (Once a month)</t>
  </si>
  <si>
    <t>DELT MWG</t>
  </si>
  <si>
    <t>DevotedHealth</t>
  </si>
  <si>
    <t>DEVO</t>
  </si>
  <si>
    <t>DP Brokers</t>
  </si>
  <si>
    <t>DP Brokers Dental</t>
  </si>
  <si>
    <t>DPBR</t>
  </si>
  <si>
    <t>Elderplan</t>
  </si>
  <si>
    <t>ELDR</t>
  </si>
  <si>
    <t>EmblemHealth</t>
  </si>
  <si>
    <t>EMBL</t>
  </si>
  <si>
    <t>Envision</t>
  </si>
  <si>
    <t>ENVI</t>
  </si>
  <si>
    <t>Excellus</t>
  </si>
  <si>
    <t>EXCE</t>
  </si>
  <si>
    <t>FidelisCare</t>
  </si>
  <si>
    <t>FIDC</t>
  </si>
  <si>
    <t>Fidelity &amp; Guaranty Life</t>
  </si>
  <si>
    <t>FGL</t>
  </si>
  <si>
    <t>Florida Blue</t>
  </si>
  <si>
    <t>FLOR</t>
  </si>
  <si>
    <t>Foresters</t>
  </si>
  <si>
    <t>Foresters Financial</t>
  </si>
  <si>
    <t>FORE</t>
  </si>
  <si>
    <t>Gallagher</t>
  </si>
  <si>
    <t>GALL</t>
  </si>
  <si>
    <t>Geo Blue</t>
  </si>
  <si>
    <t>GEOB</t>
  </si>
  <si>
    <t>Gerber Life</t>
  </si>
  <si>
    <t>GERB</t>
  </si>
  <si>
    <t>Globe Life</t>
  </si>
  <si>
    <t xml:space="preserve">Globe Life Insurance Company  (First United American) </t>
  </si>
  <si>
    <t>FUA</t>
  </si>
  <si>
    <t>Health First</t>
  </si>
  <si>
    <t>HFIR</t>
  </si>
  <si>
    <t>Health Net</t>
  </si>
  <si>
    <t>Healthnet</t>
  </si>
  <si>
    <t>HEAL</t>
  </si>
  <si>
    <t>Highmark</t>
  </si>
  <si>
    <t>HIGH</t>
  </si>
  <si>
    <t>Horizon</t>
  </si>
  <si>
    <t>HORI</t>
  </si>
  <si>
    <t>Humana (AP)</t>
  </si>
  <si>
    <t>Humana (AgentPipeline)</t>
  </si>
  <si>
    <t>HUMA (AP)</t>
  </si>
  <si>
    <t>Humana (Clearview)</t>
  </si>
  <si>
    <t>HUMA (CV)</t>
  </si>
  <si>
    <t>Humana (NSG)</t>
  </si>
  <si>
    <t>Humana (National Service Group)</t>
  </si>
  <si>
    <t>HUMA NSG</t>
  </si>
  <si>
    <t>Portal (Agent Xcelerator)</t>
  </si>
  <si>
    <t>Humana (TAIA)</t>
  </si>
  <si>
    <t>Humana</t>
  </si>
  <si>
    <t>HUMA</t>
  </si>
  <si>
    <t>Imperial</t>
  </si>
  <si>
    <t>IMPE</t>
  </si>
  <si>
    <t>Kaiser</t>
  </si>
  <si>
    <t>KAIS</t>
  </si>
  <si>
    <t>Lincoln Financial Group</t>
  </si>
  <si>
    <t>LINC</t>
  </si>
  <si>
    <t>Medico</t>
  </si>
  <si>
    <t>Medico (Statements Available once a month after 15th)</t>
  </si>
  <si>
    <t>MEDI</t>
  </si>
  <si>
    <t>Membership</t>
  </si>
  <si>
    <t>MEMB</t>
  </si>
  <si>
    <t>TAIA INTERNAL</t>
  </si>
  <si>
    <t>Molina Healthcare</t>
  </si>
  <si>
    <t>MOLI</t>
  </si>
  <si>
    <t>Morgan White Group</t>
  </si>
  <si>
    <t>MWG</t>
  </si>
  <si>
    <t>Mutual of Omaha</t>
  </si>
  <si>
    <t>Mutual of Omaha / United of Omaha (Acct 0732363)</t>
  </si>
  <si>
    <t>MOO</t>
  </si>
  <si>
    <t>National Guardian</t>
  </si>
  <si>
    <t>NATG</t>
  </si>
  <si>
    <t>Nationwide.</t>
  </si>
  <si>
    <t>Nationwide (MWG)</t>
  </si>
  <si>
    <t>NATW MWG</t>
  </si>
  <si>
    <t>North Coast Life</t>
  </si>
  <si>
    <t>NCL</t>
  </si>
  <si>
    <t>Oscar</t>
  </si>
  <si>
    <t>OSCA</t>
  </si>
  <si>
    <t>Physicians Mutual</t>
  </si>
  <si>
    <t>PHYS</t>
  </si>
  <si>
    <t xml:space="preserve">Principal Financial </t>
  </si>
  <si>
    <t>PRIN</t>
  </si>
  <si>
    <t>Protective Life</t>
  </si>
  <si>
    <t>PROT</t>
  </si>
  <si>
    <t>Prudential</t>
  </si>
  <si>
    <t>PRUD</t>
  </si>
  <si>
    <t>Quality Health Plans of New York</t>
  </si>
  <si>
    <t>QHPNY</t>
  </si>
  <si>
    <t>Regence</t>
  </si>
  <si>
    <t>REGE</t>
  </si>
  <si>
    <t>Renaissance Dental</t>
  </si>
  <si>
    <t>Renaissance Dental (MWG)</t>
  </si>
  <si>
    <t>REN MWG</t>
  </si>
  <si>
    <t>Scan Health</t>
  </si>
  <si>
    <t>SCAN</t>
  </si>
  <si>
    <t>SilverScript</t>
  </si>
  <si>
    <t>Silverscript (RIM - Ritter Insurance Marketing)</t>
  </si>
  <si>
    <t>SILV RIM</t>
  </si>
  <si>
    <t>Silverscript (SMS - Senior Market Sales)</t>
  </si>
  <si>
    <t>SILV SMS</t>
  </si>
  <si>
    <t>Email</t>
  </si>
  <si>
    <t>Standard Life</t>
  </si>
  <si>
    <t>Standard Life / American National Insurance, ANICO / ANTEX</t>
  </si>
  <si>
    <t>STAN</t>
  </si>
  <si>
    <t>TAIA House Statement</t>
  </si>
  <si>
    <t>Transamerica AIP</t>
  </si>
  <si>
    <t>TRAN AIP</t>
  </si>
  <si>
    <t>Portal (AIPMA) (Maybe Mail)</t>
  </si>
  <si>
    <t>Transamerica Life</t>
  </si>
  <si>
    <t>TRAN</t>
  </si>
  <si>
    <t xml:space="preserve">True Freedom </t>
  </si>
  <si>
    <t>True Freedom</t>
  </si>
  <si>
    <t>United American</t>
  </si>
  <si>
    <t>UA</t>
  </si>
  <si>
    <t>United Home Life</t>
  </si>
  <si>
    <t>UHL</t>
  </si>
  <si>
    <t>UnitedHealthcare</t>
  </si>
  <si>
    <t>UHC</t>
  </si>
  <si>
    <t>UnitedHealthcare (Clearview)</t>
  </si>
  <si>
    <t>UHC (CV)</t>
  </si>
  <si>
    <t>Universal American</t>
  </si>
  <si>
    <t>Universal American / American Progressive / Today's Options</t>
  </si>
  <si>
    <t>UNIV</t>
  </si>
  <si>
    <t>Velapoint</t>
  </si>
  <si>
    <t>VELA</t>
  </si>
  <si>
    <t>VNS Health</t>
  </si>
  <si>
    <t>VNS</t>
  </si>
  <si>
    <t>VSP</t>
  </si>
  <si>
    <t>VSP (MWG)</t>
  </si>
  <si>
    <t>VSP MWG</t>
  </si>
  <si>
    <t>WellCare</t>
  </si>
  <si>
    <t>WELL</t>
  </si>
  <si>
    <t>WellCare - Centene</t>
  </si>
  <si>
    <t>WELL CE</t>
  </si>
  <si>
    <t>WellCare - Spark</t>
  </si>
  <si>
    <t>WELL SP</t>
  </si>
  <si>
    <t>WellCare (Clearview)</t>
  </si>
  <si>
    <t>WELL (CV)</t>
  </si>
  <si>
    <t>Western Health Advantage</t>
  </si>
  <si>
    <t>WHA</t>
  </si>
  <si>
    <t>Aetna (SMS - Senior Market Sales)</t>
  </si>
  <si>
    <t>AETN SMS</t>
  </si>
  <si>
    <t>TAIA Email &amp; RM Mail</t>
  </si>
  <si>
    <t>America's Training Center</t>
  </si>
  <si>
    <t>ATC</t>
  </si>
  <si>
    <t>ElderPlan</t>
  </si>
  <si>
    <t>ELDP</t>
  </si>
  <si>
    <t>ElderPlan - (RIM - Ritter Insurance Marketing)</t>
  </si>
  <si>
    <t>ELDP RIM</t>
  </si>
  <si>
    <t xml:space="preserve">Envision - (RIM - Ritter Insurance Marketing) </t>
  </si>
  <si>
    <t>ENVI RIM</t>
  </si>
  <si>
    <t>NAPA / Gallagher MGA - (Arthur J. Gallagher Risk Management Services)</t>
  </si>
  <si>
    <t>NAPA</t>
  </si>
  <si>
    <t>NGIC (Payment coming from Velapoint or NGIC)</t>
  </si>
  <si>
    <t>NGIC</t>
  </si>
  <si>
    <t>NHIC (Velapoint NGIC)</t>
  </si>
  <si>
    <t>NHIC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</si>
</sst>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[$-409]General"/>
    <numFmt numFmtId="165" formatCode="mm/dd/yy;@"/>
    <numFmt numFmtId="166" formatCode="0.0%"/>
    <numFmt numFmtId="167" formatCode="mm/dd/yyyy"/>
    <numFmt numFmtId="168" formatCode="&quot;$&quot;#,##0.00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9"/>
      <name val="Calibri"/>
      <family val="2"/>
    </font>
    <font>
      <sz val="10"/>
      <name val="Arial"/>
      <family val="2"/>
    </font>
    <font>
      <sz val="12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name val="Calibri"/>
      <family val="2"/>
    </font>
    <font>
      <b/>
      <sz val="12"/>
      <name val="Calibri"/>
      <family val="2"/>
    </font>
    <font>
      <b/>
      <sz val="20"/>
      <name val="Calibri"/>
      <family val="2"/>
    </font>
    <font>
      <b/>
      <sz val="6"/>
      <name val="Calibri"/>
      <family val="2"/>
    </font>
    <font>
      <b/>
      <sz val="10"/>
      <name val="Calibri"/>
      <family val="2"/>
    </font>
    <font>
      <sz val="10"/>
      <color rgb="FF0000FF"/>
      <name val="Calibri"/>
      <family val="2"/>
    </font>
    <font>
      <b/>
      <sz val="16"/>
      <name val="Calibri"/>
      <family val="2"/>
    </font>
    <font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20"/>
      <name val="Calibri"/>
      <family val="2"/>
      <scheme val="minor"/>
    </font>
    <font>
      <b/>
      <sz val="16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Calibri"/>
      <family val="2"/>
    </font>
    <font>
      <sz val="10"/>
      <name val="Calibri"/>
      <family val="2"/>
      <scheme val="minor"/>
    </font>
    <font>
      <sz val="1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57D3FF"/>
        <bgColor indexed="64"/>
      </patternFill>
    </fill>
    <fill>
      <patternFill patternType="solid">
        <fgColor rgb="FFC1C1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9" tint="0.59999389629810485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2">
    <xf numFmtId="0" fontId="0" fillId="0" borderId="0"/>
    <xf numFmtId="164" fontId="3" fillId="0" borderId="0"/>
    <xf numFmtId="164" fontId="6" fillId="0" borderId="0"/>
    <xf numFmtId="164" fontId="2" fillId="0" borderId="0"/>
    <xf numFmtId="44" fontId="3" fillId="0" borderId="0" applyFont="0" applyFill="0" applyBorder="0" applyAlignment="0" applyProtection="0"/>
    <xf numFmtId="164" fontId="2" fillId="0" borderId="0"/>
    <xf numFmtId="9" fontId="3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164" fontId="1" fillId="0" borderId="0"/>
    <xf numFmtId="9" fontId="1" fillId="0" borderId="0" applyFont="0" applyFill="0" applyBorder="0" applyAlignment="0" applyProtection="0"/>
  </cellStyleXfs>
  <cellXfs count="496">
    <xf numFmtId="0" fontId="0" fillId="0" borderId="0" xfId="0"/>
    <xf numFmtId="164" fontId="4" fillId="0" borderId="0" xfId="1" applyFont="1" applyAlignment="1">
      <alignment horizontal="center" vertical="center"/>
    </xf>
    <xf numFmtId="165" fontId="5" fillId="0" borderId="0" xfId="1" applyNumberFormat="1" applyFont="1" applyAlignment="1">
      <alignment horizontal="center" vertical="center"/>
    </xf>
    <xf numFmtId="165" fontId="4" fillId="0" borderId="0" xfId="1" applyNumberFormat="1" applyFont="1" applyAlignment="1">
      <alignment horizontal="center"/>
    </xf>
    <xf numFmtId="164" fontId="4" fillId="0" borderId="0" xfId="1" applyFont="1" applyAlignment="1">
      <alignment horizontal="left"/>
    </xf>
    <xf numFmtId="164" fontId="4" fillId="0" borderId="0" xfId="1" applyFont="1"/>
    <xf numFmtId="44" fontId="4" fillId="0" borderId="0" xfId="4" applyFont="1" applyAlignment="1">
      <alignment horizontal="center" vertical="center"/>
    </xf>
    <xf numFmtId="9" fontId="4" fillId="0" borderId="0" xfId="6" applyFont="1" applyAlignment="1">
      <alignment horizontal="center" vertical="center"/>
    </xf>
    <xf numFmtId="44" fontId="4" fillId="0" borderId="0" xfId="4" applyFont="1"/>
    <xf numFmtId="44" fontId="4" fillId="0" borderId="0" xfId="8" applyFont="1" applyAlignment="1">
      <alignment horizontal="left" vertical="center"/>
    </xf>
    <xf numFmtId="165" fontId="4" fillId="0" borderId="0" xfId="1" applyNumberFormat="1" applyFont="1" applyAlignment="1">
      <alignment horizontal="center" vertical="center"/>
    </xf>
    <xf numFmtId="0" fontId="8" fillId="0" borderId="0" xfId="0" applyFont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9" borderId="0" xfId="0" applyFont="1" applyFill="1"/>
    <xf numFmtId="0" fontId="7" fillId="0" borderId="10" xfId="0" applyFont="1" applyBorder="1"/>
    <xf numFmtId="0" fontId="7" fillId="0" borderId="11" xfId="0" applyFont="1" applyBorder="1" applyAlignment="1">
      <alignment horizontal="center"/>
    </xf>
    <xf numFmtId="0" fontId="7" fillId="0" borderId="12" xfId="0" applyFont="1" applyBorder="1"/>
    <xf numFmtId="0" fontId="7" fillId="0" borderId="13" xfId="0" applyFont="1" applyBorder="1"/>
    <xf numFmtId="0" fontId="7" fillId="0" borderId="14" xfId="0" applyFont="1" applyBorder="1" applyAlignment="1">
      <alignment horizontal="center"/>
    </xf>
    <xf numFmtId="0" fontId="7" fillId="0" borderId="15" xfId="0" applyFont="1" applyBorder="1"/>
    <xf numFmtId="1" fontId="4" fillId="0" borderId="0" xfId="4" applyNumberFormat="1" applyFont="1" applyAlignment="1">
      <alignment horizontal="center" vertical="center"/>
    </xf>
    <xf numFmtId="44" fontId="5" fillId="0" borderId="0" xfId="8" applyFont="1" applyAlignment="1">
      <alignment horizontal="left" vertical="center"/>
    </xf>
    <xf numFmtId="44" fontId="4" fillId="0" borderId="0" xfId="8" applyFont="1"/>
    <xf numFmtId="44" fontId="5" fillId="0" borderId="0" xfId="4" applyFont="1" applyAlignment="1">
      <alignment horizontal="left" vertical="center"/>
    </xf>
    <xf numFmtId="44" fontId="4" fillId="0" borderId="0" xfId="4" applyFont="1" applyAlignment="1">
      <alignment horizontal="left" vertical="center"/>
    </xf>
    <xf numFmtId="164" fontId="4" fillId="0" borderId="0" xfId="1" applyFont="1" applyAlignment="1">
      <alignment horizontal="center"/>
    </xf>
    <xf numFmtId="164" fontId="9" fillId="0" borderId="0" xfId="1" applyFont="1" applyAlignment="1">
      <alignment horizontal="center" vertical="center"/>
    </xf>
    <xf numFmtId="44" fontId="9" fillId="0" borderId="0" xfId="4" applyFont="1" applyAlignment="1">
      <alignment horizontal="center" vertical="center"/>
    </xf>
    <xf numFmtId="165" fontId="9" fillId="0" borderId="0" xfId="1" applyNumberFormat="1" applyFont="1" applyAlignment="1">
      <alignment horizontal="center" vertical="center"/>
    </xf>
    <xf numFmtId="44" fontId="9" fillId="0" borderId="0" xfId="4" applyFont="1" applyAlignment="1">
      <alignment horizontal="left" vertical="center"/>
    </xf>
    <xf numFmtId="9" fontId="9" fillId="0" borderId="0" xfId="6" applyFont="1" applyAlignment="1">
      <alignment horizontal="center" vertical="center"/>
    </xf>
    <xf numFmtId="165" fontId="9" fillId="0" borderId="0" xfId="1" applyNumberFormat="1" applyFont="1" applyAlignment="1">
      <alignment horizontal="center"/>
    </xf>
    <xf numFmtId="44" fontId="9" fillId="0" borderId="0" xfId="4" applyFont="1"/>
    <xf numFmtId="164" fontId="9" fillId="0" borderId="0" xfId="1" applyFont="1" applyAlignment="1">
      <alignment horizontal="center"/>
    </xf>
    <xf numFmtId="164" fontId="9" fillId="0" borderId="0" xfId="1" applyFont="1"/>
    <xf numFmtId="0" fontId="0" fillId="0" borderId="11" xfId="0" applyBorder="1"/>
    <xf numFmtId="1" fontId="10" fillId="0" borderId="0" xfId="4" applyNumberFormat="1" applyFont="1" applyAlignment="1">
      <alignment horizontal="center" vertical="center"/>
    </xf>
    <xf numFmtId="44" fontId="4" fillId="0" borderId="0" xfId="8" applyFont="1" applyAlignment="1">
      <alignment horizontal="center"/>
    </xf>
    <xf numFmtId="44" fontId="9" fillId="0" borderId="0" xfId="8" applyFont="1" applyAlignment="1">
      <alignment horizontal="center"/>
    </xf>
    <xf numFmtId="0" fontId="4" fillId="0" borderId="0" xfId="0" applyFont="1"/>
    <xf numFmtId="164" fontId="10" fillId="0" borderId="0" xfId="2" applyFont="1" applyAlignment="1">
      <alignment horizontal="left" vertical="center"/>
    </xf>
    <xf numFmtId="164" fontId="10" fillId="0" borderId="0" xfId="2" applyFont="1" applyAlignment="1">
      <alignment horizontal="center" vertical="center"/>
    </xf>
    <xf numFmtId="165" fontId="10" fillId="0" borderId="0" xfId="2" applyNumberFormat="1" applyFont="1" applyAlignment="1">
      <alignment horizontal="center" vertical="center"/>
    </xf>
    <xf numFmtId="165" fontId="10" fillId="0" borderId="0" xfId="2" applyNumberFormat="1" applyFont="1" applyAlignment="1">
      <alignment horizontal="left" vertical="center"/>
    </xf>
    <xf numFmtId="17" fontId="10" fillId="0" borderId="0" xfId="2" applyNumberFormat="1" applyFont="1" applyAlignment="1">
      <alignment horizontal="left" vertical="center"/>
    </xf>
    <xf numFmtId="164" fontId="9" fillId="0" borderId="0" xfId="2" applyFont="1" applyAlignment="1">
      <alignment horizontal="center" vertical="center"/>
    </xf>
    <xf numFmtId="44" fontId="10" fillId="0" borderId="0" xfId="4" applyFont="1" applyAlignment="1">
      <alignment horizontal="center" vertical="center"/>
    </xf>
    <xf numFmtId="9" fontId="10" fillId="0" borderId="0" xfId="6" applyFont="1" applyAlignment="1">
      <alignment horizontal="right" vertical="center"/>
    </xf>
    <xf numFmtId="164" fontId="12" fillId="0" borderId="0" xfId="2" applyFont="1" applyAlignment="1">
      <alignment horizontal="center" vertical="center"/>
    </xf>
    <xf numFmtId="44" fontId="12" fillId="0" borderId="0" xfId="4" applyFont="1" applyAlignment="1">
      <alignment horizontal="center" vertical="center"/>
    </xf>
    <xf numFmtId="1" fontId="12" fillId="0" borderId="0" xfId="4" applyNumberFormat="1" applyFont="1" applyAlignment="1">
      <alignment horizontal="center" vertical="center"/>
    </xf>
    <xf numFmtId="9" fontId="12" fillId="0" borderId="0" xfId="6" applyFont="1" applyAlignment="1">
      <alignment horizontal="right" vertical="center"/>
    </xf>
    <xf numFmtId="165" fontId="9" fillId="0" borderId="0" xfId="3" applyNumberFormat="1" applyFont="1" applyAlignment="1">
      <alignment horizontal="center" vertical="center"/>
    </xf>
    <xf numFmtId="44" fontId="9" fillId="0" borderId="0" xfId="8" applyFont="1" applyAlignment="1">
      <alignment horizontal="center" vertical="center"/>
    </xf>
    <xf numFmtId="164" fontId="9" fillId="0" borderId="0" xfId="1" applyFont="1" applyAlignment="1">
      <alignment horizontal="left" vertical="center"/>
    </xf>
    <xf numFmtId="165" fontId="10" fillId="0" borderId="0" xfId="4" applyNumberFormat="1" applyFont="1" applyAlignment="1">
      <alignment horizontal="center" vertical="center"/>
    </xf>
    <xf numFmtId="164" fontId="9" fillId="0" borderId="0" xfId="3" applyFont="1" applyAlignment="1">
      <alignment vertical="center"/>
    </xf>
    <xf numFmtId="44" fontId="9" fillId="0" borderId="0" xfId="4" applyFont="1" applyAlignment="1">
      <alignment vertical="center"/>
    </xf>
    <xf numFmtId="164" fontId="9" fillId="0" borderId="0" xfId="3" applyFont="1" applyAlignment="1">
      <alignment horizontal="left" vertical="center"/>
    </xf>
    <xf numFmtId="164" fontId="13" fillId="3" borderId="31" xfId="2" applyFont="1" applyFill="1" applyBorder="1" applyAlignment="1">
      <alignment horizontal="center" vertical="center" wrapText="1"/>
    </xf>
    <xf numFmtId="164" fontId="13" fillId="4" borderId="32" xfId="1" applyFont="1" applyFill="1" applyBorder="1" applyAlignment="1">
      <alignment horizontal="center" vertical="center" wrapText="1"/>
    </xf>
    <xf numFmtId="165" fontId="13" fillId="3" borderId="32" xfId="2" applyNumberFormat="1" applyFont="1" applyFill="1" applyBorder="1" applyAlignment="1">
      <alignment horizontal="center" vertical="center" wrapText="1"/>
    </xf>
    <xf numFmtId="164" fontId="13" fillId="3" borderId="32" xfId="2" applyFont="1" applyFill="1" applyBorder="1" applyAlignment="1">
      <alignment horizontal="center" vertical="center" wrapText="1"/>
    </xf>
    <xf numFmtId="44" fontId="13" fillId="5" borderId="32" xfId="2" applyNumberFormat="1" applyFont="1" applyFill="1" applyBorder="1" applyAlignment="1">
      <alignment horizontal="center" vertical="center" wrapText="1"/>
    </xf>
    <xf numFmtId="164" fontId="13" fillId="5" borderId="32" xfId="2" applyFont="1" applyFill="1" applyBorder="1" applyAlignment="1">
      <alignment horizontal="center" vertical="center" wrapText="1"/>
    </xf>
    <xf numFmtId="1" fontId="13" fillId="3" borderId="32" xfId="2" applyNumberFormat="1" applyFont="1" applyFill="1" applyBorder="1" applyAlignment="1">
      <alignment horizontal="center" vertical="center" wrapText="1"/>
    </xf>
    <xf numFmtId="44" fontId="13" fillId="6" borderId="32" xfId="4" applyFont="1" applyFill="1" applyBorder="1" applyAlignment="1">
      <alignment horizontal="center" vertical="center" wrapText="1"/>
    </xf>
    <xf numFmtId="164" fontId="13" fillId="6" borderId="32" xfId="2" applyFont="1" applyFill="1" applyBorder="1" applyAlignment="1">
      <alignment horizontal="center" vertical="center" wrapText="1"/>
    </xf>
    <xf numFmtId="44" fontId="13" fillId="7" borderId="32" xfId="8" applyFont="1" applyFill="1" applyBorder="1" applyAlignment="1">
      <alignment horizontal="center" vertical="center" wrapText="1"/>
    </xf>
    <xf numFmtId="44" fontId="13" fillId="3" borderId="32" xfId="8" applyFont="1" applyFill="1" applyBorder="1" applyAlignment="1">
      <alignment horizontal="center" vertical="center" wrapText="1"/>
    </xf>
    <xf numFmtId="44" fontId="13" fillId="10" borderId="32" xfId="8" applyFont="1" applyFill="1" applyBorder="1" applyAlignment="1">
      <alignment horizontal="center" vertical="center" wrapText="1"/>
    </xf>
    <xf numFmtId="9" fontId="13" fillId="3" borderId="33" xfId="6" applyFont="1" applyFill="1" applyBorder="1" applyAlignment="1">
      <alignment horizontal="center" vertical="center" wrapText="1"/>
    </xf>
    <xf numFmtId="165" fontId="13" fillId="8" borderId="24" xfId="4" applyNumberFormat="1" applyFont="1" applyFill="1" applyBorder="1" applyAlignment="1">
      <alignment horizontal="center" vertical="center" wrapText="1"/>
    </xf>
    <xf numFmtId="44" fontId="13" fillId="8" borderId="11" xfId="8" applyFont="1" applyFill="1" applyBorder="1" applyAlignment="1">
      <alignment horizontal="center" vertical="center" wrapText="1"/>
    </xf>
    <xf numFmtId="165" fontId="13" fillId="8" borderId="11" xfId="2" applyNumberFormat="1" applyFont="1" applyFill="1" applyBorder="1" applyAlignment="1">
      <alignment horizontal="center" vertical="center" wrapText="1"/>
    </xf>
    <xf numFmtId="166" fontId="13" fillId="9" borderId="11" xfId="2" applyNumberFormat="1" applyFont="1" applyFill="1" applyBorder="1" applyAlignment="1">
      <alignment horizontal="center" vertical="center" wrapText="1"/>
    </xf>
    <xf numFmtId="165" fontId="13" fillId="9" borderId="11" xfId="2" applyNumberFormat="1" applyFont="1" applyFill="1" applyBorder="1" applyAlignment="1">
      <alignment horizontal="center" vertical="center" wrapText="1"/>
    </xf>
    <xf numFmtId="44" fontId="13" fillId="8" borderId="11" xfId="4" applyFont="1" applyFill="1" applyBorder="1" applyAlignment="1">
      <alignment horizontal="center" vertical="center" wrapText="1"/>
    </xf>
    <xf numFmtId="44" fontId="13" fillId="8" borderId="11" xfId="2" applyNumberFormat="1" applyFont="1" applyFill="1" applyBorder="1" applyAlignment="1">
      <alignment horizontal="center" vertical="center" wrapText="1"/>
    </xf>
    <xf numFmtId="164" fontId="13" fillId="8" borderId="11" xfId="2" applyFont="1" applyFill="1" applyBorder="1" applyAlignment="1">
      <alignment horizontal="center" vertical="center" wrapText="1"/>
    </xf>
    <xf numFmtId="164" fontId="13" fillId="9" borderId="11" xfId="2" applyFont="1" applyFill="1" applyBorder="1" applyAlignment="1">
      <alignment horizontal="center" vertical="center"/>
    </xf>
    <xf numFmtId="165" fontId="13" fillId="8" borderId="11" xfId="5" applyNumberFormat="1" applyFont="1" applyFill="1" applyBorder="1" applyAlignment="1">
      <alignment horizontal="center" vertical="center" wrapText="1"/>
    </xf>
    <xf numFmtId="164" fontId="13" fillId="8" borderId="11" xfId="5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64" fontId="13" fillId="0" borderId="0" xfId="1" applyFont="1" applyAlignment="1">
      <alignment horizontal="center" vertical="center"/>
    </xf>
    <xf numFmtId="165" fontId="13" fillId="0" borderId="0" xfId="1" applyNumberFormat="1" applyFont="1" applyAlignment="1">
      <alignment horizontal="center" vertical="center"/>
    </xf>
    <xf numFmtId="44" fontId="13" fillId="0" borderId="0" xfId="4" applyFont="1" applyAlignment="1">
      <alignment horizontal="center" vertical="center"/>
    </xf>
    <xf numFmtId="1" fontId="13" fillId="0" borderId="0" xfId="4" applyNumberFormat="1" applyFont="1" applyAlignment="1">
      <alignment horizontal="center" vertical="center"/>
    </xf>
    <xf numFmtId="44" fontId="13" fillId="0" borderId="0" xfId="8" applyFont="1" applyAlignment="1">
      <alignment horizontal="left" vertical="center"/>
    </xf>
    <xf numFmtId="9" fontId="13" fillId="0" borderId="0" xfId="6" applyFont="1" applyAlignment="1">
      <alignment horizontal="center" vertical="center"/>
    </xf>
    <xf numFmtId="44" fontId="13" fillId="0" borderId="0" xfId="8" applyFont="1" applyAlignment="1">
      <alignment horizontal="center" vertical="center"/>
    </xf>
    <xf numFmtId="164" fontId="13" fillId="0" borderId="0" xfId="1" applyFont="1" applyAlignment="1">
      <alignment horizontal="left" vertical="center"/>
    </xf>
    <xf numFmtId="164" fontId="13" fillId="0" borderId="0" xfId="1" applyFont="1" applyAlignment="1">
      <alignment vertical="center"/>
    </xf>
    <xf numFmtId="44" fontId="13" fillId="0" borderId="0" xfId="4" applyFont="1" applyAlignment="1">
      <alignment vertical="center"/>
    </xf>
    <xf numFmtId="44" fontId="13" fillId="0" borderId="1" xfId="4" applyFont="1" applyBorder="1" applyAlignment="1">
      <alignment horizontal="center" vertical="center"/>
    </xf>
    <xf numFmtId="44" fontId="13" fillId="0" borderId="2" xfId="4" applyFont="1" applyBorder="1" applyAlignment="1">
      <alignment horizontal="center" vertical="center"/>
    </xf>
    <xf numFmtId="1" fontId="13" fillId="0" borderId="2" xfId="4" applyNumberFormat="1" applyFont="1" applyBorder="1" applyAlignment="1">
      <alignment horizontal="center" vertical="center"/>
    </xf>
    <xf numFmtId="164" fontId="13" fillId="0" borderId="2" xfId="1" applyFont="1" applyBorder="1" applyAlignment="1">
      <alignment horizontal="center" vertical="center"/>
    </xf>
    <xf numFmtId="44" fontId="13" fillId="0" borderId="2" xfId="8" applyFont="1" applyBorder="1" applyAlignment="1">
      <alignment horizontal="left" vertical="center"/>
    </xf>
    <xf numFmtId="9" fontId="13" fillId="0" borderId="3" xfId="6" applyFont="1" applyBorder="1" applyAlignment="1">
      <alignment horizontal="center" vertical="center"/>
    </xf>
    <xf numFmtId="44" fontId="13" fillId="0" borderId="19" xfId="4" applyFont="1" applyBorder="1" applyAlignment="1">
      <alignment horizontal="center" vertical="center"/>
    </xf>
    <xf numFmtId="44" fontId="13" fillId="0" borderId="20" xfId="8" applyFont="1" applyBorder="1" applyAlignment="1">
      <alignment horizontal="center" vertical="center" wrapText="1"/>
    </xf>
    <xf numFmtId="44" fontId="13" fillId="0" borderId="11" xfId="8" applyFont="1" applyBorder="1" applyAlignment="1">
      <alignment horizontal="center" vertical="center" wrapText="1"/>
    </xf>
    <xf numFmtId="44" fontId="13" fillId="10" borderId="11" xfId="8" applyFont="1" applyFill="1" applyBorder="1" applyAlignment="1">
      <alignment horizontal="center" vertical="center" wrapText="1"/>
    </xf>
    <xf numFmtId="165" fontId="13" fillId="0" borderId="21" xfId="1" applyNumberFormat="1" applyFont="1" applyBorder="1" applyAlignment="1">
      <alignment horizontal="center" vertical="center"/>
    </xf>
    <xf numFmtId="44" fontId="13" fillId="0" borderId="22" xfId="8" applyFont="1" applyBorder="1" applyAlignment="1">
      <alignment horizontal="left" vertical="center"/>
    </xf>
    <xf numFmtId="1" fontId="13" fillId="0" borderId="0" xfId="4" applyNumberFormat="1" applyFont="1" applyAlignment="1">
      <alignment horizontal="right" vertical="center" indent="1"/>
    </xf>
    <xf numFmtId="165" fontId="13" fillId="0" borderId="0" xfId="1" applyNumberFormat="1" applyFont="1" applyAlignment="1">
      <alignment horizontal="left" vertical="center"/>
    </xf>
    <xf numFmtId="165" fontId="13" fillId="0" borderId="0" xfId="1" applyNumberFormat="1" applyFont="1" applyAlignment="1">
      <alignment vertical="center"/>
    </xf>
    <xf numFmtId="44" fontId="13" fillId="0" borderId="8" xfId="8" applyFont="1" applyBorder="1" applyAlignment="1">
      <alignment horizontal="left" vertical="center"/>
    </xf>
    <xf numFmtId="165" fontId="13" fillId="0" borderId="21" xfId="1" applyNumberFormat="1" applyFont="1" applyBorder="1" applyAlignment="1">
      <alignment horizontal="center"/>
    </xf>
    <xf numFmtId="44" fontId="13" fillId="0" borderId="0" xfId="4" applyFont="1" applyAlignment="1">
      <alignment horizontal="center"/>
    </xf>
    <xf numFmtId="165" fontId="13" fillId="0" borderId="0" xfId="1" applyNumberFormat="1" applyFont="1" applyAlignment="1">
      <alignment horizontal="left"/>
    </xf>
    <xf numFmtId="44" fontId="13" fillId="0" borderId="0" xfId="8" applyFont="1" applyAlignment="1">
      <alignment horizontal="left"/>
    </xf>
    <xf numFmtId="164" fontId="13" fillId="0" borderId="0" xfId="1" applyFont="1"/>
    <xf numFmtId="165" fontId="13" fillId="0" borderId="0" xfId="1" applyNumberFormat="1" applyFont="1"/>
    <xf numFmtId="165" fontId="13" fillId="0" borderId="0" xfId="1" applyNumberFormat="1" applyFont="1" applyAlignment="1">
      <alignment horizontal="center"/>
    </xf>
    <xf numFmtId="44" fontId="13" fillId="0" borderId="0" xfId="4" applyFont="1"/>
    <xf numFmtId="164" fontId="13" fillId="0" borderId="0" xfId="1" applyFont="1" applyAlignment="1">
      <alignment horizontal="left"/>
    </xf>
    <xf numFmtId="44" fontId="13" fillId="0" borderId="23" xfId="8" applyFont="1" applyBorder="1" applyAlignment="1">
      <alignment horizontal="left" vertical="center"/>
    </xf>
    <xf numFmtId="44" fontId="13" fillId="0" borderId="5" xfId="4" applyFont="1" applyBorder="1" applyAlignment="1">
      <alignment horizontal="center" vertical="center"/>
    </xf>
    <xf numFmtId="44" fontId="13" fillId="0" borderId="6" xfId="4" applyFont="1" applyBorder="1" applyAlignment="1">
      <alignment horizontal="center" vertical="center"/>
    </xf>
    <xf numFmtId="1" fontId="13" fillId="0" borderId="6" xfId="4" applyNumberFormat="1" applyFont="1" applyBorder="1" applyAlignment="1">
      <alignment horizontal="right" vertical="center" indent="1"/>
    </xf>
    <xf numFmtId="165" fontId="13" fillId="0" borderId="6" xfId="1" applyNumberFormat="1" applyFont="1" applyBorder="1" applyAlignment="1">
      <alignment horizontal="center" vertical="center"/>
    </xf>
    <xf numFmtId="44" fontId="13" fillId="0" borderId="6" xfId="8" applyFont="1" applyBorder="1" applyAlignment="1">
      <alignment horizontal="left" vertical="center"/>
    </xf>
    <xf numFmtId="44" fontId="13" fillId="0" borderId="6" xfId="8" applyFont="1" applyBorder="1" applyAlignment="1">
      <alignment horizontal="center" vertical="center"/>
    </xf>
    <xf numFmtId="165" fontId="13" fillId="0" borderId="7" xfId="1" applyNumberFormat="1" applyFont="1" applyBorder="1" applyAlignment="1">
      <alignment horizontal="center"/>
    </xf>
    <xf numFmtId="165" fontId="4" fillId="0" borderId="0" xfId="0" applyNumberFormat="1" applyFont="1"/>
    <xf numFmtId="1" fontId="4" fillId="0" borderId="0" xfId="0" applyNumberFormat="1" applyFont="1"/>
    <xf numFmtId="164" fontId="11" fillId="0" borderId="0" xfId="2" applyFont="1" applyAlignment="1">
      <alignment vertical="center"/>
    </xf>
    <xf numFmtId="164" fontId="15" fillId="0" borderId="0" xfId="2" applyFont="1" applyAlignment="1">
      <alignment vertical="center"/>
    </xf>
    <xf numFmtId="1" fontId="11" fillId="0" borderId="0" xfId="2" applyNumberFormat="1" applyFont="1" applyAlignment="1">
      <alignment vertical="center"/>
    </xf>
    <xf numFmtId="164" fontId="13" fillId="0" borderId="0" xfId="2" applyFont="1" applyAlignment="1">
      <alignment vertical="center"/>
    </xf>
    <xf numFmtId="0" fontId="1" fillId="0" borderId="0" xfId="0" applyFont="1"/>
    <xf numFmtId="164" fontId="10" fillId="0" borderId="0" xfId="2" applyFont="1" applyAlignment="1">
      <alignment vertical="center"/>
    </xf>
    <xf numFmtId="0" fontId="16" fillId="0" borderId="0" xfId="0" applyFont="1"/>
    <xf numFmtId="0" fontId="10" fillId="0" borderId="0" xfId="2" applyNumberFormat="1" applyFont="1" applyAlignment="1">
      <alignment horizontal="left" vertical="center"/>
    </xf>
    <xf numFmtId="164" fontId="15" fillId="3" borderId="16" xfId="2" applyFont="1" applyFill="1" applyBorder="1" applyAlignment="1">
      <alignment vertical="center"/>
    </xf>
    <xf numFmtId="165" fontId="15" fillId="3" borderId="17" xfId="2" applyNumberFormat="1" applyFont="1" applyFill="1" applyBorder="1" applyAlignment="1">
      <alignment horizontal="center" vertical="center"/>
    </xf>
    <xf numFmtId="44" fontId="15" fillId="3" borderId="18" xfId="4" applyFont="1" applyFill="1" applyBorder="1" applyAlignment="1">
      <alignment horizontal="center" vertical="center"/>
    </xf>
    <xf numFmtId="44" fontId="10" fillId="0" borderId="0" xfId="4" applyFont="1" applyFill="1" applyBorder="1" applyAlignment="1">
      <alignment horizontal="center" vertical="center"/>
    </xf>
    <xf numFmtId="1" fontId="10" fillId="0" borderId="0" xfId="4" applyNumberFormat="1" applyFont="1" applyFill="1" applyBorder="1" applyAlignment="1">
      <alignment horizontal="center" vertical="center"/>
    </xf>
    <xf numFmtId="44" fontId="13" fillId="0" borderId="0" xfId="2" applyNumberFormat="1" applyFont="1" applyAlignment="1">
      <alignment vertical="center" wrapText="1"/>
    </xf>
    <xf numFmtId="164" fontId="10" fillId="3" borderId="25" xfId="2" applyFont="1" applyFill="1" applyBorder="1" applyAlignment="1">
      <alignment horizontal="center" vertical="center"/>
    </xf>
    <xf numFmtId="164" fontId="10" fillId="0" borderId="26" xfId="1" applyFont="1" applyBorder="1" applyAlignment="1">
      <alignment horizontal="center" vertical="center"/>
    </xf>
    <xf numFmtId="165" fontId="10" fillId="3" borderId="26" xfId="2" applyNumberFormat="1" applyFont="1" applyFill="1" applyBorder="1" applyAlignment="1">
      <alignment horizontal="center" vertical="center"/>
    </xf>
    <xf numFmtId="164" fontId="10" fillId="3" borderId="26" xfId="2" applyFont="1" applyFill="1" applyBorder="1" applyAlignment="1">
      <alignment horizontal="center" vertical="center"/>
    </xf>
    <xf numFmtId="164" fontId="10" fillId="0" borderId="26" xfId="2" applyFont="1" applyBorder="1" applyAlignment="1">
      <alignment horizontal="center" vertical="center"/>
    </xf>
    <xf numFmtId="44" fontId="10" fillId="0" borderId="26" xfId="2" applyNumberFormat="1" applyFont="1" applyBorder="1" applyAlignment="1">
      <alignment horizontal="center" vertical="center"/>
    </xf>
    <xf numFmtId="164" fontId="10" fillId="0" borderId="26" xfId="2" applyFont="1" applyBorder="1" applyAlignment="1">
      <alignment horizontal="center" vertical="center" wrapText="1"/>
    </xf>
    <xf numFmtId="1" fontId="10" fillId="3" borderId="26" xfId="2" applyNumberFormat="1" applyFont="1" applyFill="1" applyBorder="1" applyAlignment="1">
      <alignment horizontal="center" vertical="center"/>
    </xf>
    <xf numFmtId="44" fontId="10" fillId="0" borderId="26" xfId="4" applyFont="1" applyFill="1" applyBorder="1" applyAlignment="1">
      <alignment horizontal="center" vertical="center"/>
    </xf>
    <xf numFmtId="44" fontId="10" fillId="3" borderId="26" xfId="4" applyFont="1" applyFill="1" applyBorder="1" applyAlignment="1">
      <alignment horizontal="center" vertical="center"/>
    </xf>
    <xf numFmtId="44" fontId="10" fillId="3" borderId="26" xfId="4" applyFont="1" applyFill="1" applyBorder="1" applyAlignment="1">
      <alignment horizontal="center" vertical="center" wrapText="1"/>
    </xf>
    <xf numFmtId="9" fontId="10" fillId="3" borderId="27" xfId="6" applyFont="1" applyFill="1" applyBorder="1" applyAlignment="1">
      <alignment horizontal="center" vertical="center"/>
    </xf>
    <xf numFmtId="165" fontId="10" fillId="0" borderId="25" xfId="4" applyNumberFormat="1" applyFont="1" applyFill="1" applyBorder="1" applyAlignment="1">
      <alignment horizontal="center" vertical="center" wrapText="1"/>
    </xf>
    <xf numFmtId="44" fontId="10" fillId="0" borderId="26" xfId="4" applyFont="1" applyFill="1" applyBorder="1" applyAlignment="1">
      <alignment horizontal="center" vertical="center" wrapText="1"/>
    </xf>
    <xf numFmtId="165" fontId="10" fillId="0" borderId="26" xfId="2" applyNumberFormat="1" applyFont="1" applyBorder="1" applyAlignment="1">
      <alignment horizontal="center" vertical="center" wrapText="1"/>
    </xf>
    <xf numFmtId="44" fontId="10" fillId="0" borderId="26" xfId="8" applyFont="1" applyBorder="1" applyAlignment="1">
      <alignment horizontal="center" vertical="center" wrapText="1"/>
    </xf>
    <xf numFmtId="165" fontId="10" fillId="0" borderId="26" xfId="2" applyNumberFormat="1" applyFont="1" applyBorder="1" applyAlignment="1">
      <alignment horizontal="center" vertical="center"/>
    </xf>
    <xf numFmtId="166" fontId="10" fillId="0" borderId="26" xfId="2" applyNumberFormat="1" applyFont="1" applyBorder="1" applyAlignment="1">
      <alignment horizontal="center" vertical="center"/>
    </xf>
    <xf numFmtId="44" fontId="10" fillId="0" borderId="27" xfId="4" applyFont="1" applyFill="1" applyBorder="1" applyAlignment="1">
      <alignment horizontal="center" vertical="center"/>
    </xf>
    <xf numFmtId="164" fontId="9" fillId="0" borderId="0" xfId="5" applyFont="1" applyAlignment="1">
      <alignment horizontal="center" vertical="center"/>
    </xf>
    <xf numFmtId="165" fontId="9" fillId="0" borderId="0" xfId="4" applyNumberFormat="1" applyFont="1" applyBorder="1" applyAlignment="1">
      <alignment horizontal="center" vertical="center"/>
    </xf>
    <xf numFmtId="44" fontId="9" fillId="0" borderId="0" xfId="4" applyFont="1" applyBorder="1" applyAlignment="1">
      <alignment horizontal="center" vertical="center"/>
    </xf>
    <xf numFmtId="165" fontId="9" fillId="0" borderId="0" xfId="2" applyNumberFormat="1" applyFont="1" applyAlignment="1">
      <alignment horizontal="center" vertical="center"/>
    </xf>
    <xf numFmtId="166" fontId="9" fillId="0" borderId="0" xfId="2" applyNumberFormat="1" applyFont="1" applyAlignment="1">
      <alignment horizontal="center" vertical="center"/>
    </xf>
    <xf numFmtId="44" fontId="9" fillId="0" borderId="0" xfId="2" applyNumberFormat="1" applyFont="1" applyAlignment="1">
      <alignment horizontal="center" vertical="center"/>
    </xf>
    <xf numFmtId="165" fontId="9" fillId="0" borderId="0" xfId="5" applyNumberFormat="1" applyFont="1" applyAlignment="1">
      <alignment vertical="center"/>
    </xf>
    <xf numFmtId="165" fontId="9" fillId="0" borderId="0" xfId="5" applyNumberFormat="1" applyFont="1" applyAlignment="1">
      <alignment horizontal="center" vertical="center"/>
    </xf>
    <xf numFmtId="1" fontId="9" fillId="0" borderId="0" xfId="2" applyNumberFormat="1" applyFont="1" applyAlignment="1">
      <alignment horizontal="center" vertical="center"/>
    </xf>
    <xf numFmtId="44" fontId="9" fillId="0" borderId="0" xfId="4" applyFont="1" applyBorder="1" applyAlignment="1">
      <alignment horizontal="left" vertical="center"/>
    </xf>
    <xf numFmtId="9" fontId="9" fillId="0" borderId="0" xfId="6" applyFont="1" applyBorder="1" applyAlignment="1">
      <alignment horizontal="center" vertical="center"/>
    </xf>
    <xf numFmtId="44" fontId="9" fillId="0" borderId="0" xfId="4" applyFont="1" applyFill="1" applyAlignment="1">
      <alignment horizontal="center" vertical="center"/>
    </xf>
    <xf numFmtId="1" fontId="9" fillId="0" borderId="0" xfId="3" applyNumberFormat="1" applyFont="1" applyAlignment="1">
      <alignment horizontal="center" vertical="center"/>
    </xf>
    <xf numFmtId="44" fontId="9" fillId="0" borderId="0" xfId="4" applyFont="1" applyFill="1" applyBorder="1" applyAlignment="1">
      <alignment horizontal="center" vertical="center"/>
    </xf>
    <xf numFmtId="164" fontId="9" fillId="0" borderId="0" xfId="3" applyFont="1" applyAlignment="1">
      <alignment horizontal="center" vertical="center"/>
    </xf>
    <xf numFmtId="44" fontId="9" fillId="0" borderId="0" xfId="3" applyNumberFormat="1" applyFont="1" applyAlignment="1">
      <alignment horizontal="center" vertical="center"/>
    </xf>
    <xf numFmtId="9" fontId="9" fillId="0" borderId="0" xfId="6" applyFont="1" applyFill="1" applyAlignment="1">
      <alignment horizontal="center" vertical="center"/>
    </xf>
    <xf numFmtId="44" fontId="9" fillId="0" borderId="0" xfId="4" applyFont="1" applyFill="1" applyAlignment="1">
      <alignment vertical="center"/>
    </xf>
    <xf numFmtId="164" fontId="9" fillId="0" borderId="0" xfId="1" applyFont="1" applyAlignment="1">
      <alignment vertical="center"/>
    </xf>
    <xf numFmtId="44" fontId="9" fillId="0" borderId="0" xfId="3" applyNumberFormat="1" applyFont="1" applyAlignment="1">
      <alignment vertical="center"/>
    </xf>
    <xf numFmtId="165" fontId="16" fillId="0" borderId="0" xfId="0" applyNumberFormat="1" applyFont="1"/>
    <xf numFmtId="1" fontId="16" fillId="0" borderId="0" xfId="0" applyNumberFormat="1" applyFont="1"/>
    <xf numFmtId="44" fontId="16" fillId="0" borderId="0" xfId="8" applyFont="1"/>
    <xf numFmtId="165" fontId="1" fillId="0" borderId="0" xfId="0" applyNumberFormat="1" applyFont="1"/>
    <xf numFmtId="1" fontId="1" fillId="0" borderId="0" xfId="0" applyNumberFormat="1" applyFont="1"/>
    <xf numFmtId="44" fontId="1" fillId="0" borderId="0" xfId="8" applyFont="1"/>
    <xf numFmtId="44" fontId="0" fillId="0" borderId="0" xfId="8" applyFont="1"/>
    <xf numFmtId="0" fontId="19" fillId="0" borderId="0" xfId="0" applyFont="1" applyAlignment="1">
      <alignment horizontal="center" wrapText="1"/>
    </xf>
    <xf numFmtId="44" fontId="19" fillId="0" borderId="0" xfId="8" applyFont="1" applyAlignment="1">
      <alignment horizontal="center" wrapText="1"/>
    </xf>
    <xf numFmtId="44" fontId="0" fillId="0" borderId="0" xfId="8" applyFont="1" applyBorder="1"/>
    <xf numFmtId="44" fontId="0" fillId="0" borderId="20" xfId="8" applyFont="1" applyBorder="1"/>
    <xf numFmtId="44" fontId="19" fillId="11" borderId="0" xfId="8" applyFont="1" applyFill="1" applyAlignment="1">
      <alignment horizontal="center" wrapText="1"/>
    </xf>
    <xf numFmtId="44" fontId="0" fillId="11" borderId="0" xfId="8" applyFont="1" applyFill="1" applyBorder="1"/>
    <xf numFmtId="44" fontId="0" fillId="11" borderId="20" xfId="8" applyFont="1" applyFill="1" applyBorder="1"/>
    <xf numFmtId="44" fontId="0" fillId="11" borderId="0" xfId="8" applyFont="1" applyFill="1"/>
    <xf numFmtId="0" fontId="4" fillId="0" borderId="0" xfId="1" applyNumberFormat="1" applyFont="1" applyAlignment="1">
      <alignment horizontal="center"/>
    </xf>
    <xf numFmtId="0" fontId="9" fillId="0" borderId="0" xfId="3" applyNumberFormat="1" applyFont="1" applyAlignment="1">
      <alignment horizontal="center" vertical="center"/>
    </xf>
    <xf numFmtId="0" fontId="13" fillId="10" borderId="11" xfId="2" applyNumberFormat="1" applyFont="1" applyFill="1" applyBorder="1" applyAlignment="1">
      <alignment horizontal="center" vertical="center" wrapText="1"/>
    </xf>
    <xf numFmtId="0" fontId="13" fillId="0" borderId="0" xfId="1" applyNumberFormat="1" applyFont="1" applyAlignment="1">
      <alignment horizontal="center" vertical="center"/>
    </xf>
    <xf numFmtId="0" fontId="13" fillId="0" borderId="0" xfId="1" applyNumberFormat="1" applyFont="1" applyAlignment="1">
      <alignment horizontal="center"/>
    </xf>
    <xf numFmtId="0" fontId="9" fillId="0" borderId="0" xfId="1" applyNumberFormat="1" applyFont="1" applyAlignment="1">
      <alignment horizontal="center"/>
    </xf>
    <xf numFmtId="0" fontId="10" fillId="0" borderId="26" xfId="2" applyNumberFormat="1" applyFont="1" applyBorder="1" applyAlignment="1">
      <alignment horizontal="center" vertical="center"/>
    </xf>
    <xf numFmtId="0" fontId="9" fillId="0" borderId="0" xfId="2" applyNumberFormat="1" applyFont="1" applyAlignment="1">
      <alignment horizontal="center" vertical="center"/>
    </xf>
    <xf numFmtId="0" fontId="9" fillId="0" borderId="0" xfId="1" applyNumberFormat="1" applyFont="1" applyAlignment="1">
      <alignment horizontal="center" vertical="center"/>
    </xf>
    <xf numFmtId="44" fontId="0" fillId="12" borderId="0" xfId="8" applyFont="1" applyFill="1"/>
    <xf numFmtId="44" fontId="0" fillId="12" borderId="20" xfId="8" applyFont="1" applyFill="1" applyBorder="1"/>
    <xf numFmtId="0" fontId="19" fillId="0" borderId="0" xfId="0" applyFont="1"/>
    <xf numFmtId="44" fontId="19" fillId="0" borderId="0" xfId="8" applyFont="1"/>
    <xf numFmtId="0" fontId="20" fillId="0" borderId="0" xfId="0" applyFont="1"/>
    <xf numFmtId="44" fontId="20" fillId="0" borderId="0" xfId="8" applyFont="1"/>
    <xf numFmtId="44" fontId="19" fillId="12" borderId="20" xfId="8" applyFont="1" applyFill="1" applyBorder="1" applyAlignment="1">
      <alignment horizontal="center" wrapText="1"/>
    </xf>
    <xf numFmtId="44" fontId="19" fillId="13" borderId="20" xfId="8" applyFont="1" applyFill="1" applyBorder="1" applyAlignment="1">
      <alignment horizontal="center" wrapText="1"/>
    </xf>
    <xf numFmtId="44" fontId="19" fillId="14" borderId="20" xfId="8" applyFont="1" applyFill="1" applyBorder="1" applyAlignment="1">
      <alignment horizontal="center" wrapText="1"/>
    </xf>
    <xf numFmtId="0" fontId="19" fillId="15" borderId="20" xfId="0" applyFont="1" applyFill="1" applyBorder="1" applyAlignment="1">
      <alignment horizontal="center" wrapText="1"/>
    </xf>
    <xf numFmtId="44" fontId="19" fillId="15" borderId="20" xfId="8" applyFont="1" applyFill="1" applyBorder="1" applyAlignment="1">
      <alignment horizontal="center" wrapText="1"/>
    </xf>
    <xf numFmtId="44" fontId="19" fillId="11" borderId="0" xfId="8" applyFont="1" applyFill="1"/>
    <xf numFmtId="44" fontId="0" fillId="0" borderId="0" xfId="8" applyFont="1" applyFill="1"/>
    <xf numFmtId="44" fontId="0" fillId="0" borderId="0" xfId="8" applyFont="1" applyFill="1" applyBorder="1"/>
    <xf numFmtId="44" fontId="0" fillId="0" borderId="20" xfId="8" applyFont="1" applyFill="1" applyBorder="1"/>
    <xf numFmtId="44" fontId="20" fillId="0" borderId="0" xfId="8" applyFont="1" applyBorder="1" applyAlignment="1">
      <alignment horizontal="center"/>
    </xf>
    <xf numFmtId="164" fontId="13" fillId="16" borderId="11" xfId="5" applyFont="1" applyFill="1" applyBorder="1" applyAlignment="1">
      <alignment horizontal="center" vertical="center" wrapText="1"/>
    </xf>
    <xf numFmtId="165" fontId="19" fillId="15" borderId="20" xfId="0" applyNumberFormat="1" applyFont="1" applyFill="1" applyBorder="1" applyAlignment="1">
      <alignment horizontal="center" wrapText="1"/>
    </xf>
    <xf numFmtId="165" fontId="0" fillId="0" borderId="0" xfId="0" applyNumberFormat="1" applyAlignment="1">
      <alignment horizontal="left"/>
    </xf>
    <xf numFmtId="165" fontId="19" fillId="0" borderId="0" xfId="0" applyNumberFormat="1" applyFont="1" applyAlignment="1">
      <alignment horizontal="right"/>
    </xf>
    <xf numFmtId="165" fontId="14" fillId="0" borderId="0" xfId="2" applyNumberFormat="1" applyFont="1" applyAlignment="1">
      <alignment horizontal="left" vertical="center"/>
    </xf>
    <xf numFmtId="166" fontId="14" fillId="0" borderId="0" xfId="2" applyNumberFormat="1" applyFont="1" applyAlignment="1">
      <alignment horizontal="center" vertical="center"/>
    </xf>
    <xf numFmtId="165" fontId="14" fillId="0" borderId="0" xfId="2" applyNumberFormat="1" applyFont="1" applyAlignment="1">
      <alignment horizontal="center" vertical="center"/>
    </xf>
    <xf numFmtId="0" fontId="14" fillId="0" borderId="0" xfId="2" applyNumberFormat="1" applyFont="1" applyAlignment="1">
      <alignment horizontal="center" vertical="center"/>
    </xf>
    <xf numFmtId="44" fontId="14" fillId="0" borderId="0" xfId="2" applyNumberFormat="1" applyFont="1" applyAlignment="1">
      <alignment horizontal="center" vertical="center"/>
    </xf>
    <xf numFmtId="164" fontId="14" fillId="0" borderId="0" xfId="2" applyFont="1" applyAlignment="1">
      <alignment horizontal="center" vertical="center"/>
    </xf>
    <xf numFmtId="164" fontId="14" fillId="0" borderId="0" xfId="2" applyFont="1" applyAlignment="1">
      <alignment horizontal="left" vertical="center"/>
    </xf>
    <xf numFmtId="165" fontId="14" fillId="0" borderId="0" xfId="5" applyNumberFormat="1" applyFont="1" applyAlignment="1">
      <alignment horizontal="center" vertical="center"/>
    </xf>
    <xf numFmtId="164" fontId="14" fillId="0" borderId="0" xfId="5" applyFont="1" applyAlignment="1">
      <alignment horizontal="center" vertical="center"/>
    </xf>
    <xf numFmtId="0" fontId="21" fillId="0" borderId="0" xfId="0" applyFont="1"/>
    <xf numFmtId="0" fontId="7" fillId="0" borderId="37" xfId="0" applyFont="1" applyBorder="1"/>
    <xf numFmtId="0" fontId="7" fillId="0" borderId="8" xfId="0" applyFont="1" applyBorder="1" applyAlignment="1">
      <alignment horizontal="center"/>
    </xf>
    <xf numFmtId="0" fontId="7" fillId="0" borderId="38" xfId="0" applyFont="1" applyBorder="1"/>
    <xf numFmtId="44" fontId="10" fillId="0" borderId="0" xfId="8" applyFont="1" applyAlignment="1">
      <alignment horizontal="left" vertical="center"/>
    </xf>
    <xf numFmtId="44" fontId="13" fillId="0" borderId="0" xfId="8" applyFont="1" applyAlignment="1">
      <alignment vertical="center"/>
    </xf>
    <xf numFmtId="44" fontId="13" fillId="0" borderId="0" xfId="8" applyFont="1" applyAlignment="1">
      <alignment horizontal="center"/>
    </xf>
    <xf numFmtId="164" fontId="21" fillId="9" borderId="10" xfId="1" applyFont="1" applyFill="1" applyBorder="1" applyAlignment="1" applyProtection="1">
      <alignment horizontal="center" vertical="center"/>
      <protection hidden="1"/>
    </xf>
    <xf numFmtId="164" fontId="21" fillId="9" borderId="11" xfId="1" applyFont="1" applyFill="1" applyBorder="1" applyAlignment="1" applyProtection="1">
      <alignment horizontal="center" vertical="center"/>
      <protection hidden="1"/>
    </xf>
    <xf numFmtId="165" fontId="21" fillId="9" borderId="11" xfId="1" applyNumberFormat="1" applyFont="1" applyFill="1" applyBorder="1" applyAlignment="1">
      <alignment horizontal="center" vertical="center"/>
    </xf>
    <xf numFmtId="167" fontId="21" fillId="9" borderId="11" xfId="1" applyNumberFormat="1" applyFont="1" applyFill="1" applyBorder="1" applyAlignment="1">
      <alignment horizontal="center" vertical="center"/>
    </xf>
    <xf numFmtId="164" fontId="21" fillId="9" borderId="11" xfId="1" applyFont="1" applyFill="1" applyBorder="1" applyAlignment="1">
      <alignment horizontal="center" vertical="center"/>
    </xf>
    <xf numFmtId="49" fontId="21" fillId="9" borderId="11" xfId="3" applyNumberFormat="1" applyFont="1" applyFill="1" applyBorder="1" applyAlignment="1">
      <alignment horizontal="center" vertical="center"/>
    </xf>
    <xf numFmtId="44" fontId="21" fillId="9" borderId="11" xfId="4" applyFont="1" applyFill="1" applyBorder="1" applyAlignment="1">
      <alignment horizontal="center" vertical="center"/>
    </xf>
    <xf numFmtId="164" fontId="21" fillId="9" borderId="11" xfId="3" applyFont="1" applyFill="1" applyBorder="1" applyAlignment="1">
      <alignment horizontal="center" vertical="center"/>
    </xf>
    <xf numFmtId="44" fontId="21" fillId="9" borderId="11" xfId="8" applyFont="1" applyFill="1" applyBorder="1" applyAlignment="1">
      <alignment horizontal="left" vertical="center"/>
    </xf>
    <xf numFmtId="44" fontId="21" fillId="9" borderId="11" xfId="4" applyFont="1" applyFill="1" applyBorder="1" applyAlignment="1">
      <alignment horizontal="left" vertical="center"/>
    </xf>
    <xf numFmtId="44" fontId="21" fillId="9" borderId="34" xfId="4" applyFont="1" applyFill="1" applyBorder="1" applyAlignment="1">
      <alignment horizontal="left" vertical="center"/>
    </xf>
    <xf numFmtId="9" fontId="21" fillId="9" borderId="12" xfId="6" applyFont="1" applyFill="1" applyBorder="1" applyAlignment="1">
      <alignment horizontal="center" vertical="center"/>
    </xf>
    <xf numFmtId="165" fontId="21" fillId="9" borderId="0" xfId="4" applyNumberFormat="1" applyFont="1" applyFill="1" applyAlignment="1">
      <alignment horizontal="center" vertical="center"/>
    </xf>
    <xf numFmtId="44" fontId="21" fillId="9" borderId="0" xfId="4" applyFont="1" applyFill="1" applyAlignment="1">
      <alignment horizontal="center" vertical="center"/>
    </xf>
    <xf numFmtId="165" fontId="21" fillId="9" borderId="0" xfId="2" applyNumberFormat="1" applyFont="1" applyFill="1" applyAlignment="1">
      <alignment horizontal="center" vertical="center"/>
    </xf>
    <xf numFmtId="165" fontId="14" fillId="9" borderId="0" xfId="2" applyNumberFormat="1" applyFont="1" applyFill="1" applyAlignment="1">
      <alignment horizontal="left" vertical="center"/>
    </xf>
    <xf numFmtId="166" fontId="14" fillId="9" borderId="0" xfId="2" applyNumberFormat="1" applyFont="1" applyFill="1" applyAlignment="1">
      <alignment horizontal="center" vertical="center"/>
    </xf>
    <xf numFmtId="165" fontId="14" fillId="9" borderId="0" xfId="2" applyNumberFormat="1" applyFont="1" applyFill="1" applyAlignment="1">
      <alignment horizontal="center" vertical="center"/>
    </xf>
    <xf numFmtId="0" fontId="14" fillId="9" borderId="0" xfId="2" applyNumberFormat="1" applyFont="1" applyFill="1" applyAlignment="1">
      <alignment horizontal="center" vertical="center"/>
    </xf>
    <xf numFmtId="44" fontId="14" fillId="9" borderId="0" xfId="4" applyFont="1" applyFill="1" applyAlignment="1">
      <alignment horizontal="center" vertical="center"/>
    </xf>
    <xf numFmtId="44" fontId="14" fillId="9" borderId="0" xfId="2" applyNumberFormat="1" applyFont="1" applyFill="1" applyAlignment="1">
      <alignment horizontal="center" vertical="center"/>
    </xf>
    <xf numFmtId="164" fontId="14" fillId="9" borderId="0" xfId="2" applyFont="1" applyFill="1" applyAlignment="1">
      <alignment horizontal="center" vertical="center"/>
    </xf>
    <xf numFmtId="164" fontId="14" fillId="9" borderId="0" xfId="2" applyFont="1" applyFill="1" applyAlignment="1">
      <alignment horizontal="left" vertical="center"/>
    </xf>
    <xf numFmtId="165" fontId="14" fillId="9" borderId="0" xfId="5" applyNumberFormat="1" applyFont="1" applyFill="1" applyAlignment="1">
      <alignment horizontal="center" vertical="center"/>
    </xf>
    <xf numFmtId="164" fontId="14" fillId="9" borderId="0" xfId="5" applyFont="1" applyFill="1" applyAlignment="1">
      <alignment horizontal="center" vertical="center"/>
    </xf>
    <xf numFmtId="0" fontId="21" fillId="9" borderId="0" xfId="0" applyFont="1" applyFill="1"/>
    <xf numFmtId="164" fontId="22" fillId="0" borderId="0" xfId="2" applyFont="1" applyAlignment="1">
      <alignment vertical="center"/>
    </xf>
    <xf numFmtId="164" fontId="23" fillId="0" borderId="0" xfId="2" applyFont="1" applyAlignment="1">
      <alignment vertical="center"/>
    </xf>
    <xf numFmtId="44" fontId="4" fillId="0" borderId="0" xfId="9" applyFont="1" applyAlignment="1">
      <alignment horizontal="center" vertical="center"/>
    </xf>
    <xf numFmtId="165" fontId="5" fillId="0" borderId="0" xfId="10" applyNumberFormat="1" applyFont="1" applyAlignment="1">
      <alignment horizontal="center" vertical="center"/>
    </xf>
    <xf numFmtId="44" fontId="5" fillId="0" borderId="0" xfId="9" applyFont="1" applyAlignment="1">
      <alignment horizontal="left" vertical="center"/>
    </xf>
    <xf numFmtId="44" fontId="4" fillId="0" borderId="0" xfId="9" applyFont="1" applyAlignment="1">
      <alignment horizontal="left" vertical="center"/>
    </xf>
    <xf numFmtId="9" fontId="4" fillId="0" borderId="0" xfId="11" applyFont="1" applyAlignment="1">
      <alignment horizontal="center" vertical="center"/>
    </xf>
    <xf numFmtId="165" fontId="4" fillId="0" borderId="0" xfId="10" applyNumberFormat="1" applyFont="1" applyAlignment="1">
      <alignment horizontal="center"/>
    </xf>
    <xf numFmtId="44" fontId="4" fillId="0" borderId="0" xfId="9" applyFont="1"/>
    <xf numFmtId="164" fontId="4" fillId="0" borderId="0" xfId="10" applyFont="1" applyAlignment="1">
      <alignment horizontal="center"/>
    </xf>
    <xf numFmtId="164" fontId="4" fillId="0" borderId="0" xfId="10" applyFont="1"/>
    <xf numFmtId="164" fontId="24" fillId="0" borderId="0" xfId="2" applyFont="1" applyAlignment="1">
      <alignment vertical="center"/>
    </xf>
    <xf numFmtId="164" fontId="25" fillId="0" borderId="0" xfId="2" applyFont="1" applyAlignment="1">
      <alignment horizontal="left" vertical="center"/>
    </xf>
    <xf numFmtId="164" fontId="25" fillId="0" borderId="0" xfId="2" applyFont="1" applyAlignment="1">
      <alignment horizontal="center" vertical="center"/>
    </xf>
    <xf numFmtId="165" fontId="25" fillId="0" borderId="0" xfId="2" applyNumberFormat="1" applyFont="1" applyAlignment="1">
      <alignment horizontal="left" vertical="center"/>
    </xf>
    <xf numFmtId="164" fontId="9" fillId="0" borderId="0" xfId="10" applyFont="1" applyAlignment="1">
      <alignment horizontal="center" vertical="center"/>
    </xf>
    <xf numFmtId="164" fontId="25" fillId="0" borderId="0" xfId="2" applyFont="1" applyAlignment="1">
      <alignment vertical="center"/>
    </xf>
    <xf numFmtId="44" fontId="9" fillId="0" borderId="0" xfId="9" applyFont="1" applyAlignment="1">
      <alignment horizontal="center" vertical="center"/>
    </xf>
    <xf numFmtId="44" fontId="10" fillId="0" borderId="0" xfId="9" applyFont="1" applyAlignment="1">
      <alignment horizontal="center" vertical="center"/>
    </xf>
    <xf numFmtId="165" fontId="9" fillId="0" borderId="0" xfId="10" applyNumberFormat="1" applyFont="1" applyAlignment="1">
      <alignment horizontal="center" vertical="center"/>
    </xf>
    <xf numFmtId="44" fontId="9" fillId="0" borderId="0" xfId="9" applyFont="1" applyAlignment="1">
      <alignment horizontal="left" vertical="center"/>
    </xf>
    <xf numFmtId="9" fontId="9" fillId="0" borderId="0" xfId="11" applyFont="1" applyAlignment="1">
      <alignment horizontal="center" vertical="center"/>
    </xf>
    <xf numFmtId="165" fontId="9" fillId="0" borderId="0" xfId="10" applyNumberFormat="1" applyFont="1" applyAlignment="1">
      <alignment horizontal="center"/>
    </xf>
    <xf numFmtId="44" fontId="9" fillId="0" borderId="0" xfId="9" applyFont="1"/>
    <xf numFmtId="164" fontId="9" fillId="0" borderId="0" xfId="10" applyFont="1" applyAlignment="1">
      <alignment horizontal="center"/>
    </xf>
    <xf numFmtId="164" fontId="9" fillId="0" borderId="0" xfId="10" applyFont="1"/>
    <xf numFmtId="0" fontId="26" fillId="0" borderId="0" xfId="0" applyFont="1"/>
    <xf numFmtId="17" fontId="25" fillId="0" borderId="0" xfId="2" applyNumberFormat="1" applyFont="1" applyAlignment="1">
      <alignment horizontal="left" vertical="center"/>
    </xf>
    <xf numFmtId="164" fontId="7" fillId="0" borderId="0" xfId="2" applyFont="1" applyAlignment="1">
      <alignment horizontal="center" vertical="center"/>
    </xf>
    <xf numFmtId="165" fontId="25" fillId="0" borderId="0" xfId="2" applyNumberFormat="1" applyFont="1" applyAlignment="1">
      <alignment horizontal="center" vertical="center"/>
    </xf>
    <xf numFmtId="44" fontId="25" fillId="0" borderId="0" xfId="9" applyFont="1" applyAlignment="1">
      <alignment horizontal="center" vertical="center"/>
    </xf>
    <xf numFmtId="9" fontId="25" fillId="0" borderId="0" xfId="11" applyFont="1" applyAlignment="1">
      <alignment horizontal="right" vertical="center"/>
    </xf>
    <xf numFmtId="0" fontId="25" fillId="0" borderId="0" xfId="2" applyNumberFormat="1" applyFont="1" applyAlignment="1">
      <alignment horizontal="left" vertical="center"/>
    </xf>
    <xf numFmtId="164" fontId="23" fillId="3" borderId="16" xfId="2" applyFont="1" applyFill="1" applyBorder="1" applyAlignment="1">
      <alignment vertical="center"/>
    </xf>
    <xf numFmtId="165" fontId="23" fillId="3" borderId="17" xfId="2" applyNumberFormat="1" applyFont="1" applyFill="1" applyBorder="1" applyAlignment="1">
      <alignment horizontal="center" vertical="center"/>
    </xf>
    <xf numFmtId="44" fontId="23" fillId="3" borderId="18" xfId="9" applyFont="1" applyFill="1" applyBorder="1" applyAlignment="1">
      <alignment horizontal="center" vertical="center"/>
    </xf>
    <xf numFmtId="44" fontId="25" fillId="0" borderId="0" xfId="9" applyFont="1" applyFill="1" applyBorder="1" applyAlignment="1">
      <alignment horizontal="center" vertical="center"/>
    </xf>
    <xf numFmtId="44" fontId="24" fillId="0" borderId="0" xfId="2" applyNumberFormat="1" applyFont="1" applyAlignment="1">
      <alignment vertical="center" wrapText="1"/>
    </xf>
    <xf numFmtId="0" fontId="25" fillId="0" borderId="0" xfId="9" applyNumberFormat="1" applyFont="1" applyAlignment="1">
      <alignment horizontal="center" vertical="center"/>
    </xf>
    <xf numFmtId="164" fontId="25" fillId="3" borderId="25" xfId="2" applyFont="1" applyFill="1" applyBorder="1" applyAlignment="1">
      <alignment horizontal="center" vertical="center"/>
    </xf>
    <xf numFmtId="164" fontId="25" fillId="0" borderId="26" xfId="10" applyFont="1" applyBorder="1" applyAlignment="1">
      <alignment horizontal="center" vertical="center"/>
    </xf>
    <xf numFmtId="165" fontId="25" fillId="3" borderId="26" xfId="2" applyNumberFormat="1" applyFont="1" applyFill="1" applyBorder="1" applyAlignment="1">
      <alignment horizontal="center" vertical="center"/>
    </xf>
    <xf numFmtId="164" fontId="25" fillId="3" borderId="26" xfId="2" applyFont="1" applyFill="1" applyBorder="1" applyAlignment="1">
      <alignment horizontal="center" vertical="center"/>
    </xf>
    <xf numFmtId="164" fontId="25" fillId="0" borderId="26" xfId="2" applyFont="1" applyBorder="1" applyAlignment="1">
      <alignment horizontal="center" vertical="center"/>
    </xf>
    <xf numFmtId="44" fontId="25" fillId="0" borderId="26" xfId="2" applyNumberFormat="1" applyFont="1" applyBorder="1" applyAlignment="1">
      <alignment horizontal="center" vertical="center"/>
    </xf>
    <xf numFmtId="164" fontId="25" fillId="0" borderId="26" xfId="2" applyFont="1" applyBorder="1" applyAlignment="1">
      <alignment horizontal="center" vertical="center" wrapText="1"/>
    </xf>
    <xf numFmtId="0" fontId="25" fillId="3" borderId="26" xfId="2" applyNumberFormat="1" applyFont="1" applyFill="1" applyBorder="1" applyAlignment="1">
      <alignment horizontal="center" vertical="center"/>
    </xf>
    <xf numFmtId="44" fontId="25" fillId="0" borderId="26" xfId="9" applyFont="1" applyFill="1" applyBorder="1" applyAlignment="1">
      <alignment horizontal="center" vertical="center"/>
    </xf>
    <xf numFmtId="44" fontId="25" fillId="3" borderId="26" xfId="9" applyFont="1" applyFill="1" applyBorder="1" applyAlignment="1">
      <alignment horizontal="center" vertical="center"/>
    </xf>
    <xf numFmtId="44" fontId="25" fillId="3" borderId="26" xfId="9" applyFont="1" applyFill="1" applyBorder="1" applyAlignment="1">
      <alignment horizontal="center" vertical="center" wrapText="1"/>
    </xf>
    <xf numFmtId="44" fontId="27" fillId="0" borderId="26" xfId="2" applyNumberFormat="1" applyFont="1" applyBorder="1" applyAlignment="1">
      <alignment horizontal="center" vertical="center" wrapText="1"/>
    </xf>
    <xf numFmtId="44" fontId="25" fillId="0" borderId="26" xfId="9" applyFont="1" applyFill="1" applyBorder="1" applyAlignment="1">
      <alignment horizontal="center" vertical="center" wrapText="1"/>
    </xf>
    <xf numFmtId="9" fontId="25" fillId="3" borderId="27" xfId="11" applyFont="1" applyFill="1" applyBorder="1" applyAlignment="1">
      <alignment horizontal="center" vertical="center"/>
    </xf>
    <xf numFmtId="165" fontId="25" fillId="0" borderId="25" xfId="9" applyNumberFormat="1" applyFont="1" applyFill="1" applyBorder="1" applyAlignment="1">
      <alignment horizontal="center" vertical="center" wrapText="1"/>
    </xf>
    <xf numFmtId="165" fontId="25" fillId="0" borderId="26" xfId="2" applyNumberFormat="1" applyFont="1" applyBorder="1" applyAlignment="1">
      <alignment horizontal="center" vertical="center" wrapText="1"/>
    </xf>
    <xf numFmtId="165" fontId="25" fillId="0" borderId="26" xfId="2" applyNumberFormat="1" applyFont="1" applyBorder="1" applyAlignment="1">
      <alignment horizontal="center" vertical="center"/>
    </xf>
    <xf numFmtId="166" fontId="25" fillId="0" borderId="26" xfId="2" applyNumberFormat="1" applyFont="1" applyBorder="1" applyAlignment="1">
      <alignment horizontal="center" vertical="center"/>
    </xf>
    <xf numFmtId="44" fontId="25" fillId="0" borderId="27" xfId="9" applyFont="1" applyFill="1" applyBorder="1" applyAlignment="1">
      <alignment horizontal="center" vertical="center"/>
    </xf>
    <xf numFmtId="164" fontId="7" fillId="0" borderId="0" xfId="5" applyFont="1" applyAlignment="1">
      <alignment horizontal="center" vertical="center"/>
    </xf>
    <xf numFmtId="0" fontId="14" fillId="0" borderId="29" xfId="7" applyFont="1" applyBorder="1" applyAlignment="1" applyProtection="1">
      <alignment horizontal="center" vertical="center"/>
      <protection hidden="1"/>
    </xf>
    <xf numFmtId="14" fontId="14" fillId="0" borderId="9" xfId="7" applyNumberFormat="1" applyFont="1" applyBorder="1" applyAlignment="1">
      <alignment horizontal="center" vertical="center"/>
    </xf>
    <xf numFmtId="165" fontId="14" fillId="0" borderId="9" xfId="7" applyNumberFormat="1" applyFont="1" applyBorder="1" applyAlignment="1">
      <alignment horizontal="center" vertical="center"/>
    </xf>
    <xf numFmtId="167" fontId="14" fillId="0" borderId="9" xfId="7" applyNumberFormat="1" applyFont="1" applyBorder="1" applyAlignment="1">
      <alignment horizontal="center" vertical="center"/>
    </xf>
    <xf numFmtId="0" fontId="14" fillId="0" borderId="9" xfId="7" applyFont="1" applyBorder="1" applyAlignment="1">
      <alignment horizontal="center" vertical="center"/>
    </xf>
    <xf numFmtId="168" fontId="14" fillId="0" borderId="9" xfId="7" applyNumberFormat="1" applyFont="1" applyBorder="1" applyAlignment="1">
      <alignment horizontal="center" vertical="center"/>
    </xf>
    <xf numFmtId="0" fontId="14" fillId="0" borderId="9" xfId="7" applyFont="1" applyBorder="1" applyAlignment="1" applyProtection="1">
      <alignment horizontal="center" vertical="center"/>
      <protection hidden="1"/>
    </xf>
    <xf numFmtId="1" fontId="14" fillId="0" borderId="9" xfId="7" applyNumberFormat="1" applyFont="1" applyBorder="1" applyAlignment="1">
      <alignment horizontal="center" vertical="center"/>
    </xf>
    <xf numFmtId="44" fontId="14" fillId="0" borderId="35" xfId="8" applyFont="1" applyFill="1" applyBorder="1" applyAlignment="1">
      <alignment horizontal="center" vertical="center"/>
    </xf>
    <xf numFmtId="44" fontId="14" fillId="0" borderId="9" xfId="8" applyFont="1" applyFill="1" applyBorder="1" applyAlignment="1">
      <alignment horizontal="left" vertical="center"/>
    </xf>
    <xf numFmtId="9" fontId="14" fillId="0" borderId="30" xfId="11" applyFont="1" applyFill="1" applyBorder="1" applyAlignment="1">
      <alignment horizontal="center" vertical="center"/>
    </xf>
    <xf numFmtId="165" fontId="14" fillId="0" borderId="0" xfId="9" applyNumberFormat="1" applyFont="1" applyFill="1" applyAlignment="1">
      <alignment horizontal="center" vertical="center"/>
    </xf>
    <xf numFmtId="44" fontId="14" fillId="0" borderId="0" xfId="8" applyFont="1" applyFill="1" applyAlignment="1">
      <alignment horizontal="center" vertical="center"/>
    </xf>
    <xf numFmtId="44" fontId="14" fillId="0" borderId="0" xfId="8" applyFont="1" applyAlignment="1">
      <alignment horizontal="center" vertical="center"/>
    </xf>
    <xf numFmtId="44" fontId="14" fillId="0" borderId="0" xfId="9" applyFont="1" applyFill="1" applyAlignment="1">
      <alignment horizontal="center" vertical="center"/>
    </xf>
    <xf numFmtId="0" fontId="14" fillId="0" borderId="0" xfId="0" applyFont="1"/>
    <xf numFmtId="0" fontId="29" fillId="0" borderId="0" xfId="0" applyFont="1"/>
    <xf numFmtId="0" fontId="21" fillId="17" borderId="39" xfId="7" applyFont="1" applyFill="1" applyBorder="1" applyAlignment="1" applyProtection="1">
      <alignment horizontal="center" vertical="center"/>
      <protection hidden="1"/>
    </xf>
    <xf numFmtId="14" fontId="21" fillId="17" borderId="40" xfId="7" applyNumberFormat="1" applyFont="1" applyFill="1" applyBorder="1" applyAlignment="1">
      <alignment horizontal="center" vertical="center"/>
    </xf>
    <xf numFmtId="165" fontId="21" fillId="17" borderId="40" xfId="7" applyNumberFormat="1" applyFont="1" applyFill="1" applyBorder="1" applyAlignment="1">
      <alignment horizontal="center" vertical="center"/>
    </xf>
    <xf numFmtId="167" fontId="21" fillId="17" borderId="40" xfId="7" applyNumberFormat="1" applyFont="1" applyFill="1" applyBorder="1" applyAlignment="1">
      <alignment horizontal="center" vertical="center"/>
    </xf>
    <xf numFmtId="0" fontId="21" fillId="17" borderId="40" xfId="7" applyFont="1" applyFill="1" applyBorder="1" applyAlignment="1">
      <alignment horizontal="center" vertical="center"/>
    </xf>
    <xf numFmtId="168" fontId="21" fillId="17" borderId="40" xfId="7" applyNumberFormat="1" applyFont="1" applyFill="1" applyBorder="1" applyAlignment="1">
      <alignment horizontal="center" vertical="center"/>
    </xf>
    <xf numFmtId="0" fontId="21" fillId="17" borderId="40" xfId="7" applyFont="1" applyFill="1" applyBorder="1" applyAlignment="1" applyProtection="1">
      <alignment horizontal="center" vertical="center"/>
      <protection hidden="1"/>
    </xf>
    <xf numFmtId="1" fontId="21" fillId="17" borderId="40" xfId="7" applyNumberFormat="1" applyFont="1" applyFill="1" applyBorder="1" applyAlignment="1">
      <alignment horizontal="center" vertical="center"/>
    </xf>
    <xf numFmtId="44" fontId="21" fillId="17" borderId="40" xfId="8" applyFont="1" applyFill="1" applyBorder="1" applyAlignment="1">
      <alignment horizontal="center" vertical="center"/>
    </xf>
    <xf numFmtId="44" fontId="21" fillId="17" borderId="40" xfId="8" applyFont="1" applyFill="1" applyBorder="1" applyAlignment="1">
      <alignment horizontal="left" vertical="center"/>
    </xf>
    <xf numFmtId="9" fontId="21" fillId="17" borderId="41" xfId="11" applyFont="1" applyFill="1" applyBorder="1" applyAlignment="1">
      <alignment horizontal="center" vertical="center"/>
    </xf>
    <xf numFmtId="165" fontId="21" fillId="17" borderId="0" xfId="9" applyNumberFormat="1" applyFont="1" applyFill="1" applyAlignment="1">
      <alignment horizontal="center" vertical="center"/>
    </xf>
    <xf numFmtId="44" fontId="21" fillId="17" borderId="0" xfId="8" applyFont="1" applyFill="1" applyAlignment="1">
      <alignment horizontal="center" vertical="center"/>
    </xf>
    <xf numFmtId="165" fontId="21" fillId="17" borderId="0" xfId="2" applyNumberFormat="1" applyFont="1" applyFill="1" applyAlignment="1">
      <alignment horizontal="center" vertical="center"/>
    </xf>
    <xf numFmtId="165" fontId="21" fillId="17" borderId="0" xfId="2" applyNumberFormat="1" applyFont="1" applyFill="1" applyAlignment="1">
      <alignment horizontal="left" vertical="center"/>
    </xf>
    <xf numFmtId="166" fontId="21" fillId="17" borderId="0" xfId="2" applyNumberFormat="1" applyFont="1" applyFill="1" applyAlignment="1">
      <alignment horizontal="center" vertical="center"/>
    </xf>
    <xf numFmtId="44" fontId="21" fillId="17" borderId="0" xfId="9" applyFont="1" applyFill="1" applyAlignment="1">
      <alignment horizontal="center" vertical="center"/>
    </xf>
    <xf numFmtId="44" fontId="21" fillId="17" borderId="0" xfId="2" applyNumberFormat="1" applyFont="1" applyFill="1" applyAlignment="1">
      <alignment horizontal="center" vertical="center"/>
    </xf>
    <xf numFmtId="164" fontId="21" fillId="17" borderId="0" xfId="2" applyFont="1" applyFill="1" applyAlignment="1">
      <alignment horizontal="center" vertical="center"/>
    </xf>
    <xf numFmtId="164" fontId="21" fillId="17" borderId="0" xfId="2" applyFont="1" applyFill="1" applyAlignment="1">
      <alignment horizontal="left" vertical="center"/>
    </xf>
    <xf numFmtId="165" fontId="21" fillId="17" borderId="0" xfId="5" applyNumberFormat="1" applyFont="1" applyFill="1" applyAlignment="1">
      <alignment horizontal="center" vertical="center"/>
    </xf>
    <xf numFmtId="164" fontId="21" fillId="17" borderId="0" xfId="5" applyFont="1" applyFill="1" applyAlignment="1">
      <alignment horizontal="center" vertical="center"/>
    </xf>
    <xf numFmtId="164" fontId="7" fillId="0" borderId="0" xfId="10" applyFont="1" applyAlignment="1">
      <alignment horizontal="center" vertical="center"/>
    </xf>
    <xf numFmtId="165" fontId="7" fillId="0" borderId="0" xfId="2" applyNumberFormat="1" applyFont="1" applyAlignment="1">
      <alignment horizontal="center" vertical="center"/>
    </xf>
    <xf numFmtId="44" fontId="7" fillId="0" borderId="0" xfId="2" applyNumberFormat="1" applyFont="1" applyAlignment="1">
      <alignment horizontal="center" vertical="center"/>
    </xf>
    <xf numFmtId="0" fontId="7" fillId="0" borderId="0" xfId="2" applyNumberFormat="1" applyFont="1" applyAlignment="1">
      <alignment horizontal="center" vertical="center"/>
    </xf>
    <xf numFmtId="44" fontId="7" fillId="0" borderId="0" xfId="9" applyFont="1" applyBorder="1" applyAlignment="1">
      <alignment horizontal="center" vertical="center"/>
    </xf>
    <xf numFmtId="44" fontId="7" fillId="0" borderId="0" xfId="9" applyFont="1" applyBorder="1" applyAlignment="1">
      <alignment horizontal="left" vertical="center"/>
    </xf>
    <xf numFmtId="9" fontId="7" fillId="0" borderId="0" xfId="11" applyFont="1" applyBorder="1" applyAlignment="1">
      <alignment horizontal="center" vertical="center"/>
    </xf>
    <xf numFmtId="165" fontId="7" fillId="0" borderId="0" xfId="9" applyNumberFormat="1" applyFont="1" applyBorder="1" applyAlignment="1">
      <alignment horizontal="center" vertical="center"/>
    </xf>
    <xf numFmtId="166" fontId="7" fillId="0" borderId="0" xfId="2" applyNumberFormat="1" applyFont="1" applyAlignment="1">
      <alignment horizontal="center" vertical="center"/>
    </xf>
    <xf numFmtId="165" fontId="7" fillId="0" borderId="0" xfId="5" applyNumberFormat="1" applyFont="1" applyAlignment="1">
      <alignment vertical="center"/>
    </xf>
    <xf numFmtId="165" fontId="7" fillId="0" borderId="0" xfId="5" applyNumberFormat="1" applyFont="1" applyAlignment="1">
      <alignment horizontal="center" vertical="center"/>
    </xf>
    <xf numFmtId="165" fontId="7" fillId="0" borderId="0" xfId="10" applyNumberFormat="1" applyFont="1" applyAlignment="1">
      <alignment horizontal="center" vertical="center"/>
    </xf>
    <xf numFmtId="44" fontId="7" fillId="0" borderId="0" xfId="9" applyFont="1" applyFill="1" applyAlignment="1">
      <alignment horizontal="center" vertical="center"/>
    </xf>
    <xf numFmtId="0" fontId="7" fillId="0" borderId="0" xfId="3" applyNumberFormat="1" applyFont="1" applyAlignment="1">
      <alignment horizontal="center" vertical="center"/>
    </xf>
    <xf numFmtId="44" fontId="7" fillId="0" borderId="0" xfId="9" applyFont="1" applyFill="1" applyBorder="1" applyAlignment="1">
      <alignment horizontal="center" vertical="center"/>
    </xf>
    <xf numFmtId="164" fontId="7" fillId="0" borderId="0" xfId="3" applyFont="1" applyAlignment="1">
      <alignment horizontal="center" vertical="center"/>
    </xf>
    <xf numFmtId="44" fontId="7" fillId="0" borderId="0" xfId="3" applyNumberFormat="1" applyFont="1" applyAlignment="1">
      <alignment horizontal="center" vertical="center"/>
    </xf>
    <xf numFmtId="9" fontId="7" fillId="0" borderId="0" xfId="11" applyFont="1" applyFill="1" applyAlignment="1">
      <alignment horizontal="center" vertical="center"/>
    </xf>
    <xf numFmtId="44" fontId="7" fillId="0" borderId="0" xfId="9" applyFont="1" applyFill="1" applyAlignment="1">
      <alignment vertical="center"/>
    </xf>
    <xf numFmtId="164" fontId="7" fillId="0" borderId="0" xfId="10" applyFont="1" applyAlignment="1">
      <alignment vertical="center"/>
    </xf>
    <xf numFmtId="44" fontId="7" fillId="0" borderId="0" xfId="3" applyNumberFormat="1" applyFont="1" applyAlignment="1">
      <alignment vertical="center"/>
    </xf>
    <xf numFmtId="165" fontId="26" fillId="0" borderId="0" xfId="0" applyNumberFormat="1" applyFont="1"/>
    <xf numFmtId="165" fontId="0" fillId="0" borderId="0" xfId="0" applyNumberFormat="1"/>
    <xf numFmtId="44" fontId="17" fillId="0" borderId="26" xfId="2" applyNumberFormat="1" applyFont="1" applyBorder="1" applyAlignment="1">
      <alignment horizontal="center" vertical="center" wrapText="1"/>
    </xf>
    <xf numFmtId="164" fontId="30" fillId="0" borderId="10" xfId="1" applyFont="1" applyBorder="1" applyAlignment="1" applyProtection="1">
      <alignment horizontal="center" vertical="center"/>
      <protection hidden="1"/>
    </xf>
    <xf numFmtId="164" fontId="30" fillId="0" borderId="11" xfId="1" applyFont="1" applyBorder="1" applyAlignment="1" applyProtection="1">
      <alignment horizontal="center" vertical="center"/>
      <protection hidden="1"/>
    </xf>
    <xf numFmtId="165" fontId="30" fillId="0" borderId="11" xfId="1" applyNumberFormat="1" applyFont="1" applyBorder="1" applyAlignment="1">
      <alignment horizontal="center" vertical="center"/>
    </xf>
    <xf numFmtId="167" fontId="30" fillId="0" borderId="11" xfId="1" applyNumberFormat="1" applyFont="1" applyBorder="1" applyAlignment="1">
      <alignment horizontal="center" vertical="center"/>
    </xf>
    <xf numFmtId="164" fontId="30" fillId="0" borderId="11" xfId="1" applyFont="1" applyBorder="1" applyAlignment="1">
      <alignment horizontal="center" vertical="center"/>
    </xf>
    <xf numFmtId="49" fontId="30" fillId="0" borderId="11" xfId="3" applyNumberFormat="1" applyFont="1" applyBorder="1" applyAlignment="1">
      <alignment horizontal="center" vertical="center"/>
    </xf>
    <xf numFmtId="44" fontId="30" fillId="0" borderId="11" xfId="4" applyFont="1" applyFill="1" applyBorder="1" applyAlignment="1">
      <alignment horizontal="center" vertical="center"/>
    </xf>
    <xf numFmtId="164" fontId="30" fillId="0" borderId="11" xfId="3" applyFont="1" applyBorder="1" applyAlignment="1">
      <alignment horizontal="center" vertical="center"/>
    </xf>
    <xf numFmtId="44" fontId="30" fillId="0" borderId="11" xfId="8" applyFont="1" applyFill="1" applyBorder="1" applyAlignment="1">
      <alignment horizontal="left" vertical="center"/>
    </xf>
    <xf numFmtId="44" fontId="30" fillId="0" borderId="11" xfId="4" applyFont="1" applyFill="1" applyBorder="1" applyAlignment="1">
      <alignment horizontal="left" vertical="center"/>
    </xf>
    <xf numFmtId="9" fontId="30" fillId="0" borderId="12" xfId="6" applyFont="1" applyFill="1" applyBorder="1" applyAlignment="1">
      <alignment horizontal="center" vertical="center"/>
    </xf>
    <xf numFmtId="165" fontId="30" fillId="0" borderId="0" xfId="4" applyNumberFormat="1" applyFont="1" applyFill="1" applyAlignment="1">
      <alignment horizontal="center" vertical="center"/>
    </xf>
    <xf numFmtId="44" fontId="30" fillId="0" borderId="0" xfId="4" applyFont="1" applyFill="1" applyAlignment="1">
      <alignment horizontal="center" vertical="center"/>
    </xf>
    <xf numFmtId="165" fontId="30" fillId="0" borderId="0" xfId="2" applyNumberFormat="1" applyFont="1" applyAlignment="1">
      <alignment horizontal="center" vertical="center"/>
    </xf>
    <xf numFmtId="165" fontId="31" fillId="0" borderId="0" xfId="2" applyNumberFormat="1" applyFont="1" applyAlignment="1">
      <alignment horizontal="left" vertical="center"/>
    </xf>
    <xf numFmtId="166" fontId="31" fillId="0" borderId="0" xfId="2" applyNumberFormat="1" applyFont="1" applyAlignment="1">
      <alignment horizontal="center" vertical="center"/>
    </xf>
    <xf numFmtId="165" fontId="31" fillId="0" borderId="0" xfId="2" applyNumberFormat="1" applyFont="1" applyAlignment="1">
      <alignment horizontal="center" vertical="center"/>
    </xf>
    <xf numFmtId="0" fontId="31" fillId="0" borderId="0" xfId="2" applyNumberFormat="1" applyFont="1" applyAlignment="1">
      <alignment horizontal="center" vertical="center"/>
    </xf>
    <xf numFmtId="44" fontId="31" fillId="0" borderId="0" xfId="4" applyFont="1" applyFill="1" applyAlignment="1">
      <alignment horizontal="center" vertical="center"/>
    </xf>
    <xf numFmtId="44" fontId="31" fillId="0" borderId="0" xfId="2" applyNumberFormat="1" applyFont="1" applyAlignment="1">
      <alignment horizontal="center" vertical="center"/>
    </xf>
    <xf numFmtId="164" fontId="31" fillId="0" borderId="0" xfId="2" applyFont="1" applyAlignment="1">
      <alignment horizontal="center" vertical="center"/>
    </xf>
    <xf numFmtId="164" fontId="31" fillId="0" borderId="0" xfId="2" applyFont="1" applyAlignment="1">
      <alignment horizontal="left" vertical="center"/>
    </xf>
    <xf numFmtId="165" fontId="31" fillId="0" borderId="0" xfId="5" applyNumberFormat="1" applyFont="1" applyAlignment="1">
      <alignment horizontal="center" vertical="center"/>
    </xf>
    <xf numFmtId="164" fontId="31" fillId="0" borderId="0" xfId="5" applyFont="1" applyAlignment="1">
      <alignment horizontal="center" vertical="center"/>
    </xf>
    <xf numFmtId="0" fontId="30" fillId="0" borderId="0" xfId="0" applyFont="1"/>
    <xf numFmtId="164" fontId="30" fillId="0" borderId="10" xfId="2" applyFont="1" applyBorder="1" applyAlignment="1">
      <alignment horizontal="center" vertical="center"/>
    </xf>
    <xf numFmtId="165" fontId="30" fillId="0" borderId="11" xfId="2" applyNumberFormat="1" applyFont="1" applyBorder="1" applyAlignment="1">
      <alignment horizontal="center" vertical="center"/>
    </xf>
    <xf numFmtId="164" fontId="30" fillId="0" borderId="11" xfId="2" applyFont="1" applyBorder="1" applyAlignment="1">
      <alignment horizontal="center" vertical="center"/>
    </xf>
    <xf numFmtId="44" fontId="30" fillId="0" borderId="11" xfId="2" applyNumberFormat="1" applyFont="1" applyBorder="1" applyAlignment="1">
      <alignment horizontal="center" vertical="center"/>
    </xf>
    <xf numFmtId="44" fontId="30" fillId="0" borderId="9" xfId="4" applyFont="1" applyFill="1" applyBorder="1" applyAlignment="1">
      <alignment horizontal="left" vertical="center"/>
    </xf>
    <xf numFmtId="44" fontId="30" fillId="0" borderId="36" xfId="4" applyFont="1" applyFill="1" applyBorder="1" applyAlignment="1">
      <alignment horizontal="left" vertical="center"/>
    </xf>
    <xf numFmtId="9" fontId="30" fillId="0" borderId="30" xfId="6" applyFont="1" applyFill="1" applyBorder="1" applyAlignment="1">
      <alignment horizontal="center" vertical="center"/>
    </xf>
    <xf numFmtId="165" fontId="30" fillId="0" borderId="0" xfId="3" applyNumberFormat="1" applyFont="1" applyAlignment="1">
      <alignment horizontal="center" vertical="center"/>
    </xf>
    <xf numFmtId="44" fontId="30" fillId="0" borderId="34" xfId="4" applyFont="1" applyFill="1" applyBorder="1" applyAlignment="1">
      <alignment horizontal="left" vertical="center"/>
    </xf>
    <xf numFmtId="164" fontId="30" fillId="0" borderId="29" xfId="1" applyFont="1" applyBorder="1" applyAlignment="1" applyProtection="1">
      <alignment horizontal="center" vertical="center"/>
      <protection hidden="1"/>
    </xf>
    <xf numFmtId="164" fontId="30" fillId="0" borderId="9" xfId="1" applyFont="1" applyBorder="1" applyAlignment="1" applyProtection="1">
      <alignment horizontal="center" vertical="center"/>
      <protection hidden="1"/>
    </xf>
    <xf numFmtId="165" fontId="30" fillId="0" borderId="9" xfId="1" applyNumberFormat="1" applyFont="1" applyBorder="1" applyAlignment="1">
      <alignment horizontal="center" vertical="center"/>
    </xf>
    <xf numFmtId="167" fontId="30" fillId="0" borderId="9" xfId="1" applyNumberFormat="1" applyFont="1" applyBorder="1" applyAlignment="1">
      <alignment horizontal="center" vertical="center"/>
    </xf>
    <xf numFmtId="164" fontId="30" fillId="0" borderId="9" xfId="1" applyFont="1" applyBorder="1" applyAlignment="1">
      <alignment horizontal="center" vertical="center"/>
    </xf>
    <xf numFmtId="164" fontId="30" fillId="0" borderId="35" xfId="1" applyFont="1" applyBorder="1" applyAlignment="1">
      <alignment horizontal="center" vertical="center"/>
    </xf>
    <xf numFmtId="164" fontId="30" fillId="0" borderId="36" xfId="1" applyFont="1" applyBorder="1" applyAlignment="1">
      <alignment horizontal="center" vertical="center"/>
    </xf>
    <xf numFmtId="49" fontId="30" fillId="0" borderId="36" xfId="3" applyNumberFormat="1" applyFont="1" applyBorder="1" applyAlignment="1">
      <alignment horizontal="center" vertical="center"/>
    </xf>
    <xf numFmtId="44" fontId="30" fillId="0" borderId="9" xfId="4" applyFont="1" applyFill="1" applyBorder="1" applyAlignment="1">
      <alignment horizontal="center" vertical="center"/>
    </xf>
    <xf numFmtId="49" fontId="30" fillId="0" borderId="9" xfId="3" applyNumberFormat="1" applyFont="1" applyBorder="1" applyAlignment="1">
      <alignment horizontal="center" vertical="center"/>
    </xf>
    <xf numFmtId="164" fontId="30" fillId="0" borderId="29" xfId="2" applyFont="1" applyBorder="1" applyAlignment="1">
      <alignment horizontal="center" vertical="center"/>
    </xf>
    <xf numFmtId="165" fontId="30" fillId="0" borderId="9" xfId="2" applyNumberFormat="1" applyFont="1" applyBorder="1" applyAlignment="1">
      <alignment horizontal="center" vertical="center"/>
    </xf>
    <xf numFmtId="164" fontId="30" fillId="0" borderId="9" xfId="2" applyFont="1" applyBorder="1" applyAlignment="1">
      <alignment horizontal="center" vertical="center"/>
    </xf>
    <xf numFmtId="44" fontId="30" fillId="0" borderId="35" xfId="2" applyNumberFormat="1" applyFont="1" applyBorder="1" applyAlignment="1">
      <alignment horizontal="center" vertical="center"/>
    </xf>
    <xf numFmtId="44" fontId="30" fillId="0" borderId="9" xfId="2" applyNumberFormat="1" applyFont="1" applyBorder="1" applyAlignment="1">
      <alignment horizontal="center" vertical="center"/>
    </xf>
    <xf numFmtId="44" fontId="30" fillId="0" borderId="36" xfId="2" applyNumberFormat="1" applyFont="1" applyBorder="1" applyAlignment="1">
      <alignment horizontal="center" vertical="center"/>
    </xf>
    <xf numFmtId="164" fontId="30" fillId="0" borderId="36" xfId="2" applyFont="1" applyBorder="1" applyAlignment="1">
      <alignment horizontal="center" vertical="center"/>
    </xf>
    <xf numFmtId="164" fontId="30" fillId="0" borderId="13" xfId="1" applyFont="1" applyBorder="1" applyAlignment="1" applyProtection="1">
      <alignment horizontal="center" vertical="center"/>
      <protection hidden="1"/>
    </xf>
    <xf numFmtId="164" fontId="30" fillId="0" borderId="14" xfId="1" applyFont="1" applyBorder="1" applyAlignment="1" applyProtection="1">
      <alignment horizontal="center" vertical="center"/>
      <protection hidden="1"/>
    </xf>
    <xf numFmtId="165" fontId="30" fillId="0" borderId="14" xfId="1" applyNumberFormat="1" applyFont="1" applyBorder="1" applyAlignment="1">
      <alignment horizontal="center" vertical="center"/>
    </xf>
    <xf numFmtId="167" fontId="30" fillId="0" borderId="14" xfId="1" applyNumberFormat="1" applyFont="1" applyBorder="1" applyAlignment="1">
      <alignment horizontal="center" vertical="center"/>
    </xf>
    <xf numFmtId="164" fontId="30" fillId="0" borderId="14" xfId="1" applyFont="1" applyBorder="1" applyAlignment="1">
      <alignment horizontal="center" vertical="center"/>
    </xf>
    <xf numFmtId="49" fontId="30" fillId="0" borderId="14" xfId="3" applyNumberFormat="1" applyFont="1" applyBorder="1" applyAlignment="1">
      <alignment horizontal="center" vertical="center"/>
    </xf>
    <xf numFmtId="44" fontId="30" fillId="0" borderId="14" xfId="4" applyFont="1" applyFill="1" applyBorder="1" applyAlignment="1">
      <alignment horizontal="center" vertical="center"/>
    </xf>
    <xf numFmtId="164" fontId="30" fillId="0" borderId="14" xfId="3" applyFont="1" applyBorder="1" applyAlignment="1">
      <alignment horizontal="center" vertical="center"/>
    </xf>
    <xf numFmtId="44" fontId="30" fillId="0" borderId="14" xfId="8" applyFont="1" applyFill="1" applyBorder="1" applyAlignment="1">
      <alignment horizontal="left" vertical="center"/>
    </xf>
    <xf numFmtId="44" fontId="30" fillId="0" borderId="14" xfId="4" applyFont="1" applyFill="1" applyBorder="1" applyAlignment="1">
      <alignment horizontal="left" vertical="center"/>
    </xf>
    <xf numFmtId="44" fontId="30" fillId="0" borderId="42" xfId="4" applyFont="1" applyFill="1" applyBorder="1" applyAlignment="1">
      <alignment horizontal="left" vertical="center"/>
    </xf>
    <xf numFmtId="9" fontId="30" fillId="0" borderId="15" xfId="6" applyFont="1" applyFill="1" applyBorder="1" applyAlignment="1">
      <alignment horizontal="center" vertical="center"/>
    </xf>
    <xf numFmtId="164" fontId="31" fillId="0" borderId="0" xfId="1" applyFont="1" applyAlignment="1">
      <alignment horizontal="center" vertical="center"/>
    </xf>
    <xf numFmtId="165" fontId="31" fillId="0" borderId="0" xfId="1" applyNumberFormat="1" applyFont="1" applyAlignment="1">
      <alignment horizontal="center" vertical="center"/>
    </xf>
    <xf numFmtId="44" fontId="31" fillId="0" borderId="0" xfId="4" applyFont="1" applyAlignment="1">
      <alignment horizontal="center" vertical="center"/>
    </xf>
    <xf numFmtId="1" fontId="31" fillId="3" borderId="5" xfId="3" applyNumberFormat="1" applyFont="1" applyFill="1" applyBorder="1" applyAlignment="1">
      <alignment horizontal="center" vertical="center"/>
    </xf>
    <xf numFmtId="44" fontId="31" fillId="3" borderId="6" xfId="4" applyFont="1" applyFill="1" applyBorder="1" applyAlignment="1">
      <alignment horizontal="center" vertical="center"/>
    </xf>
    <xf numFmtId="164" fontId="31" fillId="3" borderId="6" xfId="3" applyFont="1" applyFill="1" applyBorder="1" applyAlignment="1">
      <alignment horizontal="center" vertical="center"/>
    </xf>
    <xf numFmtId="44" fontId="31" fillId="3" borderId="6" xfId="3" applyNumberFormat="1" applyFont="1" applyFill="1" applyBorder="1" applyAlignment="1">
      <alignment horizontal="center" vertical="center"/>
    </xf>
    <xf numFmtId="44" fontId="31" fillId="3" borderId="7" xfId="3" applyNumberFormat="1" applyFont="1" applyFill="1" applyBorder="1" applyAlignment="1">
      <alignment horizontal="center" vertical="center"/>
    </xf>
    <xf numFmtId="9" fontId="31" fillId="0" borderId="0" xfId="6" applyFont="1" applyAlignment="1">
      <alignment horizontal="center" vertical="center"/>
    </xf>
    <xf numFmtId="44" fontId="31" fillId="0" borderId="0" xfId="8" applyFont="1" applyAlignment="1">
      <alignment vertical="center"/>
    </xf>
    <xf numFmtId="44" fontId="31" fillId="0" borderId="0" xfId="8" applyFont="1" applyAlignment="1">
      <alignment horizontal="center" vertical="center"/>
    </xf>
    <xf numFmtId="164" fontId="31" fillId="0" borderId="0" xfId="1" applyFont="1" applyAlignment="1">
      <alignment horizontal="left" vertical="center"/>
    </xf>
    <xf numFmtId="164" fontId="31" fillId="0" borderId="0" xfId="1" applyFont="1" applyAlignment="1">
      <alignment vertical="center"/>
    </xf>
    <xf numFmtId="0" fontId="31" fillId="0" borderId="0" xfId="1" applyNumberFormat="1" applyFont="1" applyAlignment="1">
      <alignment horizontal="center" vertical="center"/>
    </xf>
    <xf numFmtId="44" fontId="31" fillId="0" borderId="0" xfId="4" applyFont="1" applyAlignment="1">
      <alignment vertical="center"/>
    </xf>
    <xf numFmtId="44" fontId="31" fillId="0" borderId="0" xfId="3" applyNumberFormat="1" applyFont="1" applyAlignment="1">
      <alignment vertical="center"/>
    </xf>
    <xf numFmtId="0" fontId="31" fillId="0" borderId="0" xfId="7" applyFont="1" applyAlignment="1" applyProtection="1">
      <alignment horizontal="center" vertical="center"/>
      <protection hidden="1"/>
    </xf>
    <xf numFmtId="49" fontId="30" fillId="0" borderId="8" xfId="3" applyNumberFormat="1" applyFont="1" applyBorder="1" applyAlignment="1">
      <alignment horizontal="center" vertical="center"/>
    </xf>
    <xf numFmtId="44" fontId="30" fillId="0" borderId="8" xfId="4" applyFont="1" applyFill="1" applyBorder="1" applyAlignment="1">
      <alignment horizontal="center" vertical="center"/>
    </xf>
    <xf numFmtId="164" fontId="30" fillId="0" borderId="8" xfId="3" applyFont="1" applyBorder="1" applyAlignment="1">
      <alignment horizontal="center" vertical="center"/>
    </xf>
    <xf numFmtId="44" fontId="30" fillId="0" borderId="8" xfId="8" applyFont="1" applyFill="1" applyBorder="1" applyAlignment="1">
      <alignment horizontal="left" vertical="center"/>
    </xf>
    <xf numFmtId="44" fontId="30" fillId="0" borderId="8" xfId="4" applyFont="1" applyFill="1" applyBorder="1" applyAlignment="1">
      <alignment horizontal="left" vertical="center"/>
    </xf>
    <xf numFmtId="1" fontId="31" fillId="3" borderId="16" xfId="3" applyNumberFormat="1" applyFont="1" applyFill="1" applyBorder="1" applyAlignment="1">
      <alignment horizontal="center" vertical="center"/>
    </xf>
    <xf numFmtId="44" fontId="31" fillId="3" borderId="17" xfId="4" applyFont="1" applyFill="1" applyBorder="1" applyAlignment="1">
      <alignment horizontal="center" vertical="center"/>
    </xf>
    <xf numFmtId="164" fontId="31" fillId="3" borderId="17" xfId="3" applyFont="1" applyFill="1" applyBorder="1" applyAlignment="1">
      <alignment horizontal="center" vertical="center"/>
    </xf>
    <xf numFmtId="44" fontId="31" fillId="3" borderId="17" xfId="3" applyNumberFormat="1" applyFont="1" applyFill="1" applyBorder="1" applyAlignment="1">
      <alignment horizontal="center" vertical="center"/>
    </xf>
    <xf numFmtId="44" fontId="31" fillId="3" borderId="18" xfId="3" applyNumberFormat="1" applyFont="1" applyFill="1" applyBorder="1" applyAlignment="1">
      <alignment horizontal="center" vertical="center"/>
    </xf>
    <xf numFmtId="164" fontId="13" fillId="0" borderId="0" xfId="1" applyFont="1" applyAlignment="1">
      <alignment horizontal="center"/>
    </xf>
    <xf numFmtId="164" fontId="11" fillId="0" borderId="0" xfId="2" applyFont="1" applyAlignment="1">
      <alignment horizontal="left" vertical="center"/>
    </xf>
    <xf numFmtId="164" fontId="10" fillId="2" borderId="1" xfId="2" applyFont="1" applyFill="1" applyBorder="1" applyAlignment="1">
      <alignment horizontal="left" vertical="center"/>
    </xf>
    <xf numFmtId="164" fontId="10" fillId="2" borderId="2" xfId="2" applyFont="1" applyFill="1" applyBorder="1" applyAlignment="1">
      <alignment horizontal="left" vertical="center"/>
    </xf>
    <xf numFmtId="164" fontId="10" fillId="2" borderId="3" xfId="2" applyFont="1" applyFill="1" applyBorder="1" applyAlignment="1">
      <alignment horizontal="left" vertical="center"/>
    </xf>
    <xf numFmtId="164" fontId="10" fillId="2" borderId="4" xfId="2" applyFont="1" applyFill="1" applyBorder="1" applyAlignment="1">
      <alignment horizontal="left" vertical="center"/>
    </xf>
    <xf numFmtId="164" fontId="10" fillId="2" borderId="19" xfId="2" applyFont="1" applyFill="1" applyBorder="1" applyAlignment="1">
      <alignment horizontal="left" vertical="center"/>
    </xf>
    <xf numFmtId="164" fontId="10" fillId="2" borderId="0" xfId="2" applyFont="1" applyFill="1" applyAlignment="1">
      <alignment horizontal="left" vertical="center"/>
    </xf>
    <xf numFmtId="164" fontId="10" fillId="2" borderId="21" xfId="2" applyFont="1" applyFill="1" applyBorder="1" applyAlignment="1">
      <alignment horizontal="left" vertical="center"/>
    </xf>
    <xf numFmtId="164" fontId="10" fillId="2" borderId="28" xfId="2" applyFont="1" applyFill="1" applyBorder="1" applyAlignment="1">
      <alignment horizontal="left" vertical="center"/>
    </xf>
    <xf numFmtId="0" fontId="20" fillId="0" borderId="6" xfId="0" applyFont="1" applyBorder="1" applyAlignment="1">
      <alignment horizontal="center"/>
    </xf>
    <xf numFmtId="44" fontId="20" fillId="0" borderId="6" xfId="8" applyFont="1" applyBorder="1" applyAlignment="1">
      <alignment horizontal="center"/>
    </xf>
    <xf numFmtId="44" fontId="19" fillId="0" borderId="6" xfId="8" applyFont="1" applyBorder="1" applyAlignment="1">
      <alignment horizontal="center" wrapText="1"/>
    </xf>
  </cellXfs>
  <cellStyles count="12">
    <cellStyle name="Currency" xfId="8" builtinId="4"/>
    <cellStyle name="Currency 2 7" xfId="4" xr:uid="{6322A90B-8A75-4E4E-A2FD-0B5AB748F8F6}"/>
    <cellStyle name="Currency 2 7 2" xfId="9" xr:uid="{CCA52B58-24EF-4890-AFD7-83AF96A3D3DE}"/>
    <cellStyle name="Normal" xfId="0" builtinId="0"/>
    <cellStyle name="Normal 2 11 11 2 3" xfId="3" xr:uid="{E1E95C3B-671F-4855-BC89-EEC20BA1FE8A}"/>
    <cellStyle name="Normal 2 11 21 3" xfId="5" xr:uid="{AE5EC7FE-D60B-4686-86AC-E972BA95C655}"/>
    <cellStyle name="Normal 2 2" xfId="2" xr:uid="{508B5F41-0D99-4A17-B3F1-FFCF7FE7B3BD}"/>
    <cellStyle name="Normal 2 3" xfId="7" xr:uid="{04F1AB3D-2EB7-4196-AF62-8D4DD62BD80C}"/>
    <cellStyle name="Normal 3" xfId="1" xr:uid="{E229E0B8-A587-46C9-9733-77E53E2FB20D}"/>
    <cellStyle name="Normal 3 2" xfId="10" xr:uid="{90FBCE89-3ACC-48DE-A1F0-B77158A5BF2F}"/>
    <cellStyle name="Percent 2 2" xfId="6" xr:uid="{AB6ED4CC-CE7A-4A33-A916-4E8AEC813324}"/>
    <cellStyle name="Percent 2 2 2" xfId="11" xr:uid="{02F4E6A2-CCA4-45E8-8884-D87F537FA33B}"/>
  </cellStyles>
  <dxfs count="0"/>
  <tableStyles count="0" defaultTableStyle="TableStyleMedium2" defaultPivotStyle="PivotStyleLight16"/>
  <colors>
    <mruColors>
      <color rgb="FFFFCCFF"/>
      <color rgb="FFFF33CC"/>
      <color rgb="FF9999FF"/>
      <color rgb="FF00FFCC"/>
      <color rgb="FF00CC99"/>
      <color rgb="FF0066FF"/>
      <color rgb="FF0000FF"/>
      <color rgb="FF9933FF"/>
      <color rgb="FF66FF66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38</xdr:col>
      <xdr:colOff>30279</xdr:colOff>
      <xdr:row>0</xdr:row>
      <xdr:rowOff>0</xdr:rowOff>
    </xdr:from>
    <xdr:ext cx="2286000" cy="767129"/>
    <xdr:pic>
      <xdr:nvPicPr>
        <xdr:cNvPr id="3" name="Picture 2">
          <a:extLst>
            <a:ext uri="{FF2B5EF4-FFF2-40B4-BE49-F238E27FC236}">
              <a16:creationId xmlns:a16="http://schemas.microsoft.com/office/drawing/2014/main" id="{F0CD519B-1501-4458-A7A3-1BF89DEBC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84354" y="0"/>
          <a:ext cx="2286000" cy="7671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333375</xdr:colOff>
      <xdr:row>0</xdr:row>
      <xdr:rowOff>0</xdr:rowOff>
    </xdr:from>
    <xdr:ext cx="2286000" cy="767129"/>
    <xdr:pic>
      <xdr:nvPicPr>
        <xdr:cNvPr id="2" name="Picture 1">
          <a:extLst>
            <a:ext uri="{FF2B5EF4-FFF2-40B4-BE49-F238E27FC236}">
              <a16:creationId xmlns:a16="http://schemas.microsoft.com/office/drawing/2014/main" id="{81F25F01-906D-4ABF-9A44-C9EF8EB00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67475" y="0"/>
          <a:ext cx="2286000" cy="7671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lkyway\Commissions_Support_Staff\Users\AJanowiak\Desktop\WDMyCloud\Report%20Development\Master%20Enrollment%20Log%20(AJ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Janowiak\Desktop\WDMyCloud\Report%20Development\Master%20Enrollment%20Log%20(AJ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 in Sheet"/>
      <sheetName val="Outside Sales"/>
      <sheetName val="Sheet1"/>
      <sheetName val="Menus"/>
      <sheetName val="Log in Sheet (2)"/>
      <sheetName val="Upline Lookup"/>
      <sheetName val="Sheet4"/>
      <sheetName val="Sheet2"/>
      <sheetName val="Rosa Review with Adrienne Param"/>
      <sheetName val="fdf"/>
      <sheetName val="Reporting Fi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 in Sheet"/>
      <sheetName val="Outside Sales"/>
      <sheetName val="Sheet1"/>
      <sheetName val="Menus"/>
      <sheetName val="Log in Sheet (2)"/>
      <sheetName val="Upline Lookup"/>
      <sheetName val="Sheet4"/>
      <sheetName val="Sheet2"/>
      <sheetName val="Rosa Review with Adrienne Param"/>
      <sheetName val="fdf"/>
      <sheetName val="Reporting Fi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284F3-AAA0-41AF-B307-2C988B262399}">
  <sheetPr>
    <tabColor rgb="FFFF0000"/>
  </sheetPr>
  <dimension ref="A1:Z1949"/>
  <sheetViews>
    <sheetView workbookViewId="0">
      <selection activeCell="B17" sqref="B17"/>
    </sheetView>
  </sheetViews>
  <sheetFormatPr defaultColWidth="9.140625" defaultRowHeight="23.45"/>
  <cols>
    <col min="1" max="1" width="9.140625" style="13"/>
    <col min="2" max="2" width="67.5703125" style="12" customWidth="1"/>
    <col min="3" max="16384" width="9.140625" style="12"/>
  </cols>
  <sheetData>
    <row r="1" spans="1:26">
      <c r="A1" s="11" t="s">
        <v>0</v>
      </c>
    </row>
    <row r="3" spans="1:26">
      <c r="A3" s="13">
        <v>1</v>
      </c>
      <c r="B3" s="12" t="s">
        <v>1</v>
      </c>
    </row>
    <row r="4" spans="1:26" s="15" customFormat="1" ht="41.25" customHeight="1">
      <c r="A4" s="14"/>
      <c r="B4" s="14" t="s">
        <v>2</v>
      </c>
    </row>
    <row r="5" spans="1:26" ht="30.75" customHeight="1">
      <c r="A5" s="13">
        <v>2</v>
      </c>
      <c r="B5" s="16" t="s">
        <v>3</v>
      </c>
    </row>
    <row r="6" spans="1:26" ht="30.75" customHeight="1">
      <c r="A6" s="13">
        <v>3</v>
      </c>
      <c r="B6" s="16" t="s">
        <v>4</v>
      </c>
    </row>
    <row r="13" spans="1:26">
      <c r="Z13" s="12">
        <v>0</v>
      </c>
    </row>
    <row r="14" spans="1:26">
      <c r="Z14" s="12">
        <v>0</v>
      </c>
    </row>
    <row r="15" spans="1:26">
      <c r="Z15" s="12">
        <v>0</v>
      </c>
    </row>
    <row r="16" spans="1:26">
      <c r="Z16" s="12">
        <v>0</v>
      </c>
    </row>
    <row r="17" spans="26:26">
      <c r="Z17" s="12">
        <v>0</v>
      </c>
    </row>
    <row r="18" spans="26:26">
      <c r="Z18" s="12">
        <v>0</v>
      </c>
    </row>
    <row r="19" spans="26:26">
      <c r="Z19" s="12">
        <v>0</v>
      </c>
    </row>
    <row r="20" spans="26:26">
      <c r="Z20" s="12">
        <v>0</v>
      </c>
    </row>
    <row r="21" spans="26:26">
      <c r="Z21" s="12">
        <v>0</v>
      </c>
    </row>
    <row r="22" spans="26:26">
      <c r="Z22" s="12">
        <v>0</v>
      </c>
    </row>
    <row r="23" spans="26:26">
      <c r="Z23" s="12">
        <v>0</v>
      </c>
    </row>
    <row r="24" spans="26:26">
      <c r="Z24" s="12">
        <v>0</v>
      </c>
    </row>
    <row r="25" spans="26:26">
      <c r="Z25" s="12">
        <v>0</v>
      </c>
    </row>
    <row r="26" spans="26:26">
      <c r="Z26" s="12">
        <v>0</v>
      </c>
    </row>
    <row r="27" spans="26:26">
      <c r="Z27" s="12">
        <v>0</v>
      </c>
    </row>
    <row r="28" spans="26:26">
      <c r="Z28" s="12">
        <v>0</v>
      </c>
    </row>
    <row r="29" spans="26:26">
      <c r="Z29" s="12">
        <v>0</v>
      </c>
    </row>
    <row r="30" spans="26:26">
      <c r="Z30" s="12">
        <v>0</v>
      </c>
    </row>
    <row r="31" spans="26:26">
      <c r="Z31" s="12">
        <v>0</v>
      </c>
    </row>
    <row r="32" spans="26:26">
      <c r="Z32" s="12">
        <v>0</v>
      </c>
    </row>
    <row r="33" spans="26:26">
      <c r="Z33" s="12">
        <v>0</v>
      </c>
    </row>
    <row r="34" spans="26:26">
      <c r="Z34" s="12">
        <v>0</v>
      </c>
    </row>
    <row r="35" spans="26:26">
      <c r="Z35" s="12">
        <v>0</v>
      </c>
    </row>
    <row r="36" spans="26:26">
      <c r="Z36" s="12">
        <v>0</v>
      </c>
    </row>
    <row r="37" spans="26:26">
      <c r="Z37" s="12">
        <v>0</v>
      </c>
    </row>
    <row r="38" spans="26:26">
      <c r="Z38" s="12">
        <v>0</v>
      </c>
    </row>
    <row r="39" spans="26:26">
      <c r="Z39" s="12">
        <v>0</v>
      </c>
    </row>
    <row r="40" spans="26:26">
      <c r="Z40" s="12">
        <v>0</v>
      </c>
    </row>
    <row r="41" spans="26:26">
      <c r="Z41" s="12">
        <v>0</v>
      </c>
    </row>
    <row r="42" spans="26:26">
      <c r="Z42" s="12">
        <v>0</v>
      </c>
    </row>
    <row r="43" spans="26:26">
      <c r="Z43" s="12">
        <v>0</v>
      </c>
    </row>
    <row r="44" spans="26:26">
      <c r="Z44" s="12">
        <v>0</v>
      </c>
    </row>
    <row r="45" spans="26:26">
      <c r="Z45" s="12">
        <v>0</v>
      </c>
    </row>
    <row r="46" spans="26:26">
      <c r="Z46" s="12">
        <v>0</v>
      </c>
    </row>
    <row r="47" spans="26:26">
      <c r="Z47" s="12">
        <v>0</v>
      </c>
    </row>
    <row r="48" spans="26:26">
      <c r="Z48" s="12">
        <v>0</v>
      </c>
    </row>
    <row r="49" spans="26:26">
      <c r="Z49" s="12">
        <v>0</v>
      </c>
    </row>
    <row r="50" spans="26:26">
      <c r="Z50" s="12">
        <v>0</v>
      </c>
    </row>
    <row r="51" spans="26:26">
      <c r="Z51" s="12">
        <v>0</v>
      </c>
    </row>
    <row r="52" spans="26:26">
      <c r="Z52" s="12">
        <v>0</v>
      </c>
    </row>
    <row r="53" spans="26:26">
      <c r="Z53" s="12">
        <v>0</v>
      </c>
    </row>
    <row r="54" spans="26:26">
      <c r="Z54" s="12">
        <v>0</v>
      </c>
    </row>
    <row r="55" spans="26:26">
      <c r="Z55" s="12">
        <v>0</v>
      </c>
    </row>
    <row r="56" spans="26:26">
      <c r="Z56" s="12">
        <v>0</v>
      </c>
    </row>
    <row r="57" spans="26:26">
      <c r="Z57" s="12">
        <v>0</v>
      </c>
    </row>
    <row r="58" spans="26:26">
      <c r="Z58" s="12">
        <v>0</v>
      </c>
    </row>
    <row r="59" spans="26:26">
      <c r="Z59" s="12">
        <v>0</v>
      </c>
    </row>
    <row r="60" spans="26:26">
      <c r="Z60" s="12">
        <v>0</v>
      </c>
    </row>
    <row r="61" spans="26:26">
      <c r="Z61" s="12">
        <v>0</v>
      </c>
    </row>
    <row r="62" spans="26:26">
      <c r="Z62" s="12">
        <v>0</v>
      </c>
    </row>
    <row r="63" spans="26:26">
      <c r="Z63" s="12">
        <v>0</v>
      </c>
    </row>
    <row r="64" spans="26:26">
      <c r="Z64" s="12">
        <v>0</v>
      </c>
    </row>
    <row r="65" spans="26:26">
      <c r="Z65" s="12">
        <v>0</v>
      </c>
    </row>
    <row r="66" spans="26:26">
      <c r="Z66" s="12">
        <v>0</v>
      </c>
    </row>
    <row r="67" spans="26:26">
      <c r="Z67" s="12">
        <v>0</v>
      </c>
    </row>
    <row r="68" spans="26:26">
      <c r="Z68" s="12">
        <v>0</v>
      </c>
    </row>
    <row r="69" spans="26:26">
      <c r="Z69" s="12">
        <v>0</v>
      </c>
    </row>
    <row r="70" spans="26:26">
      <c r="Z70" s="12">
        <v>0</v>
      </c>
    </row>
    <row r="71" spans="26:26">
      <c r="Z71" s="12">
        <v>0</v>
      </c>
    </row>
    <row r="72" spans="26:26">
      <c r="Z72" s="12">
        <v>0</v>
      </c>
    </row>
    <row r="73" spans="26:26">
      <c r="Z73" s="12">
        <v>0</v>
      </c>
    </row>
    <row r="74" spans="26:26">
      <c r="Z74" s="12">
        <v>0</v>
      </c>
    </row>
    <row r="75" spans="26:26">
      <c r="Z75" s="12">
        <v>0</v>
      </c>
    </row>
    <row r="76" spans="26:26">
      <c r="Z76" s="12">
        <v>0</v>
      </c>
    </row>
    <row r="77" spans="26:26">
      <c r="Z77" s="12">
        <v>0</v>
      </c>
    </row>
    <row r="78" spans="26:26">
      <c r="Z78" s="12">
        <v>0</v>
      </c>
    </row>
    <row r="79" spans="26:26">
      <c r="Z79" s="12">
        <v>0</v>
      </c>
    </row>
    <row r="80" spans="26:26">
      <c r="Z80" s="12">
        <v>0</v>
      </c>
    </row>
    <row r="81" spans="26:26">
      <c r="Z81" s="12">
        <v>0</v>
      </c>
    </row>
    <row r="82" spans="26:26">
      <c r="Z82" s="12">
        <v>0</v>
      </c>
    </row>
    <row r="83" spans="26:26">
      <c r="Z83" s="12">
        <v>0</v>
      </c>
    </row>
    <row r="84" spans="26:26">
      <c r="Z84" s="12">
        <v>0</v>
      </c>
    </row>
    <row r="85" spans="26:26">
      <c r="Z85" s="12">
        <v>0</v>
      </c>
    </row>
    <row r="86" spans="26:26">
      <c r="Z86" s="12">
        <v>0</v>
      </c>
    </row>
    <row r="87" spans="26:26">
      <c r="Z87" s="12">
        <v>0</v>
      </c>
    </row>
    <row r="88" spans="26:26">
      <c r="Z88" s="12">
        <v>0</v>
      </c>
    </row>
    <row r="89" spans="26:26">
      <c r="Z89" s="12">
        <v>0</v>
      </c>
    </row>
    <row r="90" spans="26:26">
      <c r="Z90" s="12">
        <v>0</v>
      </c>
    </row>
    <row r="91" spans="26:26">
      <c r="Z91" s="12">
        <v>0</v>
      </c>
    </row>
    <row r="92" spans="26:26">
      <c r="Z92" s="12">
        <v>0</v>
      </c>
    </row>
    <row r="93" spans="26:26">
      <c r="Z93" s="12">
        <v>0</v>
      </c>
    </row>
    <row r="94" spans="26:26">
      <c r="Z94" s="12">
        <v>0</v>
      </c>
    </row>
    <row r="95" spans="26:26">
      <c r="Z95" s="12">
        <v>0</v>
      </c>
    </row>
    <row r="96" spans="26:26">
      <c r="Z96" s="12">
        <v>0</v>
      </c>
    </row>
    <row r="97" spans="26:26">
      <c r="Z97" s="12">
        <v>0</v>
      </c>
    </row>
    <row r="98" spans="26:26">
      <c r="Z98" s="12">
        <v>0</v>
      </c>
    </row>
    <row r="99" spans="26:26">
      <c r="Z99" s="12">
        <v>0</v>
      </c>
    </row>
    <row r="100" spans="26:26">
      <c r="Z100" s="12">
        <v>0</v>
      </c>
    </row>
    <row r="101" spans="26:26">
      <c r="Z101" s="12">
        <v>0</v>
      </c>
    </row>
    <row r="102" spans="26:26">
      <c r="Z102" s="12">
        <v>0</v>
      </c>
    </row>
    <row r="103" spans="26:26">
      <c r="Z103" s="12">
        <v>0</v>
      </c>
    </row>
    <row r="104" spans="26:26">
      <c r="Z104" s="12">
        <v>0</v>
      </c>
    </row>
    <row r="105" spans="26:26">
      <c r="Z105" s="12">
        <v>0</v>
      </c>
    </row>
    <row r="106" spans="26:26">
      <c r="Z106" s="12">
        <v>0</v>
      </c>
    </row>
    <row r="107" spans="26:26">
      <c r="Z107" s="12">
        <v>0</v>
      </c>
    </row>
    <row r="108" spans="26:26">
      <c r="Z108" s="12">
        <v>0</v>
      </c>
    </row>
    <row r="109" spans="26:26">
      <c r="Z109" s="12">
        <v>0</v>
      </c>
    </row>
    <row r="110" spans="26:26">
      <c r="Z110" s="12">
        <v>0</v>
      </c>
    </row>
    <row r="111" spans="26:26">
      <c r="Z111" s="12">
        <v>0</v>
      </c>
    </row>
    <row r="112" spans="26:26">
      <c r="Z112" s="12">
        <v>0</v>
      </c>
    </row>
    <row r="113" spans="26:26">
      <c r="Z113" s="12">
        <v>0</v>
      </c>
    </row>
    <row r="114" spans="26:26">
      <c r="Z114" s="12">
        <v>0</v>
      </c>
    </row>
    <row r="115" spans="26:26">
      <c r="Z115" s="12">
        <v>0</v>
      </c>
    </row>
    <row r="116" spans="26:26">
      <c r="Z116" s="12">
        <v>0</v>
      </c>
    </row>
    <row r="117" spans="26:26">
      <c r="Z117" s="12">
        <v>0</v>
      </c>
    </row>
    <row r="118" spans="26:26">
      <c r="Z118" s="12">
        <v>0</v>
      </c>
    </row>
    <row r="119" spans="26:26">
      <c r="Z119" s="12">
        <v>0</v>
      </c>
    </row>
    <row r="120" spans="26:26">
      <c r="Z120" s="12">
        <v>0</v>
      </c>
    </row>
    <row r="121" spans="26:26">
      <c r="Z121" s="12">
        <v>0</v>
      </c>
    </row>
    <row r="122" spans="26:26">
      <c r="Z122" s="12">
        <v>0</v>
      </c>
    </row>
    <row r="123" spans="26:26">
      <c r="Z123" s="12">
        <v>0</v>
      </c>
    </row>
    <row r="124" spans="26:26">
      <c r="Z124" s="12">
        <v>0</v>
      </c>
    </row>
    <row r="125" spans="26:26">
      <c r="Z125" s="12">
        <v>0</v>
      </c>
    </row>
    <row r="126" spans="26:26">
      <c r="Z126" s="12">
        <v>0</v>
      </c>
    </row>
    <row r="127" spans="26:26">
      <c r="Z127" s="12">
        <v>0</v>
      </c>
    </row>
    <row r="128" spans="26:26">
      <c r="Z128" s="12">
        <v>0</v>
      </c>
    </row>
    <row r="129" spans="26:26">
      <c r="Z129" s="12">
        <v>0</v>
      </c>
    </row>
    <row r="130" spans="26:26">
      <c r="Z130" s="12">
        <v>0</v>
      </c>
    </row>
    <row r="131" spans="26:26">
      <c r="Z131" s="12">
        <v>0</v>
      </c>
    </row>
    <row r="132" spans="26:26">
      <c r="Z132" s="12">
        <v>0</v>
      </c>
    </row>
    <row r="133" spans="26:26">
      <c r="Z133" s="12">
        <v>0</v>
      </c>
    </row>
    <row r="134" spans="26:26">
      <c r="Z134" s="12">
        <v>0</v>
      </c>
    </row>
    <row r="135" spans="26:26">
      <c r="Z135" s="12">
        <v>0</v>
      </c>
    </row>
    <row r="136" spans="26:26">
      <c r="Z136" s="12">
        <v>0</v>
      </c>
    </row>
    <row r="137" spans="26:26">
      <c r="Z137" s="12">
        <v>0</v>
      </c>
    </row>
    <row r="138" spans="26:26">
      <c r="Z138" s="12">
        <v>0</v>
      </c>
    </row>
    <row r="139" spans="26:26">
      <c r="Z139" s="12">
        <v>0</v>
      </c>
    </row>
    <row r="140" spans="26:26">
      <c r="Z140" s="12">
        <v>0</v>
      </c>
    </row>
    <row r="141" spans="26:26">
      <c r="Z141" s="12">
        <v>0</v>
      </c>
    </row>
    <row r="142" spans="26:26">
      <c r="Z142" s="12">
        <v>0</v>
      </c>
    </row>
    <row r="143" spans="26:26">
      <c r="Z143" s="12">
        <v>0</v>
      </c>
    </row>
    <row r="144" spans="26:26">
      <c r="Z144" s="12">
        <v>0</v>
      </c>
    </row>
    <row r="145" spans="26:26">
      <c r="Z145" s="12">
        <v>0</v>
      </c>
    </row>
    <row r="146" spans="26:26">
      <c r="Z146" s="12">
        <v>0</v>
      </c>
    </row>
    <row r="147" spans="26:26">
      <c r="Z147" s="12">
        <v>0</v>
      </c>
    </row>
    <row r="148" spans="26:26">
      <c r="Z148" s="12">
        <v>0</v>
      </c>
    </row>
    <row r="149" spans="26:26">
      <c r="Z149" s="12">
        <v>0</v>
      </c>
    </row>
    <row r="150" spans="26:26">
      <c r="Z150" s="12">
        <v>0</v>
      </c>
    </row>
    <row r="151" spans="26:26">
      <c r="Z151" s="12">
        <v>0</v>
      </c>
    </row>
    <row r="152" spans="26:26">
      <c r="Z152" s="12">
        <v>0</v>
      </c>
    </row>
    <row r="153" spans="26:26">
      <c r="Z153" s="12">
        <v>0</v>
      </c>
    </row>
    <row r="154" spans="26:26">
      <c r="Z154" s="12">
        <v>0</v>
      </c>
    </row>
    <row r="155" spans="26:26">
      <c r="Z155" s="12">
        <v>0</v>
      </c>
    </row>
    <row r="156" spans="26:26">
      <c r="Z156" s="12">
        <v>0</v>
      </c>
    </row>
    <row r="157" spans="26:26">
      <c r="Z157" s="12">
        <v>0</v>
      </c>
    </row>
    <row r="158" spans="26:26">
      <c r="Z158" s="12">
        <v>0</v>
      </c>
    </row>
    <row r="159" spans="26:26">
      <c r="Z159" s="12">
        <v>0</v>
      </c>
    </row>
    <row r="160" spans="26:26">
      <c r="Z160" s="12">
        <v>0</v>
      </c>
    </row>
    <row r="161" spans="26:26">
      <c r="Z161" s="12">
        <v>0</v>
      </c>
    </row>
    <row r="162" spans="26:26">
      <c r="Z162" s="12">
        <v>0</v>
      </c>
    </row>
    <row r="163" spans="26:26">
      <c r="Z163" s="12">
        <v>0</v>
      </c>
    </row>
    <row r="164" spans="26:26">
      <c r="Z164" s="12">
        <v>0</v>
      </c>
    </row>
    <row r="165" spans="26:26">
      <c r="Z165" s="12">
        <v>0</v>
      </c>
    </row>
    <row r="166" spans="26:26">
      <c r="Z166" s="12">
        <v>0</v>
      </c>
    </row>
    <row r="167" spans="26:26">
      <c r="Z167" s="12">
        <v>0</v>
      </c>
    </row>
    <row r="168" spans="26:26">
      <c r="Z168" s="12">
        <v>0</v>
      </c>
    </row>
    <row r="169" spans="26:26">
      <c r="Z169" s="12">
        <v>0</v>
      </c>
    </row>
    <row r="170" spans="26:26">
      <c r="Z170" s="12">
        <v>0</v>
      </c>
    </row>
    <row r="171" spans="26:26">
      <c r="Z171" s="12">
        <v>0</v>
      </c>
    </row>
    <row r="172" spans="26:26">
      <c r="Z172" s="12">
        <v>0</v>
      </c>
    </row>
    <row r="173" spans="26:26">
      <c r="Z173" s="12">
        <v>0</v>
      </c>
    </row>
    <row r="174" spans="26:26">
      <c r="Z174" s="12">
        <v>0</v>
      </c>
    </row>
    <row r="175" spans="26:26">
      <c r="Z175" s="12">
        <v>0</v>
      </c>
    </row>
    <row r="176" spans="26:26">
      <c r="Z176" s="12">
        <v>0</v>
      </c>
    </row>
    <row r="177" spans="26:26">
      <c r="Z177" s="12">
        <v>0</v>
      </c>
    </row>
    <row r="178" spans="26:26">
      <c r="Z178" s="12">
        <v>0</v>
      </c>
    </row>
    <row r="179" spans="26:26">
      <c r="Z179" s="12">
        <v>0</v>
      </c>
    </row>
    <row r="180" spans="26:26">
      <c r="Z180" s="12">
        <v>0</v>
      </c>
    </row>
    <row r="181" spans="26:26">
      <c r="Z181" s="12">
        <v>0</v>
      </c>
    </row>
    <row r="182" spans="26:26">
      <c r="Z182" s="12">
        <v>0</v>
      </c>
    </row>
    <row r="183" spans="26:26">
      <c r="Z183" s="12">
        <v>0</v>
      </c>
    </row>
    <row r="184" spans="26:26">
      <c r="Z184" s="12">
        <v>0</v>
      </c>
    </row>
    <row r="185" spans="26:26">
      <c r="Z185" s="12">
        <v>0</v>
      </c>
    </row>
    <row r="186" spans="26:26">
      <c r="Z186" s="12">
        <v>0</v>
      </c>
    </row>
    <row r="187" spans="26:26">
      <c r="Z187" s="12">
        <v>0</v>
      </c>
    </row>
    <row r="188" spans="26:26">
      <c r="Z188" s="12">
        <v>0</v>
      </c>
    </row>
    <row r="189" spans="26:26">
      <c r="Z189" s="12">
        <v>0</v>
      </c>
    </row>
    <row r="190" spans="26:26">
      <c r="Z190" s="12">
        <v>0</v>
      </c>
    </row>
    <row r="191" spans="26:26">
      <c r="Z191" s="12">
        <v>0</v>
      </c>
    </row>
    <row r="192" spans="26:26">
      <c r="Z192" s="12">
        <v>0</v>
      </c>
    </row>
    <row r="193" spans="26:26">
      <c r="Z193" s="12">
        <v>0</v>
      </c>
    </row>
    <row r="194" spans="26:26">
      <c r="Z194" s="12">
        <v>0</v>
      </c>
    </row>
    <row r="195" spans="26:26">
      <c r="Z195" s="12">
        <v>0</v>
      </c>
    </row>
    <row r="196" spans="26:26">
      <c r="Z196" s="12">
        <v>0</v>
      </c>
    </row>
    <row r="197" spans="26:26">
      <c r="Z197" s="12">
        <v>0</v>
      </c>
    </row>
    <row r="198" spans="26:26">
      <c r="Z198" s="12">
        <v>0</v>
      </c>
    </row>
    <row r="199" spans="26:26">
      <c r="Z199" s="12">
        <v>0</v>
      </c>
    </row>
    <row r="200" spans="26:26">
      <c r="Z200" s="12">
        <v>0</v>
      </c>
    </row>
    <row r="201" spans="26:26">
      <c r="Z201" s="12">
        <v>0</v>
      </c>
    </row>
    <row r="202" spans="26:26">
      <c r="Z202" s="12">
        <v>0</v>
      </c>
    </row>
    <row r="203" spans="26:26">
      <c r="Z203" s="12">
        <v>0</v>
      </c>
    </row>
    <row r="204" spans="26:26">
      <c r="Z204" s="12">
        <v>0</v>
      </c>
    </row>
    <row r="205" spans="26:26">
      <c r="Z205" s="12">
        <v>0</v>
      </c>
    </row>
    <row r="206" spans="26:26">
      <c r="Z206" s="12">
        <v>0</v>
      </c>
    </row>
    <row r="207" spans="26:26">
      <c r="Z207" s="12">
        <v>0</v>
      </c>
    </row>
    <row r="208" spans="26:26">
      <c r="Z208" s="12">
        <v>0</v>
      </c>
    </row>
    <row r="209" spans="26:26">
      <c r="Z209" s="12">
        <v>0</v>
      </c>
    </row>
    <row r="210" spans="26:26">
      <c r="Z210" s="12">
        <v>0</v>
      </c>
    </row>
    <row r="211" spans="26:26">
      <c r="Z211" s="12">
        <v>0</v>
      </c>
    </row>
    <row r="212" spans="26:26">
      <c r="Z212" s="12">
        <v>0</v>
      </c>
    </row>
    <row r="213" spans="26:26">
      <c r="Z213" s="12">
        <v>0</v>
      </c>
    </row>
    <row r="214" spans="26:26">
      <c r="Z214" s="12">
        <v>0</v>
      </c>
    </row>
    <row r="215" spans="26:26">
      <c r="Z215" s="12">
        <v>0</v>
      </c>
    </row>
    <row r="216" spans="26:26">
      <c r="Z216" s="12">
        <v>0</v>
      </c>
    </row>
    <row r="217" spans="26:26">
      <c r="Z217" s="12">
        <v>0</v>
      </c>
    </row>
    <row r="218" spans="26:26">
      <c r="Z218" s="12">
        <v>0</v>
      </c>
    </row>
    <row r="219" spans="26:26">
      <c r="Z219" s="12">
        <v>0</v>
      </c>
    </row>
    <row r="220" spans="26:26">
      <c r="Z220" s="12">
        <v>0</v>
      </c>
    </row>
    <row r="221" spans="26:26">
      <c r="Z221" s="12">
        <v>0</v>
      </c>
    </row>
    <row r="222" spans="26:26">
      <c r="Z222" s="12">
        <v>0</v>
      </c>
    </row>
    <row r="223" spans="26:26">
      <c r="Z223" s="12">
        <v>0</v>
      </c>
    </row>
    <row r="224" spans="26:26">
      <c r="Z224" s="12">
        <v>0</v>
      </c>
    </row>
    <row r="225" spans="26:26">
      <c r="Z225" s="12">
        <v>0</v>
      </c>
    </row>
    <row r="226" spans="26:26">
      <c r="Z226" s="12">
        <v>0</v>
      </c>
    </row>
    <row r="227" spans="26:26">
      <c r="Z227" s="12">
        <v>0</v>
      </c>
    </row>
    <row r="228" spans="26:26">
      <c r="Z228" s="12">
        <v>0</v>
      </c>
    </row>
    <row r="229" spans="26:26">
      <c r="Z229" s="12">
        <v>0</v>
      </c>
    </row>
    <row r="230" spans="26:26">
      <c r="Z230" s="12">
        <v>0</v>
      </c>
    </row>
    <row r="231" spans="26:26">
      <c r="Z231" s="12">
        <v>0</v>
      </c>
    </row>
    <row r="232" spans="26:26">
      <c r="Z232" s="12">
        <v>0</v>
      </c>
    </row>
    <row r="233" spans="26:26">
      <c r="Z233" s="12">
        <v>0</v>
      </c>
    </row>
    <row r="234" spans="26:26">
      <c r="Z234" s="12">
        <v>0</v>
      </c>
    </row>
    <row r="235" spans="26:26">
      <c r="Z235" s="12">
        <v>0</v>
      </c>
    </row>
    <row r="236" spans="26:26">
      <c r="Z236" s="12">
        <v>0</v>
      </c>
    </row>
    <row r="237" spans="26:26">
      <c r="Z237" s="12">
        <v>0</v>
      </c>
    </row>
    <row r="238" spans="26:26">
      <c r="Z238" s="12">
        <v>0</v>
      </c>
    </row>
    <row r="239" spans="26:26">
      <c r="Z239" s="12">
        <v>0</v>
      </c>
    </row>
    <row r="240" spans="26:26">
      <c r="Z240" s="12">
        <v>0</v>
      </c>
    </row>
    <row r="241" spans="26:26">
      <c r="Z241" s="12">
        <v>0</v>
      </c>
    </row>
    <row r="242" spans="26:26">
      <c r="Z242" s="12">
        <v>0</v>
      </c>
    </row>
    <row r="243" spans="26:26">
      <c r="Z243" s="12">
        <v>0</v>
      </c>
    </row>
    <row r="244" spans="26:26">
      <c r="Z244" s="12">
        <v>0</v>
      </c>
    </row>
    <row r="245" spans="26:26">
      <c r="Z245" s="12">
        <v>0</v>
      </c>
    </row>
    <row r="246" spans="26:26">
      <c r="Z246" s="12">
        <v>0</v>
      </c>
    </row>
    <row r="247" spans="26:26">
      <c r="Z247" s="12">
        <v>0</v>
      </c>
    </row>
    <row r="248" spans="26:26">
      <c r="Z248" s="12">
        <v>0</v>
      </c>
    </row>
    <row r="249" spans="26:26">
      <c r="Z249" s="12">
        <v>0</v>
      </c>
    </row>
    <row r="250" spans="26:26">
      <c r="Z250" s="12">
        <v>0</v>
      </c>
    </row>
    <row r="251" spans="26:26">
      <c r="Z251" s="12">
        <v>0</v>
      </c>
    </row>
    <row r="252" spans="26:26">
      <c r="Z252" s="12">
        <v>0</v>
      </c>
    </row>
    <row r="253" spans="26:26">
      <c r="Z253" s="12">
        <v>0</v>
      </c>
    </row>
    <row r="254" spans="26:26">
      <c r="Z254" s="12">
        <v>0</v>
      </c>
    </row>
    <row r="255" spans="26:26">
      <c r="Z255" s="12">
        <v>0</v>
      </c>
    </row>
    <row r="256" spans="26:26">
      <c r="Z256" s="12">
        <v>0</v>
      </c>
    </row>
    <row r="257" spans="26:26">
      <c r="Z257" s="12">
        <v>0</v>
      </c>
    </row>
    <row r="258" spans="26:26">
      <c r="Z258" s="12">
        <v>0</v>
      </c>
    </row>
    <row r="259" spans="26:26">
      <c r="Z259" s="12">
        <v>0</v>
      </c>
    </row>
    <row r="260" spans="26:26">
      <c r="Z260" s="12">
        <v>0</v>
      </c>
    </row>
    <row r="261" spans="26:26">
      <c r="Z261" s="12">
        <v>0</v>
      </c>
    </row>
    <row r="262" spans="26:26">
      <c r="Z262" s="12">
        <v>0</v>
      </c>
    </row>
    <row r="263" spans="26:26">
      <c r="Z263" s="12">
        <v>0</v>
      </c>
    </row>
    <row r="264" spans="26:26">
      <c r="Z264" s="12">
        <v>0</v>
      </c>
    </row>
    <row r="265" spans="26:26">
      <c r="Z265" s="12">
        <v>0</v>
      </c>
    </row>
    <row r="266" spans="26:26">
      <c r="Z266" s="12">
        <v>0</v>
      </c>
    </row>
    <row r="267" spans="26:26">
      <c r="Z267" s="12">
        <v>0</v>
      </c>
    </row>
    <row r="268" spans="26:26">
      <c r="Z268" s="12">
        <v>0</v>
      </c>
    </row>
    <row r="269" spans="26:26">
      <c r="Z269" s="12">
        <v>0</v>
      </c>
    </row>
    <row r="270" spans="26:26">
      <c r="Z270" s="12">
        <v>0</v>
      </c>
    </row>
    <row r="271" spans="26:26">
      <c r="Z271" s="12">
        <v>0</v>
      </c>
    </row>
    <row r="272" spans="26:26">
      <c r="Z272" s="12">
        <v>0</v>
      </c>
    </row>
    <row r="273" spans="26:26">
      <c r="Z273" s="12">
        <v>0</v>
      </c>
    </row>
    <row r="274" spans="26:26">
      <c r="Z274" s="12">
        <v>0</v>
      </c>
    </row>
    <row r="275" spans="26:26">
      <c r="Z275" s="12">
        <v>0</v>
      </c>
    </row>
    <row r="276" spans="26:26">
      <c r="Z276" s="12">
        <v>0</v>
      </c>
    </row>
    <row r="277" spans="26:26">
      <c r="Z277" s="12">
        <v>0</v>
      </c>
    </row>
    <row r="278" spans="26:26">
      <c r="Z278" s="12">
        <v>0</v>
      </c>
    </row>
    <row r="279" spans="26:26">
      <c r="Z279" s="12">
        <v>0</v>
      </c>
    </row>
    <row r="280" spans="26:26">
      <c r="Z280" s="12">
        <v>0</v>
      </c>
    </row>
    <row r="281" spans="26:26">
      <c r="Z281" s="12">
        <v>0</v>
      </c>
    </row>
    <row r="282" spans="26:26">
      <c r="Z282" s="12">
        <v>0</v>
      </c>
    </row>
    <row r="283" spans="26:26">
      <c r="Z283" s="12">
        <v>0</v>
      </c>
    </row>
    <row r="284" spans="26:26">
      <c r="Z284" s="12">
        <v>0</v>
      </c>
    </row>
    <row r="285" spans="26:26">
      <c r="Z285" s="12">
        <v>0</v>
      </c>
    </row>
    <row r="286" spans="26:26">
      <c r="Z286" s="12">
        <v>0</v>
      </c>
    </row>
    <row r="287" spans="26:26">
      <c r="Z287" s="12">
        <v>0</v>
      </c>
    </row>
    <row r="288" spans="26:26">
      <c r="Z288" s="12">
        <v>0</v>
      </c>
    </row>
    <row r="289" spans="26:26">
      <c r="Z289" s="12">
        <v>0</v>
      </c>
    </row>
    <row r="290" spans="26:26">
      <c r="Z290" s="12">
        <v>0</v>
      </c>
    </row>
    <row r="291" spans="26:26">
      <c r="Z291" s="12">
        <v>0</v>
      </c>
    </row>
    <row r="292" spans="26:26">
      <c r="Z292" s="12">
        <v>0</v>
      </c>
    </row>
    <row r="293" spans="26:26">
      <c r="Z293" s="12">
        <v>0</v>
      </c>
    </row>
    <row r="294" spans="26:26">
      <c r="Z294" s="12">
        <v>0</v>
      </c>
    </row>
    <row r="295" spans="26:26">
      <c r="Z295" s="12">
        <v>0</v>
      </c>
    </row>
    <row r="296" spans="26:26">
      <c r="Z296" s="12">
        <v>0</v>
      </c>
    </row>
    <row r="297" spans="26:26">
      <c r="Z297" s="12">
        <v>0</v>
      </c>
    </row>
    <row r="298" spans="26:26">
      <c r="Z298" s="12">
        <v>0</v>
      </c>
    </row>
    <row r="299" spans="26:26">
      <c r="Z299" s="12">
        <v>0</v>
      </c>
    </row>
    <row r="300" spans="26:26">
      <c r="Z300" s="12">
        <v>0</v>
      </c>
    </row>
    <row r="301" spans="26:26">
      <c r="Z301" s="12">
        <v>0</v>
      </c>
    </row>
    <row r="302" spans="26:26">
      <c r="Z302" s="12">
        <v>0</v>
      </c>
    </row>
    <row r="303" spans="26:26">
      <c r="Z303" s="12">
        <v>0</v>
      </c>
    </row>
    <row r="304" spans="26:26">
      <c r="Z304" s="12">
        <v>0</v>
      </c>
    </row>
    <row r="305" spans="26:26">
      <c r="Z305" s="12">
        <v>0</v>
      </c>
    </row>
    <row r="306" spans="26:26">
      <c r="Z306" s="12">
        <v>0</v>
      </c>
    </row>
    <row r="307" spans="26:26">
      <c r="Z307" s="12">
        <v>0</v>
      </c>
    </row>
    <row r="308" spans="26:26">
      <c r="Z308" s="12">
        <v>0</v>
      </c>
    </row>
    <row r="309" spans="26:26">
      <c r="Z309" s="12">
        <v>0</v>
      </c>
    </row>
    <row r="310" spans="26:26">
      <c r="Z310" s="12">
        <v>0</v>
      </c>
    </row>
    <row r="311" spans="26:26">
      <c r="Z311" s="12">
        <v>0</v>
      </c>
    </row>
    <row r="312" spans="26:26">
      <c r="Z312" s="12">
        <v>0</v>
      </c>
    </row>
    <row r="313" spans="26:26">
      <c r="Z313" s="12">
        <v>0</v>
      </c>
    </row>
    <row r="314" spans="26:26">
      <c r="Z314" s="12">
        <v>0</v>
      </c>
    </row>
    <row r="315" spans="26:26">
      <c r="Z315" s="12">
        <v>0</v>
      </c>
    </row>
    <row r="316" spans="26:26">
      <c r="Z316" s="12">
        <v>0</v>
      </c>
    </row>
    <row r="317" spans="26:26">
      <c r="Z317" s="12">
        <v>0</v>
      </c>
    </row>
    <row r="318" spans="26:26">
      <c r="Z318" s="12">
        <v>0</v>
      </c>
    </row>
    <row r="319" spans="26:26">
      <c r="Z319" s="12">
        <v>0</v>
      </c>
    </row>
    <row r="320" spans="26:26">
      <c r="Z320" s="12">
        <v>0</v>
      </c>
    </row>
    <row r="321" spans="26:26">
      <c r="Z321" s="12">
        <v>0</v>
      </c>
    </row>
    <row r="322" spans="26:26">
      <c r="Z322" s="12">
        <v>0</v>
      </c>
    </row>
    <row r="323" spans="26:26">
      <c r="Z323" s="12">
        <v>0</v>
      </c>
    </row>
    <row r="324" spans="26:26">
      <c r="Z324" s="12">
        <v>0</v>
      </c>
    </row>
    <row r="325" spans="26:26">
      <c r="Z325" s="12">
        <v>0</v>
      </c>
    </row>
    <row r="326" spans="26:26">
      <c r="Z326" s="12">
        <v>0</v>
      </c>
    </row>
    <row r="327" spans="26:26">
      <c r="Z327" s="12">
        <v>0</v>
      </c>
    </row>
    <row r="328" spans="26:26">
      <c r="Z328" s="12">
        <v>0</v>
      </c>
    </row>
    <row r="329" spans="26:26">
      <c r="Z329" s="12">
        <v>0</v>
      </c>
    </row>
    <row r="330" spans="26:26">
      <c r="Z330" s="12">
        <v>0</v>
      </c>
    </row>
    <row r="331" spans="26:26">
      <c r="Z331" s="12">
        <v>0</v>
      </c>
    </row>
    <row r="332" spans="26:26">
      <c r="Z332" s="12">
        <v>0</v>
      </c>
    </row>
    <row r="333" spans="26:26">
      <c r="Z333" s="12">
        <v>0</v>
      </c>
    </row>
    <row r="334" spans="26:26">
      <c r="Z334" s="12">
        <v>0</v>
      </c>
    </row>
    <row r="335" spans="26:26">
      <c r="Z335" s="12">
        <v>0</v>
      </c>
    </row>
    <row r="336" spans="26:26">
      <c r="Z336" s="12">
        <v>0</v>
      </c>
    </row>
    <row r="337" spans="26:26">
      <c r="Z337" s="12">
        <v>0</v>
      </c>
    </row>
    <row r="338" spans="26:26">
      <c r="Z338" s="12">
        <v>0</v>
      </c>
    </row>
    <row r="339" spans="26:26">
      <c r="Z339" s="12">
        <v>0</v>
      </c>
    </row>
    <row r="340" spans="26:26">
      <c r="Z340" s="12">
        <v>0</v>
      </c>
    </row>
    <row r="341" spans="26:26">
      <c r="Z341" s="12">
        <v>0</v>
      </c>
    </row>
    <row r="342" spans="26:26">
      <c r="Z342" s="12">
        <v>0</v>
      </c>
    </row>
    <row r="343" spans="26:26">
      <c r="Z343" s="12">
        <v>0</v>
      </c>
    </row>
    <row r="344" spans="26:26">
      <c r="Z344" s="12">
        <v>0</v>
      </c>
    </row>
    <row r="345" spans="26:26">
      <c r="Z345" s="12">
        <v>0</v>
      </c>
    </row>
    <row r="346" spans="26:26">
      <c r="Z346" s="12">
        <v>0</v>
      </c>
    </row>
    <row r="347" spans="26:26">
      <c r="Z347" s="12">
        <v>0</v>
      </c>
    </row>
    <row r="348" spans="26:26">
      <c r="Z348" s="12">
        <v>0</v>
      </c>
    </row>
    <row r="349" spans="26:26">
      <c r="Z349" s="12">
        <v>0</v>
      </c>
    </row>
    <row r="350" spans="26:26">
      <c r="Z350" s="12">
        <v>0</v>
      </c>
    </row>
    <row r="351" spans="26:26">
      <c r="Z351" s="12">
        <v>0</v>
      </c>
    </row>
    <row r="352" spans="26:26">
      <c r="Z352" s="12">
        <v>0</v>
      </c>
    </row>
    <row r="353" spans="26:26">
      <c r="Z353" s="12">
        <v>0</v>
      </c>
    </row>
    <row r="354" spans="26:26">
      <c r="Z354" s="12">
        <v>0</v>
      </c>
    </row>
    <row r="355" spans="26:26">
      <c r="Z355" s="12">
        <v>0</v>
      </c>
    </row>
    <row r="356" spans="26:26">
      <c r="Z356" s="12">
        <v>0</v>
      </c>
    </row>
    <row r="357" spans="26:26">
      <c r="Z357" s="12">
        <v>0</v>
      </c>
    </row>
    <row r="358" spans="26:26">
      <c r="Z358" s="12">
        <v>0</v>
      </c>
    </row>
    <row r="359" spans="26:26">
      <c r="Z359" s="12">
        <v>0</v>
      </c>
    </row>
    <row r="360" spans="26:26">
      <c r="Z360" s="12">
        <v>0</v>
      </c>
    </row>
    <row r="361" spans="26:26">
      <c r="Z361" s="12">
        <v>0</v>
      </c>
    </row>
    <row r="362" spans="26:26">
      <c r="Z362" s="12">
        <v>0</v>
      </c>
    </row>
    <row r="363" spans="26:26">
      <c r="Z363" s="12">
        <v>0</v>
      </c>
    </row>
    <row r="364" spans="26:26">
      <c r="Z364" s="12">
        <v>0</v>
      </c>
    </row>
    <row r="365" spans="26:26">
      <c r="Z365" s="12">
        <v>0</v>
      </c>
    </row>
    <row r="366" spans="26:26">
      <c r="Z366" s="12">
        <v>0</v>
      </c>
    </row>
    <row r="367" spans="26:26">
      <c r="Z367" s="12">
        <v>0</v>
      </c>
    </row>
    <row r="368" spans="26:26">
      <c r="Z368" s="12">
        <v>0</v>
      </c>
    </row>
    <row r="369" spans="26:26">
      <c r="Z369" s="12">
        <v>0</v>
      </c>
    </row>
    <row r="370" spans="26:26">
      <c r="Z370" s="12">
        <v>0</v>
      </c>
    </row>
    <row r="371" spans="26:26">
      <c r="Z371" s="12">
        <v>0</v>
      </c>
    </row>
    <row r="372" spans="26:26">
      <c r="Z372" s="12">
        <v>0</v>
      </c>
    </row>
    <row r="373" spans="26:26">
      <c r="Z373" s="12">
        <v>0</v>
      </c>
    </row>
    <row r="374" spans="26:26">
      <c r="Z374" s="12">
        <v>0</v>
      </c>
    </row>
    <row r="375" spans="26:26">
      <c r="Z375" s="12">
        <v>0</v>
      </c>
    </row>
    <row r="376" spans="26:26">
      <c r="Z376" s="12">
        <v>0</v>
      </c>
    </row>
    <row r="377" spans="26:26">
      <c r="Z377" s="12">
        <v>0</v>
      </c>
    </row>
    <row r="378" spans="26:26">
      <c r="Z378" s="12">
        <v>0</v>
      </c>
    </row>
    <row r="379" spans="26:26">
      <c r="Z379" s="12">
        <v>0</v>
      </c>
    </row>
    <row r="380" spans="26:26">
      <c r="Z380" s="12">
        <v>0</v>
      </c>
    </row>
    <row r="381" spans="26:26">
      <c r="Z381" s="12">
        <v>0</v>
      </c>
    </row>
    <row r="382" spans="26:26">
      <c r="Z382" s="12">
        <v>0</v>
      </c>
    </row>
    <row r="383" spans="26:26">
      <c r="Z383" s="12">
        <v>0</v>
      </c>
    </row>
    <row r="384" spans="26:26">
      <c r="Z384" s="12">
        <v>0</v>
      </c>
    </row>
    <row r="385" spans="26:26">
      <c r="Z385" s="12">
        <v>0</v>
      </c>
    </row>
    <row r="386" spans="26:26">
      <c r="Z386" s="12">
        <v>0</v>
      </c>
    </row>
    <row r="387" spans="26:26">
      <c r="Z387" s="12">
        <v>0</v>
      </c>
    </row>
    <row r="388" spans="26:26">
      <c r="Z388" s="12">
        <v>0</v>
      </c>
    </row>
    <row r="389" spans="26:26">
      <c r="Z389" s="12">
        <v>0</v>
      </c>
    </row>
    <row r="390" spans="26:26">
      <c r="Z390" s="12">
        <v>0</v>
      </c>
    </row>
    <row r="391" spans="26:26">
      <c r="Z391" s="12">
        <v>0</v>
      </c>
    </row>
    <row r="392" spans="26:26">
      <c r="Z392" s="12">
        <v>0</v>
      </c>
    </row>
    <row r="393" spans="26:26">
      <c r="Z393" s="12">
        <v>0</v>
      </c>
    </row>
    <row r="394" spans="26:26">
      <c r="Z394" s="12">
        <v>0</v>
      </c>
    </row>
    <row r="395" spans="26:26">
      <c r="Z395" s="12">
        <v>0</v>
      </c>
    </row>
    <row r="396" spans="26:26">
      <c r="Z396" s="12">
        <v>0</v>
      </c>
    </row>
    <row r="397" spans="26:26">
      <c r="Z397" s="12">
        <v>0</v>
      </c>
    </row>
    <row r="398" spans="26:26">
      <c r="Z398" s="12">
        <v>0</v>
      </c>
    </row>
    <row r="399" spans="26:26">
      <c r="Z399" s="12">
        <v>0</v>
      </c>
    </row>
    <row r="400" spans="26:26">
      <c r="Z400" s="12">
        <v>0</v>
      </c>
    </row>
    <row r="401" spans="26:26">
      <c r="Z401" s="12">
        <v>0</v>
      </c>
    </row>
    <row r="402" spans="26:26">
      <c r="Z402" s="12">
        <v>0</v>
      </c>
    </row>
    <row r="403" spans="26:26">
      <c r="Z403" s="12">
        <v>0</v>
      </c>
    </row>
    <row r="404" spans="26:26">
      <c r="Z404" s="12">
        <v>0</v>
      </c>
    </row>
    <row r="405" spans="26:26">
      <c r="Z405" s="12">
        <v>0</v>
      </c>
    </row>
    <row r="406" spans="26:26">
      <c r="Z406" s="12">
        <v>0</v>
      </c>
    </row>
    <row r="407" spans="26:26">
      <c r="Z407" s="12">
        <v>0</v>
      </c>
    </row>
    <row r="408" spans="26:26">
      <c r="Z408" s="12">
        <v>0</v>
      </c>
    </row>
    <row r="409" spans="26:26">
      <c r="Z409" s="12">
        <v>0</v>
      </c>
    </row>
    <row r="410" spans="26:26">
      <c r="Z410" s="12">
        <v>0</v>
      </c>
    </row>
    <row r="411" spans="26:26">
      <c r="Z411" s="12">
        <v>0</v>
      </c>
    </row>
    <row r="412" spans="26:26">
      <c r="Z412" s="12">
        <v>0</v>
      </c>
    </row>
    <row r="413" spans="26:26">
      <c r="Z413" s="12">
        <v>0</v>
      </c>
    </row>
    <row r="414" spans="26:26">
      <c r="Z414" s="12">
        <v>0</v>
      </c>
    </row>
    <row r="415" spans="26:26">
      <c r="Z415" s="12">
        <v>0</v>
      </c>
    </row>
    <row r="416" spans="26:26">
      <c r="Z416" s="12">
        <v>0</v>
      </c>
    </row>
    <row r="417" spans="26:26">
      <c r="Z417" s="12">
        <v>0</v>
      </c>
    </row>
    <row r="418" spans="26:26">
      <c r="Z418" s="12">
        <v>0</v>
      </c>
    </row>
    <row r="419" spans="26:26">
      <c r="Z419" s="12">
        <v>0</v>
      </c>
    </row>
    <row r="420" spans="26:26">
      <c r="Z420" s="12">
        <v>0</v>
      </c>
    </row>
    <row r="421" spans="26:26">
      <c r="Z421" s="12">
        <v>0</v>
      </c>
    </row>
    <row r="422" spans="26:26">
      <c r="Z422" s="12">
        <v>0</v>
      </c>
    </row>
    <row r="423" spans="26:26">
      <c r="Z423" s="12">
        <v>0</v>
      </c>
    </row>
    <row r="424" spans="26:26">
      <c r="Z424" s="12">
        <v>0</v>
      </c>
    </row>
    <row r="425" spans="26:26">
      <c r="Z425" s="12">
        <v>0</v>
      </c>
    </row>
    <row r="426" spans="26:26">
      <c r="Z426" s="12">
        <v>0</v>
      </c>
    </row>
    <row r="427" spans="26:26">
      <c r="Z427" s="12">
        <v>0</v>
      </c>
    </row>
    <row r="428" spans="26:26">
      <c r="Z428" s="12">
        <v>0</v>
      </c>
    </row>
    <row r="429" spans="26:26">
      <c r="Z429" s="12">
        <v>0</v>
      </c>
    </row>
    <row r="430" spans="26:26">
      <c r="Z430" s="12">
        <v>0</v>
      </c>
    </row>
    <row r="431" spans="26:26">
      <c r="Z431" s="12">
        <v>0</v>
      </c>
    </row>
    <row r="432" spans="26:26">
      <c r="Z432" s="12">
        <v>0</v>
      </c>
    </row>
    <row r="433" spans="26:26">
      <c r="Z433" s="12">
        <v>0</v>
      </c>
    </row>
    <row r="434" spans="26:26">
      <c r="Z434" s="12">
        <v>0</v>
      </c>
    </row>
    <row r="435" spans="26:26">
      <c r="Z435" s="12">
        <v>0</v>
      </c>
    </row>
    <row r="436" spans="26:26">
      <c r="Z436" s="12">
        <v>0</v>
      </c>
    </row>
    <row r="437" spans="26:26">
      <c r="Z437" s="12">
        <v>0</v>
      </c>
    </row>
    <row r="438" spans="26:26">
      <c r="Z438" s="12">
        <v>0</v>
      </c>
    </row>
    <row r="439" spans="26:26">
      <c r="Z439" s="12">
        <v>0</v>
      </c>
    </row>
    <row r="440" spans="26:26">
      <c r="Z440" s="12">
        <v>0</v>
      </c>
    </row>
    <row r="441" spans="26:26">
      <c r="Z441" s="12">
        <v>0</v>
      </c>
    </row>
    <row r="442" spans="26:26">
      <c r="Z442" s="12">
        <v>0</v>
      </c>
    </row>
    <row r="443" spans="26:26">
      <c r="Z443" s="12">
        <v>0</v>
      </c>
    </row>
    <row r="444" spans="26:26">
      <c r="Z444" s="12">
        <v>0</v>
      </c>
    </row>
    <row r="445" spans="26:26">
      <c r="Z445" s="12">
        <v>0</v>
      </c>
    </row>
    <row r="446" spans="26:26">
      <c r="Z446" s="12">
        <v>0</v>
      </c>
    </row>
    <row r="447" spans="26:26">
      <c r="Z447" s="12">
        <v>0</v>
      </c>
    </row>
    <row r="448" spans="26:26">
      <c r="Z448" s="12">
        <v>0</v>
      </c>
    </row>
    <row r="449" spans="26:26">
      <c r="Z449" s="12">
        <v>0</v>
      </c>
    </row>
    <row r="450" spans="26:26">
      <c r="Z450" s="12">
        <v>0</v>
      </c>
    </row>
    <row r="451" spans="26:26">
      <c r="Z451" s="12">
        <v>0</v>
      </c>
    </row>
    <row r="452" spans="26:26">
      <c r="Z452" s="12">
        <v>0</v>
      </c>
    </row>
    <row r="453" spans="26:26">
      <c r="Z453" s="12">
        <v>0</v>
      </c>
    </row>
    <row r="454" spans="26:26">
      <c r="Z454" s="12">
        <v>0</v>
      </c>
    </row>
    <row r="455" spans="26:26">
      <c r="Z455" s="12">
        <v>0</v>
      </c>
    </row>
    <row r="456" spans="26:26">
      <c r="Z456" s="12">
        <v>0</v>
      </c>
    </row>
    <row r="457" spans="26:26">
      <c r="Z457" s="12">
        <v>0</v>
      </c>
    </row>
    <row r="458" spans="26:26">
      <c r="Z458" s="12">
        <v>0</v>
      </c>
    </row>
    <row r="459" spans="26:26">
      <c r="Z459" s="12">
        <v>0</v>
      </c>
    </row>
    <row r="460" spans="26:26">
      <c r="Z460" s="12">
        <v>0</v>
      </c>
    </row>
    <row r="461" spans="26:26">
      <c r="Z461" s="12">
        <v>0</v>
      </c>
    </row>
    <row r="462" spans="26:26">
      <c r="Z462" s="12">
        <v>0</v>
      </c>
    </row>
    <row r="463" spans="26:26">
      <c r="Z463" s="12">
        <v>0</v>
      </c>
    </row>
    <row r="464" spans="26:26">
      <c r="Z464" s="12">
        <v>0</v>
      </c>
    </row>
    <row r="465" spans="26:26">
      <c r="Z465" s="12">
        <v>0</v>
      </c>
    </row>
    <row r="466" spans="26:26">
      <c r="Z466" s="12">
        <v>0</v>
      </c>
    </row>
    <row r="467" spans="26:26">
      <c r="Z467" s="12">
        <v>0</v>
      </c>
    </row>
    <row r="468" spans="26:26">
      <c r="Z468" s="12">
        <v>0</v>
      </c>
    </row>
    <row r="469" spans="26:26">
      <c r="Z469" s="12">
        <v>0</v>
      </c>
    </row>
    <row r="470" spans="26:26">
      <c r="Z470" s="12">
        <v>0</v>
      </c>
    </row>
    <row r="471" spans="26:26">
      <c r="Z471" s="12">
        <v>0</v>
      </c>
    </row>
    <row r="472" spans="26:26">
      <c r="Z472" s="12">
        <v>0</v>
      </c>
    </row>
    <row r="473" spans="26:26">
      <c r="Z473" s="12">
        <v>0</v>
      </c>
    </row>
    <row r="474" spans="26:26">
      <c r="Z474" s="12">
        <v>0</v>
      </c>
    </row>
    <row r="475" spans="26:26">
      <c r="Z475" s="12">
        <v>0</v>
      </c>
    </row>
    <row r="476" spans="26:26">
      <c r="Z476" s="12">
        <v>0</v>
      </c>
    </row>
    <row r="477" spans="26:26">
      <c r="Z477" s="12">
        <v>0</v>
      </c>
    </row>
    <row r="478" spans="26:26">
      <c r="Z478" s="12">
        <v>0</v>
      </c>
    </row>
    <row r="479" spans="26:26">
      <c r="Z479" s="12">
        <v>0</v>
      </c>
    </row>
    <row r="480" spans="26:26">
      <c r="Z480" s="12">
        <v>0</v>
      </c>
    </row>
    <row r="481" spans="26:26">
      <c r="Z481" s="12">
        <v>0</v>
      </c>
    </row>
    <row r="482" spans="26:26">
      <c r="Z482" s="12">
        <v>0</v>
      </c>
    </row>
    <row r="483" spans="26:26">
      <c r="Z483" s="12">
        <v>0</v>
      </c>
    </row>
    <row r="484" spans="26:26">
      <c r="Z484" s="12">
        <v>0</v>
      </c>
    </row>
    <row r="485" spans="26:26">
      <c r="Z485" s="12">
        <v>0</v>
      </c>
    </row>
    <row r="486" spans="26:26">
      <c r="Z486" s="12">
        <v>0</v>
      </c>
    </row>
    <row r="487" spans="26:26">
      <c r="Z487" s="12">
        <v>0</v>
      </c>
    </row>
    <row r="488" spans="26:26">
      <c r="Z488" s="12">
        <v>0</v>
      </c>
    </row>
    <row r="489" spans="26:26">
      <c r="Z489" s="12">
        <v>0</v>
      </c>
    </row>
    <row r="490" spans="26:26">
      <c r="Z490" s="12">
        <v>0</v>
      </c>
    </row>
    <row r="491" spans="26:26">
      <c r="Z491" s="12">
        <v>0</v>
      </c>
    </row>
    <row r="492" spans="26:26">
      <c r="Z492" s="12">
        <v>0</v>
      </c>
    </row>
    <row r="493" spans="26:26">
      <c r="Z493" s="12">
        <v>0</v>
      </c>
    </row>
    <row r="494" spans="26:26">
      <c r="Z494" s="12">
        <v>0</v>
      </c>
    </row>
    <row r="495" spans="26:26">
      <c r="Z495" s="12">
        <v>0</v>
      </c>
    </row>
    <row r="496" spans="26:26">
      <c r="Z496" s="12">
        <v>0</v>
      </c>
    </row>
    <row r="497" spans="26:26">
      <c r="Z497" s="12">
        <v>0</v>
      </c>
    </row>
    <row r="498" spans="26:26">
      <c r="Z498" s="12">
        <v>0</v>
      </c>
    </row>
    <row r="499" spans="26:26">
      <c r="Z499" s="12">
        <v>0</v>
      </c>
    </row>
    <row r="500" spans="26:26">
      <c r="Z500" s="12">
        <v>0</v>
      </c>
    </row>
    <row r="501" spans="26:26">
      <c r="Z501" s="12">
        <v>0</v>
      </c>
    </row>
    <row r="502" spans="26:26">
      <c r="Z502" s="12">
        <v>0</v>
      </c>
    </row>
    <row r="503" spans="26:26">
      <c r="Z503" s="12">
        <v>0</v>
      </c>
    </row>
    <row r="504" spans="26:26">
      <c r="Z504" s="12">
        <v>0</v>
      </c>
    </row>
    <row r="505" spans="26:26">
      <c r="Z505" s="12">
        <v>0</v>
      </c>
    </row>
    <row r="506" spans="26:26">
      <c r="Z506" s="12">
        <v>0</v>
      </c>
    </row>
    <row r="507" spans="26:26">
      <c r="Z507" s="12">
        <v>0</v>
      </c>
    </row>
    <row r="508" spans="26:26">
      <c r="Z508" s="12">
        <v>0</v>
      </c>
    </row>
    <row r="509" spans="26:26">
      <c r="Z509" s="12">
        <v>0</v>
      </c>
    </row>
    <row r="510" spans="26:26">
      <c r="Z510" s="12">
        <v>0</v>
      </c>
    </row>
    <row r="511" spans="26:26">
      <c r="Z511" s="12">
        <v>0</v>
      </c>
    </row>
    <row r="512" spans="26:26">
      <c r="Z512" s="12">
        <v>0</v>
      </c>
    </row>
    <row r="513" spans="26:26">
      <c r="Z513" s="12">
        <v>0</v>
      </c>
    </row>
    <row r="514" spans="26:26">
      <c r="Z514" s="12">
        <v>0</v>
      </c>
    </row>
    <row r="515" spans="26:26">
      <c r="Z515" s="12">
        <v>0</v>
      </c>
    </row>
    <row r="516" spans="26:26">
      <c r="Z516" s="12">
        <v>0</v>
      </c>
    </row>
    <row r="517" spans="26:26">
      <c r="Z517" s="12">
        <v>0</v>
      </c>
    </row>
    <row r="518" spans="26:26">
      <c r="Z518" s="12">
        <v>0</v>
      </c>
    </row>
    <row r="519" spans="26:26">
      <c r="Z519" s="12">
        <v>0</v>
      </c>
    </row>
    <row r="520" spans="26:26">
      <c r="Z520" s="12">
        <v>0</v>
      </c>
    </row>
    <row r="521" spans="26:26">
      <c r="Z521" s="12">
        <v>0</v>
      </c>
    </row>
    <row r="522" spans="26:26">
      <c r="Z522" s="12">
        <v>0</v>
      </c>
    </row>
    <row r="523" spans="26:26">
      <c r="Z523" s="12">
        <v>0</v>
      </c>
    </row>
    <row r="524" spans="26:26">
      <c r="Z524" s="12">
        <v>0</v>
      </c>
    </row>
    <row r="525" spans="26:26">
      <c r="Z525" s="12">
        <v>0</v>
      </c>
    </row>
    <row r="526" spans="26:26">
      <c r="Z526" s="12">
        <v>0</v>
      </c>
    </row>
    <row r="527" spans="26:26">
      <c r="Z527" s="12">
        <v>0</v>
      </c>
    </row>
    <row r="528" spans="26:26">
      <c r="Z528" s="12">
        <v>0</v>
      </c>
    </row>
    <row r="529" spans="26:26">
      <c r="Z529" s="12">
        <v>0</v>
      </c>
    </row>
    <row r="530" spans="26:26">
      <c r="Z530" s="12">
        <v>0</v>
      </c>
    </row>
    <row r="531" spans="26:26">
      <c r="Z531" s="12">
        <v>0</v>
      </c>
    </row>
    <row r="532" spans="26:26">
      <c r="Z532" s="12">
        <v>0</v>
      </c>
    </row>
    <row r="533" spans="26:26">
      <c r="Z533" s="12">
        <v>0</v>
      </c>
    </row>
    <row r="534" spans="26:26">
      <c r="Z534" s="12">
        <v>0</v>
      </c>
    </row>
    <row r="535" spans="26:26">
      <c r="Z535" s="12">
        <v>0</v>
      </c>
    </row>
    <row r="536" spans="26:26">
      <c r="Z536" s="12">
        <v>0</v>
      </c>
    </row>
    <row r="537" spans="26:26">
      <c r="Z537" s="12">
        <v>0</v>
      </c>
    </row>
    <row r="538" spans="26:26">
      <c r="Z538" s="12">
        <v>0</v>
      </c>
    </row>
    <row r="539" spans="26:26">
      <c r="Z539" s="12">
        <v>0</v>
      </c>
    </row>
    <row r="540" spans="26:26">
      <c r="Z540" s="12">
        <v>0</v>
      </c>
    </row>
    <row r="541" spans="26:26">
      <c r="Z541" s="12">
        <v>0</v>
      </c>
    </row>
    <row r="542" spans="26:26">
      <c r="Z542" s="12">
        <v>0</v>
      </c>
    </row>
    <row r="543" spans="26:26">
      <c r="Z543" s="12">
        <v>0</v>
      </c>
    </row>
    <row r="544" spans="26:26">
      <c r="Z544" s="12">
        <v>0</v>
      </c>
    </row>
    <row r="545" spans="26:26">
      <c r="Z545" s="12">
        <v>0</v>
      </c>
    </row>
    <row r="546" spans="26:26">
      <c r="Z546" s="12">
        <v>0</v>
      </c>
    </row>
    <row r="547" spans="26:26">
      <c r="Z547" s="12">
        <v>0</v>
      </c>
    </row>
    <row r="548" spans="26:26">
      <c r="Z548" s="12">
        <v>0</v>
      </c>
    </row>
    <row r="549" spans="26:26">
      <c r="Z549" s="12">
        <v>0</v>
      </c>
    </row>
    <row r="550" spans="26:26">
      <c r="Z550" s="12">
        <v>0</v>
      </c>
    </row>
    <row r="551" spans="26:26">
      <c r="Z551" s="12">
        <v>0</v>
      </c>
    </row>
    <row r="552" spans="26:26">
      <c r="Z552" s="12">
        <v>0</v>
      </c>
    </row>
    <row r="553" spans="26:26">
      <c r="Z553" s="12">
        <v>0</v>
      </c>
    </row>
    <row r="554" spans="26:26">
      <c r="Z554" s="12">
        <v>0</v>
      </c>
    </row>
    <row r="555" spans="26:26">
      <c r="Z555" s="12">
        <v>0</v>
      </c>
    </row>
    <row r="556" spans="26:26">
      <c r="Z556" s="12">
        <v>0</v>
      </c>
    </row>
    <row r="557" spans="26:26">
      <c r="Z557" s="12">
        <v>0</v>
      </c>
    </row>
    <row r="558" spans="26:26">
      <c r="Z558" s="12">
        <v>0</v>
      </c>
    </row>
    <row r="559" spans="26:26">
      <c r="Z559" s="12">
        <v>0</v>
      </c>
    </row>
    <row r="560" spans="26:26">
      <c r="Z560" s="12">
        <v>0</v>
      </c>
    </row>
    <row r="561" spans="26:26">
      <c r="Z561" s="12">
        <v>0</v>
      </c>
    </row>
    <row r="562" spans="26:26">
      <c r="Z562" s="12">
        <v>0</v>
      </c>
    </row>
    <row r="563" spans="26:26">
      <c r="Z563" s="12">
        <v>0</v>
      </c>
    </row>
    <row r="564" spans="26:26">
      <c r="Z564" s="12">
        <v>0</v>
      </c>
    </row>
    <row r="565" spans="26:26">
      <c r="Z565" s="12">
        <v>0</v>
      </c>
    </row>
    <row r="566" spans="26:26">
      <c r="Z566" s="12">
        <v>0</v>
      </c>
    </row>
    <row r="567" spans="26:26">
      <c r="Z567" s="12">
        <v>0</v>
      </c>
    </row>
    <row r="568" spans="26:26">
      <c r="Z568" s="12">
        <v>0</v>
      </c>
    </row>
    <row r="569" spans="26:26">
      <c r="Z569" s="12">
        <v>0</v>
      </c>
    </row>
    <row r="570" spans="26:26">
      <c r="Z570" s="12">
        <v>0</v>
      </c>
    </row>
    <row r="571" spans="26:26">
      <c r="Z571" s="12">
        <v>0</v>
      </c>
    </row>
    <row r="572" spans="26:26">
      <c r="Z572" s="12">
        <v>0</v>
      </c>
    </row>
    <row r="573" spans="26:26">
      <c r="Z573" s="12">
        <v>0</v>
      </c>
    </row>
    <row r="574" spans="26:26">
      <c r="Z574" s="12">
        <v>0</v>
      </c>
    </row>
    <row r="575" spans="26:26">
      <c r="Z575" s="12">
        <v>0</v>
      </c>
    </row>
    <row r="576" spans="26:26">
      <c r="Z576" s="12">
        <v>0</v>
      </c>
    </row>
    <row r="577" spans="26:26">
      <c r="Z577" s="12">
        <v>0</v>
      </c>
    </row>
    <row r="578" spans="26:26">
      <c r="Z578" s="12">
        <v>0</v>
      </c>
    </row>
    <row r="579" spans="26:26">
      <c r="Z579" s="12">
        <v>0</v>
      </c>
    </row>
    <row r="580" spans="26:26">
      <c r="Z580" s="12">
        <v>0</v>
      </c>
    </row>
    <row r="581" spans="26:26">
      <c r="Z581" s="12">
        <v>0</v>
      </c>
    </row>
    <row r="582" spans="26:26">
      <c r="Z582" s="12">
        <v>0</v>
      </c>
    </row>
    <row r="583" spans="26:26">
      <c r="Z583" s="12">
        <v>0</v>
      </c>
    </row>
    <row r="584" spans="26:26">
      <c r="Z584" s="12">
        <v>0</v>
      </c>
    </row>
    <row r="585" spans="26:26">
      <c r="Z585" s="12">
        <v>0</v>
      </c>
    </row>
    <row r="586" spans="26:26">
      <c r="Z586" s="12">
        <v>0</v>
      </c>
    </row>
    <row r="587" spans="26:26">
      <c r="Z587" s="12">
        <v>0</v>
      </c>
    </row>
    <row r="588" spans="26:26">
      <c r="Z588" s="12">
        <v>0</v>
      </c>
    </row>
    <row r="589" spans="26:26">
      <c r="Z589" s="12">
        <v>0</v>
      </c>
    </row>
    <row r="590" spans="26:26">
      <c r="Z590" s="12">
        <v>0</v>
      </c>
    </row>
    <row r="591" spans="26:26">
      <c r="Z591" s="12">
        <v>0</v>
      </c>
    </row>
    <row r="592" spans="26:26">
      <c r="Z592" s="12">
        <v>0</v>
      </c>
    </row>
    <row r="593" spans="26:26">
      <c r="Z593" s="12">
        <v>0</v>
      </c>
    </row>
    <row r="594" spans="26:26">
      <c r="Z594" s="12">
        <v>0</v>
      </c>
    </row>
    <row r="595" spans="26:26">
      <c r="Z595" s="12">
        <v>0</v>
      </c>
    </row>
    <row r="596" spans="26:26">
      <c r="Z596" s="12">
        <v>0</v>
      </c>
    </row>
    <row r="597" spans="26:26">
      <c r="Z597" s="12">
        <v>0</v>
      </c>
    </row>
    <row r="598" spans="26:26">
      <c r="Z598" s="12">
        <v>0</v>
      </c>
    </row>
    <row r="599" spans="26:26">
      <c r="Z599" s="12">
        <v>0</v>
      </c>
    </row>
    <row r="600" spans="26:26">
      <c r="Z600" s="12">
        <v>0</v>
      </c>
    </row>
    <row r="601" spans="26:26">
      <c r="Z601" s="12">
        <v>0</v>
      </c>
    </row>
    <row r="602" spans="26:26">
      <c r="Z602" s="12">
        <v>0</v>
      </c>
    </row>
    <row r="603" spans="26:26">
      <c r="Z603" s="12">
        <v>0</v>
      </c>
    </row>
    <row r="604" spans="26:26">
      <c r="Z604" s="12">
        <v>0</v>
      </c>
    </row>
    <row r="605" spans="26:26">
      <c r="Z605" s="12">
        <v>0</v>
      </c>
    </row>
    <row r="606" spans="26:26">
      <c r="Z606" s="12">
        <v>0</v>
      </c>
    </row>
    <row r="607" spans="26:26">
      <c r="Z607" s="12">
        <v>0</v>
      </c>
    </row>
    <row r="608" spans="26:26">
      <c r="Z608" s="12">
        <v>0</v>
      </c>
    </row>
    <row r="609" spans="26:26">
      <c r="Z609" s="12">
        <v>0</v>
      </c>
    </row>
    <row r="610" spans="26:26">
      <c r="Z610" s="12">
        <v>0</v>
      </c>
    </row>
    <row r="611" spans="26:26">
      <c r="Z611" s="12">
        <v>0</v>
      </c>
    </row>
    <row r="612" spans="26:26">
      <c r="Z612" s="12">
        <v>0</v>
      </c>
    </row>
    <row r="613" spans="26:26">
      <c r="Z613" s="12">
        <v>0</v>
      </c>
    </row>
    <row r="614" spans="26:26">
      <c r="Z614" s="12">
        <v>0</v>
      </c>
    </row>
    <row r="615" spans="26:26">
      <c r="Z615" s="12">
        <v>0</v>
      </c>
    </row>
    <row r="616" spans="26:26">
      <c r="Z616" s="12">
        <v>0</v>
      </c>
    </row>
    <row r="617" spans="26:26">
      <c r="Z617" s="12">
        <v>0</v>
      </c>
    </row>
    <row r="618" spans="26:26">
      <c r="Z618" s="12">
        <v>0</v>
      </c>
    </row>
    <row r="619" spans="26:26">
      <c r="Z619" s="12">
        <v>0</v>
      </c>
    </row>
    <row r="620" spans="26:26">
      <c r="Z620" s="12">
        <v>0</v>
      </c>
    </row>
    <row r="621" spans="26:26">
      <c r="Z621" s="12">
        <v>0</v>
      </c>
    </row>
    <row r="622" spans="26:26">
      <c r="Z622" s="12">
        <v>0</v>
      </c>
    </row>
    <row r="623" spans="26:26">
      <c r="Z623" s="12">
        <v>0</v>
      </c>
    </row>
    <row r="624" spans="26:26">
      <c r="Z624" s="12">
        <v>0</v>
      </c>
    </row>
    <row r="625" spans="26:26">
      <c r="Z625" s="12">
        <v>0</v>
      </c>
    </row>
    <row r="626" spans="26:26">
      <c r="Z626" s="12">
        <v>0</v>
      </c>
    </row>
    <row r="627" spans="26:26">
      <c r="Z627" s="12">
        <v>0</v>
      </c>
    </row>
    <row r="628" spans="26:26">
      <c r="Z628" s="12">
        <v>0</v>
      </c>
    </row>
    <row r="629" spans="26:26">
      <c r="Z629" s="12">
        <v>0</v>
      </c>
    </row>
    <row r="630" spans="26:26">
      <c r="Z630" s="12">
        <v>0</v>
      </c>
    </row>
    <row r="631" spans="26:26">
      <c r="Z631" s="12">
        <v>0</v>
      </c>
    </row>
    <row r="632" spans="26:26">
      <c r="Z632" s="12">
        <v>0</v>
      </c>
    </row>
    <row r="633" spans="26:26">
      <c r="Z633" s="12">
        <v>0</v>
      </c>
    </row>
    <row r="634" spans="26:26">
      <c r="Z634" s="12">
        <v>0</v>
      </c>
    </row>
    <row r="635" spans="26:26">
      <c r="Z635" s="12">
        <v>0</v>
      </c>
    </row>
    <row r="636" spans="26:26">
      <c r="Z636" s="12">
        <v>0</v>
      </c>
    </row>
    <row r="637" spans="26:26">
      <c r="Z637" s="12">
        <v>0</v>
      </c>
    </row>
    <row r="638" spans="26:26">
      <c r="Z638" s="12">
        <v>0</v>
      </c>
    </row>
    <row r="639" spans="26:26">
      <c r="Z639" s="12">
        <v>0</v>
      </c>
    </row>
    <row r="640" spans="26:26">
      <c r="Z640" s="12">
        <v>0</v>
      </c>
    </row>
    <row r="641" spans="26:26">
      <c r="Z641" s="12">
        <v>0</v>
      </c>
    </row>
    <row r="642" spans="26:26">
      <c r="Z642" s="12">
        <v>0</v>
      </c>
    </row>
    <row r="643" spans="26:26">
      <c r="Z643" s="12">
        <v>0</v>
      </c>
    </row>
    <row r="644" spans="26:26">
      <c r="Z644" s="12">
        <v>0</v>
      </c>
    </row>
    <row r="645" spans="26:26">
      <c r="Z645" s="12">
        <v>0</v>
      </c>
    </row>
    <row r="646" spans="26:26">
      <c r="Z646" s="12">
        <v>0</v>
      </c>
    </row>
    <row r="647" spans="26:26">
      <c r="Z647" s="12">
        <v>0</v>
      </c>
    </row>
    <row r="648" spans="26:26">
      <c r="Z648" s="12">
        <v>0</v>
      </c>
    </row>
    <row r="649" spans="26:26">
      <c r="Z649" s="12">
        <v>0</v>
      </c>
    </row>
    <row r="650" spans="26:26">
      <c r="Z650" s="12">
        <v>0</v>
      </c>
    </row>
    <row r="651" spans="26:26">
      <c r="Z651" s="12">
        <v>0</v>
      </c>
    </row>
    <row r="652" spans="26:26">
      <c r="Z652" s="12">
        <v>0</v>
      </c>
    </row>
    <row r="653" spans="26:26">
      <c r="Z653" s="12">
        <v>0</v>
      </c>
    </row>
    <row r="654" spans="26:26">
      <c r="Z654" s="12">
        <v>0</v>
      </c>
    </row>
    <row r="655" spans="26:26">
      <c r="Z655" s="12">
        <v>0</v>
      </c>
    </row>
    <row r="656" spans="26:26">
      <c r="Z656" s="12">
        <v>0</v>
      </c>
    </row>
    <row r="657" spans="26:26">
      <c r="Z657" s="12">
        <v>0</v>
      </c>
    </row>
    <row r="658" spans="26:26">
      <c r="Z658" s="12">
        <v>0</v>
      </c>
    </row>
    <row r="659" spans="26:26">
      <c r="Z659" s="12">
        <v>0</v>
      </c>
    </row>
    <row r="660" spans="26:26">
      <c r="Z660" s="12">
        <v>0</v>
      </c>
    </row>
    <row r="661" spans="26:26">
      <c r="Z661" s="12">
        <v>0</v>
      </c>
    </row>
    <row r="662" spans="26:26">
      <c r="Z662" s="12">
        <v>0</v>
      </c>
    </row>
    <row r="663" spans="26:26">
      <c r="Z663" s="12">
        <v>0</v>
      </c>
    </row>
    <row r="664" spans="26:26">
      <c r="Z664" s="12">
        <v>0</v>
      </c>
    </row>
    <row r="665" spans="26:26">
      <c r="Z665" s="12">
        <v>0</v>
      </c>
    </row>
    <row r="666" spans="26:26">
      <c r="Z666" s="12">
        <v>0</v>
      </c>
    </row>
    <row r="667" spans="26:26">
      <c r="Z667" s="12">
        <v>0</v>
      </c>
    </row>
    <row r="668" spans="26:26">
      <c r="Z668" s="12">
        <v>0</v>
      </c>
    </row>
    <row r="669" spans="26:26">
      <c r="Z669" s="12">
        <v>0</v>
      </c>
    </row>
    <row r="670" spans="26:26">
      <c r="Z670" s="12">
        <v>0</v>
      </c>
    </row>
    <row r="671" spans="26:26">
      <c r="Z671" s="12">
        <v>0</v>
      </c>
    </row>
    <row r="672" spans="26:26">
      <c r="Z672" s="12">
        <v>0</v>
      </c>
    </row>
    <row r="673" spans="26:26">
      <c r="Z673" s="12">
        <v>0</v>
      </c>
    </row>
    <row r="674" spans="26:26">
      <c r="Z674" s="12">
        <v>0</v>
      </c>
    </row>
    <row r="675" spans="26:26">
      <c r="Z675" s="12">
        <v>0</v>
      </c>
    </row>
    <row r="676" spans="26:26">
      <c r="Z676" s="12">
        <v>0</v>
      </c>
    </row>
    <row r="677" spans="26:26">
      <c r="Z677" s="12">
        <v>0</v>
      </c>
    </row>
    <row r="678" spans="26:26">
      <c r="Z678" s="12">
        <v>0</v>
      </c>
    </row>
    <row r="679" spans="26:26">
      <c r="Z679" s="12">
        <v>0</v>
      </c>
    </row>
    <row r="680" spans="26:26">
      <c r="Z680" s="12">
        <v>0</v>
      </c>
    </row>
    <row r="681" spans="26:26">
      <c r="Z681" s="12">
        <v>0</v>
      </c>
    </row>
    <row r="682" spans="26:26">
      <c r="Z682" s="12">
        <v>0</v>
      </c>
    </row>
    <row r="683" spans="26:26">
      <c r="Z683" s="12">
        <v>0</v>
      </c>
    </row>
    <row r="684" spans="26:26">
      <c r="Z684" s="12">
        <v>0</v>
      </c>
    </row>
    <row r="685" spans="26:26">
      <c r="Z685" s="12">
        <v>0</v>
      </c>
    </row>
    <row r="686" spans="26:26">
      <c r="Z686" s="12">
        <v>0</v>
      </c>
    </row>
    <row r="687" spans="26:26">
      <c r="Z687" s="12">
        <v>0</v>
      </c>
    </row>
    <row r="688" spans="26:26">
      <c r="Z688" s="12">
        <v>0</v>
      </c>
    </row>
    <row r="689" spans="26:26">
      <c r="Z689" s="12">
        <v>0</v>
      </c>
    </row>
    <row r="690" spans="26:26">
      <c r="Z690" s="12">
        <v>0</v>
      </c>
    </row>
    <row r="691" spans="26:26">
      <c r="Z691" s="12">
        <v>0</v>
      </c>
    </row>
    <row r="692" spans="26:26">
      <c r="Z692" s="12">
        <v>0</v>
      </c>
    </row>
    <row r="693" spans="26:26">
      <c r="Z693" s="12">
        <v>0</v>
      </c>
    </row>
    <row r="694" spans="26:26">
      <c r="Z694" s="12">
        <v>0</v>
      </c>
    </row>
    <row r="695" spans="26:26">
      <c r="Z695" s="12">
        <v>0</v>
      </c>
    </row>
    <row r="696" spans="26:26">
      <c r="Z696" s="12">
        <v>0</v>
      </c>
    </row>
    <row r="697" spans="26:26">
      <c r="Z697" s="12">
        <v>0</v>
      </c>
    </row>
    <row r="698" spans="26:26">
      <c r="Z698" s="12">
        <v>0</v>
      </c>
    </row>
    <row r="699" spans="26:26">
      <c r="Z699" s="12">
        <v>0</v>
      </c>
    </row>
    <row r="700" spans="26:26">
      <c r="Z700" s="12">
        <v>0</v>
      </c>
    </row>
    <row r="701" spans="26:26">
      <c r="Z701" s="12">
        <v>0</v>
      </c>
    </row>
    <row r="702" spans="26:26">
      <c r="Z702" s="12">
        <v>0</v>
      </c>
    </row>
    <row r="703" spans="26:26">
      <c r="Z703" s="12">
        <v>0</v>
      </c>
    </row>
    <row r="704" spans="26:26">
      <c r="Z704" s="12">
        <v>0</v>
      </c>
    </row>
    <row r="705" spans="26:26">
      <c r="Z705" s="12">
        <v>0</v>
      </c>
    </row>
    <row r="706" spans="26:26">
      <c r="Z706" s="12">
        <v>0</v>
      </c>
    </row>
    <row r="707" spans="26:26">
      <c r="Z707" s="12">
        <v>0</v>
      </c>
    </row>
    <row r="708" spans="26:26">
      <c r="Z708" s="12">
        <v>0</v>
      </c>
    </row>
    <row r="709" spans="26:26">
      <c r="Z709" s="12">
        <v>0</v>
      </c>
    </row>
    <row r="710" spans="26:26">
      <c r="Z710" s="12">
        <v>0</v>
      </c>
    </row>
    <row r="711" spans="26:26">
      <c r="Z711" s="12">
        <v>0</v>
      </c>
    </row>
    <row r="712" spans="26:26">
      <c r="Z712" s="12">
        <v>0</v>
      </c>
    </row>
    <row r="713" spans="26:26">
      <c r="Z713" s="12">
        <v>0</v>
      </c>
    </row>
    <row r="714" spans="26:26">
      <c r="Z714" s="12">
        <v>0</v>
      </c>
    </row>
    <row r="715" spans="26:26">
      <c r="Z715" s="12">
        <v>0</v>
      </c>
    </row>
    <row r="716" spans="26:26">
      <c r="Z716" s="12">
        <v>0</v>
      </c>
    </row>
    <row r="717" spans="26:26">
      <c r="Z717" s="12">
        <v>0</v>
      </c>
    </row>
    <row r="718" spans="26:26">
      <c r="Z718" s="12">
        <v>0</v>
      </c>
    </row>
    <row r="719" spans="26:26">
      <c r="Z719" s="12">
        <v>0</v>
      </c>
    </row>
    <row r="720" spans="26:26">
      <c r="Z720" s="12">
        <v>0</v>
      </c>
    </row>
    <row r="721" spans="26:26">
      <c r="Z721" s="12">
        <v>0</v>
      </c>
    </row>
    <row r="722" spans="26:26">
      <c r="Z722" s="12">
        <v>0</v>
      </c>
    </row>
    <row r="723" spans="26:26">
      <c r="Z723" s="12">
        <v>0</v>
      </c>
    </row>
    <row r="724" spans="26:26">
      <c r="Z724" s="12">
        <v>0</v>
      </c>
    </row>
    <row r="725" spans="26:26">
      <c r="Z725" s="12">
        <v>0</v>
      </c>
    </row>
    <row r="726" spans="26:26">
      <c r="Z726" s="12">
        <v>0</v>
      </c>
    </row>
    <row r="727" spans="26:26">
      <c r="Z727" s="12">
        <v>0</v>
      </c>
    </row>
    <row r="728" spans="26:26">
      <c r="Z728" s="12">
        <v>0</v>
      </c>
    </row>
    <row r="729" spans="26:26">
      <c r="Z729" s="12">
        <v>0</v>
      </c>
    </row>
    <row r="730" spans="26:26">
      <c r="Z730" s="12">
        <v>0</v>
      </c>
    </row>
    <row r="731" spans="26:26">
      <c r="Z731" s="12">
        <v>0</v>
      </c>
    </row>
    <row r="732" spans="26:26">
      <c r="Z732" s="12">
        <v>0</v>
      </c>
    </row>
    <row r="733" spans="26:26">
      <c r="Z733" s="12">
        <v>0</v>
      </c>
    </row>
    <row r="734" spans="26:26">
      <c r="Z734" s="12">
        <v>0</v>
      </c>
    </row>
    <row r="735" spans="26:26">
      <c r="Z735" s="12">
        <v>0</v>
      </c>
    </row>
    <row r="736" spans="26:26">
      <c r="Z736" s="12">
        <v>0</v>
      </c>
    </row>
    <row r="737" spans="26:26">
      <c r="Z737" s="12">
        <v>0</v>
      </c>
    </row>
    <row r="738" spans="26:26">
      <c r="Z738" s="12">
        <v>0</v>
      </c>
    </row>
    <row r="739" spans="26:26">
      <c r="Z739" s="12">
        <v>0</v>
      </c>
    </row>
    <row r="740" spans="26:26">
      <c r="Z740" s="12">
        <v>0</v>
      </c>
    </row>
    <row r="741" spans="26:26">
      <c r="Z741" s="12">
        <v>0</v>
      </c>
    </row>
    <row r="742" spans="26:26">
      <c r="Z742" s="12">
        <v>0</v>
      </c>
    </row>
    <row r="743" spans="26:26">
      <c r="Z743" s="12">
        <v>0</v>
      </c>
    </row>
    <row r="744" spans="26:26">
      <c r="Z744" s="12">
        <v>0</v>
      </c>
    </row>
    <row r="745" spans="26:26">
      <c r="Z745" s="12">
        <v>0</v>
      </c>
    </row>
    <row r="746" spans="26:26">
      <c r="Z746" s="12">
        <v>0</v>
      </c>
    </row>
    <row r="747" spans="26:26">
      <c r="Z747" s="12">
        <v>0</v>
      </c>
    </row>
    <row r="748" spans="26:26">
      <c r="Z748" s="12">
        <v>0</v>
      </c>
    </row>
    <row r="749" spans="26:26">
      <c r="Z749" s="12">
        <v>0</v>
      </c>
    </row>
    <row r="750" spans="26:26">
      <c r="Z750" s="12">
        <v>0</v>
      </c>
    </row>
    <row r="751" spans="26:26">
      <c r="Z751" s="12">
        <v>0</v>
      </c>
    </row>
    <row r="752" spans="26:26">
      <c r="Z752" s="12">
        <v>0</v>
      </c>
    </row>
    <row r="753" spans="26:26">
      <c r="Z753" s="12">
        <v>0</v>
      </c>
    </row>
    <row r="754" spans="26:26">
      <c r="Z754" s="12">
        <v>0</v>
      </c>
    </row>
    <row r="755" spans="26:26">
      <c r="Z755" s="12">
        <v>0</v>
      </c>
    </row>
    <row r="756" spans="26:26">
      <c r="Z756" s="12">
        <v>0</v>
      </c>
    </row>
    <row r="757" spans="26:26">
      <c r="Z757" s="12">
        <v>0</v>
      </c>
    </row>
    <row r="758" spans="26:26">
      <c r="Z758" s="12">
        <v>0</v>
      </c>
    </row>
    <row r="759" spans="26:26">
      <c r="Z759" s="12">
        <v>0</v>
      </c>
    </row>
    <row r="760" spans="26:26">
      <c r="Z760" s="12">
        <v>0</v>
      </c>
    </row>
    <row r="761" spans="26:26">
      <c r="Z761" s="12">
        <v>0</v>
      </c>
    </row>
    <row r="762" spans="26:26">
      <c r="Z762" s="12">
        <v>0</v>
      </c>
    </row>
    <row r="763" spans="26:26">
      <c r="Z763" s="12">
        <v>0</v>
      </c>
    </row>
    <row r="764" spans="26:26">
      <c r="Z764" s="12">
        <v>0</v>
      </c>
    </row>
    <row r="765" spans="26:26">
      <c r="Z765" s="12">
        <v>0</v>
      </c>
    </row>
    <row r="766" spans="26:26">
      <c r="Z766" s="12">
        <v>0</v>
      </c>
    </row>
    <row r="767" spans="26:26">
      <c r="Z767" s="12">
        <v>0</v>
      </c>
    </row>
    <row r="768" spans="26:26">
      <c r="Z768" s="12">
        <v>0</v>
      </c>
    </row>
    <row r="769" spans="26:26">
      <c r="Z769" s="12">
        <v>0</v>
      </c>
    </row>
    <row r="770" spans="26:26">
      <c r="Z770" s="12">
        <v>0</v>
      </c>
    </row>
    <row r="771" spans="26:26">
      <c r="Z771" s="12">
        <v>0</v>
      </c>
    </row>
    <row r="772" spans="26:26">
      <c r="Z772" s="12">
        <v>0</v>
      </c>
    </row>
    <row r="773" spans="26:26">
      <c r="Z773" s="12">
        <v>0</v>
      </c>
    </row>
    <row r="774" spans="26:26">
      <c r="Z774" s="12">
        <v>0</v>
      </c>
    </row>
    <row r="775" spans="26:26">
      <c r="Z775" s="12">
        <v>0</v>
      </c>
    </row>
    <row r="776" spans="26:26">
      <c r="Z776" s="12">
        <v>0</v>
      </c>
    </row>
    <row r="777" spans="26:26">
      <c r="Z777" s="12">
        <v>0</v>
      </c>
    </row>
    <row r="778" spans="26:26">
      <c r="Z778" s="12">
        <v>0</v>
      </c>
    </row>
    <row r="779" spans="26:26">
      <c r="Z779" s="12">
        <v>0</v>
      </c>
    </row>
    <row r="780" spans="26:26">
      <c r="Z780" s="12">
        <v>0</v>
      </c>
    </row>
    <row r="781" spans="26:26">
      <c r="Z781" s="12">
        <v>0</v>
      </c>
    </row>
    <row r="782" spans="26:26">
      <c r="Z782" s="12">
        <v>0</v>
      </c>
    </row>
    <row r="783" spans="26:26">
      <c r="Z783" s="12">
        <v>0</v>
      </c>
    </row>
    <row r="784" spans="26:26">
      <c r="Z784" s="12">
        <v>0</v>
      </c>
    </row>
    <row r="785" spans="26:26">
      <c r="Z785" s="12">
        <v>0</v>
      </c>
    </row>
    <row r="786" spans="26:26">
      <c r="Z786" s="12">
        <v>0</v>
      </c>
    </row>
    <row r="787" spans="26:26">
      <c r="Z787" s="12">
        <v>0</v>
      </c>
    </row>
    <row r="788" spans="26:26">
      <c r="Z788" s="12">
        <v>0</v>
      </c>
    </row>
    <row r="789" spans="26:26">
      <c r="Z789" s="12">
        <v>0</v>
      </c>
    </row>
    <row r="790" spans="26:26">
      <c r="Z790" s="12">
        <v>0</v>
      </c>
    </row>
    <row r="791" spans="26:26">
      <c r="Z791" s="12">
        <v>0</v>
      </c>
    </row>
    <row r="792" spans="26:26">
      <c r="Z792" s="12">
        <v>0</v>
      </c>
    </row>
    <row r="793" spans="26:26">
      <c r="Z793" s="12">
        <v>0</v>
      </c>
    </row>
    <row r="794" spans="26:26">
      <c r="Z794" s="12">
        <v>0</v>
      </c>
    </row>
    <row r="795" spans="26:26">
      <c r="Z795" s="12">
        <v>0</v>
      </c>
    </row>
    <row r="796" spans="26:26">
      <c r="Z796" s="12">
        <v>0</v>
      </c>
    </row>
    <row r="797" spans="26:26">
      <c r="Z797" s="12">
        <v>0</v>
      </c>
    </row>
    <row r="798" spans="26:26">
      <c r="Z798" s="12">
        <v>0</v>
      </c>
    </row>
    <row r="799" spans="26:26">
      <c r="Z799" s="12">
        <v>0</v>
      </c>
    </row>
    <row r="800" spans="26:26">
      <c r="Z800" s="12">
        <v>0</v>
      </c>
    </row>
    <row r="801" spans="26:26">
      <c r="Z801" s="12">
        <v>0</v>
      </c>
    </row>
    <row r="802" spans="26:26">
      <c r="Z802" s="12">
        <v>0</v>
      </c>
    </row>
    <row r="803" spans="26:26">
      <c r="Z803" s="12">
        <v>0</v>
      </c>
    </row>
    <row r="804" spans="26:26">
      <c r="Z804" s="12">
        <v>0</v>
      </c>
    </row>
    <row r="805" spans="26:26">
      <c r="Z805" s="12">
        <v>0</v>
      </c>
    </row>
    <row r="806" spans="26:26">
      <c r="Z806" s="12">
        <v>0</v>
      </c>
    </row>
    <row r="807" spans="26:26">
      <c r="Z807" s="12">
        <v>0</v>
      </c>
    </row>
    <row r="808" spans="26:26">
      <c r="Z808" s="12">
        <v>0</v>
      </c>
    </row>
    <row r="809" spans="26:26">
      <c r="Z809" s="12">
        <v>0</v>
      </c>
    </row>
    <row r="810" spans="26:26">
      <c r="Z810" s="12">
        <v>0</v>
      </c>
    </row>
    <row r="811" spans="26:26">
      <c r="Z811" s="12">
        <v>0</v>
      </c>
    </row>
    <row r="812" spans="26:26">
      <c r="Z812" s="12">
        <v>0</v>
      </c>
    </row>
    <row r="813" spans="26:26">
      <c r="Z813" s="12">
        <v>0</v>
      </c>
    </row>
    <row r="814" spans="26:26">
      <c r="Z814" s="12">
        <v>0</v>
      </c>
    </row>
    <row r="815" spans="26:26">
      <c r="Z815" s="12">
        <v>0</v>
      </c>
    </row>
    <row r="816" spans="26:26">
      <c r="Z816" s="12">
        <v>0</v>
      </c>
    </row>
    <row r="817" spans="26:26">
      <c r="Z817" s="12">
        <v>0</v>
      </c>
    </row>
    <row r="818" spans="26:26">
      <c r="Z818" s="12">
        <v>0</v>
      </c>
    </row>
    <row r="819" spans="26:26">
      <c r="Z819" s="12">
        <v>0</v>
      </c>
    </row>
    <row r="820" spans="26:26">
      <c r="Z820" s="12">
        <v>0</v>
      </c>
    </row>
    <row r="821" spans="26:26">
      <c r="Z821" s="12">
        <v>0</v>
      </c>
    </row>
    <row r="822" spans="26:26">
      <c r="Z822" s="12">
        <v>0</v>
      </c>
    </row>
    <row r="823" spans="26:26">
      <c r="Z823" s="12">
        <v>0</v>
      </c>
    </row>
    <row r="824" spans="26:26">
      <c r="Z824" s="12">
        <v>0</v>
      </c>
    </row>
    <row r="825" spans="26:26">
      <c r="Z825" s="12">
        <v>0</v>
      </c>
    </row>
    <row r="826" spans="26:26">
      <c r="Z826" s="12">
        <v>0</v>
      </c>
    </row>
    <row r="827" spans="26:26">
      <c r="Z827" s="12">
        <v>0</v>
      </c>
    </row>
    <row r="828" spans="26:26">
      <c r="Z828" s="12">
        <v>0</v>
      </c>
    </row>
    <row r="829" spans="26:26">
      <c r="Z829" s="12">
        <v>0</v>
      </c>
    </row>
    <row r="830" spans="26:26">
      <c r="Z830" s="12">
        <v>0</v>
      </c>
    </row>
    <row r="831" spans="26:26">
      <c r="Z831" s="12">
        <v>0</v>
      </c>
    </row>
    <row r="832" spans="26:26">
      <c r="Z832" s="12">
        <v>0</v>
      </c>
    </row>
    <row r="833" spans="26:26">
      <c r="Z833" s="12">
        <v>0</v>
      </c>
    </row>
    <row r="834" spans="26:26">
      <c r="Z834" s="12">
        <v>0</v>
      </c>
    </row>
    <row r="835" spans="26:26">
      <c r="Z835" s="12">
        <v>0</v>
      </c>
    </row>
    <row r="836" spans="26:26">
      <c r="Z836" s="12">
        <v>0</v>
      </c>
    </row>
    <row r="837" spans="26:26">
      <c r="Z837" s="12">
        <v>0</v>
      </c>
    </row>
    <row r="838" spans="26:26">
      <c r="Z838" s="12">
        <v>0</v>
      </c>
    </row>
    <row r="839" spans="26:26">
      <c r="Z839" s="12">
        <v>0</v>
      </c>
    </row>
    <row r="840" spans="26:26">
      <c r="Z840" s="12">
        <v>0</v>
      </c>
    </row>
    <row r="841" spans="26:26">
      <c r="Z841" s="12">
        <v>0</v>
      </c>
    </row>
    <row r="842" spans="26:26">
      <c r="Z842" s="12">
        <v>0</v>
      </c>
    </row>
    <row r="843" spans="26:26">
      <c r="Z843" s="12">
        <v>0</v>
      </c>
    </row>
    <row r="844" spans="26:26">
      <c r="Z844" s="12">
        <v>0</v>
      </c>
    </row>
    <row r="845" spans="26:26">
      <c r="Z845" s="12">
        <v>0</v>
      </c>
    </row>
    <row r="846" spans="26:26">
      <c r="Z846" s="12">
        <v>0</v>
      </c>
    </row>
    <row r="847" spans="26:26">
      <c r="Z847" s="12">
        <v>0</v>
      </c>
    </row>
    <row r="848" spans="26:26">
      <c r="Z848" s="12">
        <v>0</v>
      </c>
    </row>
    <row r="849" spans="26:26">
      <c r="Z849" s="12">
        <v>0</v>
      </c>
    </row>
    <row r="850" spans="26:26">
      <c r="Z850" s="12">
        <v>0</v>
      </c>
    </row>
    <row r="851" spans="26:26">
      <c r="Z851" s="12">
        <v>0</v>
      </c>
    </row>
    <row r="852" spans="26:26">
      <c r="Z852" s="12">
        <v>0</v>
      </c>
    </row>
    <row r="853" spans="26:26">
      <c r="Z853" s="12">
        <v>0</v>
      </c>
    </row>
    <row r="854" spans="26:26">
      <c r="Z854" s="12">
        <v>0</v>
      </c>
    </row>
    <row r="855" spans="26:26">
      <c r="Z855" s="12">
        <v>0</v>
      </c>
    </row>
    <row r="856" spans="26:26">
      <c r="Z856" s="12">
        <v>0</v>
      </c>
    </row>
    <row r="857" spans="26:26">
      <c r="Z857" s="12">
        <v>0</v>
      </c>
    </row>
    <row r="858" spans="26:26">
      <c r="Z858" s="12">
        <v>0</v>
      </c>
    </row>
    <row r="859" spans="26:26">
      <c r="Z859" s="12">
        <v>0</v>
      </c>
    </row>
    <row r="860" spans="26:26">
      <c r="Z860" s="12">
        <v>0</v>
      </c>
    </row>
    <row r="861" spans="26:26">
      <c r="Z861" s="12">
        <v>0</v>
      </c>
    </row>
    <row r="862" spans="26:26">
      <c r="Z862" s="12">
        <v>0</v>
      </c>
    </row>
    <row r="863" spans="26:26">
      <c r="Z863" s="12">
        <v>0</v>
      </c>
    </row>
    <row r="864" spans="26:26">
      <c r="Z864" s="12">
        <v>0</v>
      </c>
    </row>
    <row r="865" spans="26:26">
      <c r="Z865" s="12">
        <v>0</v>
      </c>
    </row>
    <row r="866" spans="26:26">
      <c r="Z866" s="12">
        <v>0</v>
      </c>
    </row>
    <row r="867" spans="26:26">
      <c r="Z867" s="12">
        <v>0</v>
      </c>
    </row>
    <row r="868" spans="26:26">
      <c r="Z868" s="12">
        <v>0</v>
      </c>
    </row>
    <row r="869" spans="26:26">
      <c r="Z869" s="12">
        <v>0</v>
      </c>
    </row>
    <row r="870" spans="26:26">
      <c r="Z870" s="12">
        <v>0</v>
      </c>
    </row>
    <row r="871" spans="26:26">
      <c r="Z871" s="12">
        <v>0</v>
      </c>
    </row>
    <row r="872" spans="26:26">
      <c r="Z872" s="12">
        <v>0</v>
      </c>
    </row>
    <row r="873" spans="26:26">
      <c r="Z873" s="12">
        <v>0</v>
      </c>
    </row>
    <row r="874" spans="26:26">
      <c r="Z874" s="12">
        <v>0</v>
      </c>
    </row>
    <row r="875" spans="26:26">
      <c r="Z875" s="12">
        <v>0</v>
      </c>
    </row>
    <row r="876" spans="26:26">
      <c r="Z876" s="12">
        <v>0</v>
      </c>
    </row>
    <row r="877" spans="26:26">
      <c r="Z877" s="12">
        <v>0</v>
      </c>
    </row>
    <row r="878" spans="26:26">
      <c r="Z878" s="12">
        <v>0</v>
      </c>
    </row>
    <row r="879" spans="26:26">
      <c r="Z879" s="12">
        <v>0</v>
      </c>
    </row>
    <row r="880" spans="26:26">
      <c r="Z880" s="12">
        <v>0</v>
      </c>
    </row>
    <row r="881" spans="26:26">
      <c r="Z881" s="12">
        <v>0</v>
      </c>
    </row>
    <row r="882" spans="26:26">
      <c r="Z882" s="12">
        <v>0</v>
      </c>
    </row>
    <row r="883" spans="26:26">
      <c r="Z883" s="12">
        <v>0</v>
      </c>
    </row>
    <row r="884" spans="26:26">
      <c r="Z884" s="12">
        <v>0</v>
      </c>
    </row>
    <row r="885" spans="26:26">
      <c r="Z885" s="12">
        <v>0</v>
      </c>
    </row>
    <row r="886" spans="26:26">
      <c r="Z886" s="12">
        <v>0</v>
      </c>
    </row>
    <row r="887" spans="26:26">
      <c r="Z887" s="12">
        <v>0</v>
      </c>
    </row>
    <row r="888" spans="26:26">
      <c r="Z888" s="12">
        <v>0</v>
      </c>
    </row>
    <row r="889" spans="26:26">
      <c r="Z889" s="12">
        <v>0</v>
      </c>
    </row>
    <row r="890" spans="26:26">
      <c r="Z890" s="12">
        <v>0</v>
      </c>
    </row>
    <row r="891" spans="26:26">
      <c r="Z891" s="12">
        <v>0</v>
      </c>
    </row>
    <row r="892" spans="26:26">
      <c r="Z892" s="12">
        <v>0</v>
      </c>
    </row>
    <row r="893" spans="26:26">
      <c r="Z893" s="12">
        <v>0</v>
      </c>
    </row>
    <row r="894" spans="26:26">
      <c r="Z894" s="12">
        <v>0</v>
      </c>
    </row>
    <row r="895" spans="26:26">
      <c r="Z895" s="12">
        <v>0</v>
      </c>
    </row>
    <row r="896" spans="26:26">
      <c r="Z896" s="12">
        <v>0</v>
      </c>
    </row>
    <row r="897" spans="26:26">
      <c r="Z897" s="12">
        <v>0</v>
      </c>
    </row>
    <row r="898" spans="26:26">
      <c r="Z898" s="12">
        <v>0</v>
      </c>
    </row>
    <row r="899" spans="26:26">
      <c r="Z899" s="12">
        <v>0</v>
      </c>
    </row>
    <row r="900" spans="26:26">
      <c r="Z900" s="12">
        <v>0</v>
      </c>
    </row>
    <row r="901" spans="26:26">
      <c r="Z901" s="12">
        <v>0</v>
      </c>
    </row>
    <row r="902" spans="26:26">
      <c r="Z902" s="12">
        <v>0</v>
      </c>
    </row>
    <row r="903" spans="26:26">
      <c r="Z903" s="12">
        <v>0</v>
      </c>
    </row>
    <row r="904" spans="26:26">
      <c r="Z904" s="12">
        <v>0</v>
      </c>
    </row>
    <row r="905" spans="26:26">
      <c r="Z905" s="12">
        <v>0</v>
      </c>
    </row>
    <row r="906" spans="26:26">
      <c r="Z906" s="12">
        <v>0</v>
      </c>
    </row>
    <row r="907" spans="26:26">
      <c r="Z907" s="12">
        <v>0</v>
      </c>
    </row>
    <row r="908" spans="26:26">
      <c r="Z908" s="12">
        <v>0</v>
      </c>
    </row>
    <row r="909" spans="26:26">
      <c r="Z909" s="12">
        <v>0</v>
      </c>
    </row>
    <row r="910" spans="26:26">
      <c r="Z910" s="12">
        <v>0</v>
      </c>
    </row>
    <row r="911" spans="26:26">
      <c r="Z911" s="12">
        <v>0</v>
      </c>
    </row>
    <row r="912" spans="26:26">
      <c r="Z912" s="12">
        <v>0</v>
      </c>
    </row>
    <row r="913" spans="26:26">
      <c r="Z913" s="12">
        <v>0</v>
      </c>
    </row>
    <row r="914" spans="26:26">
      <c r="Z914" s="12">
        <v>0</v>
      </c>
    </row>
    <row r="915" spans="26:26">
      <c r="Z915" s="12">
        <v>0</v>
      </c>
    </row>
    <row r="916" spans="26:26">
      <c r="Z916" s="12">
        <v>0</v>
      </c>
    </row>
    <row r="917" spans="26:26">
      <c r="Z917" s="12">
        <v>0</v>
      </c>
    </row>
    <row r="918" spans="26:26">
      <c r="Z918" s="12">
        <v>0</v>
      </c>
    </row>
    <row r="919" spans="26:26">
      <c r="Z919" s="12">
        <v>0</v>
      </c>
    </row>
    <row r="920" spans="26:26">
      <c r="Z920" s="12">
        <v>0</v>
      </c>
    </row>
    <row r="921" spans="26:26">
      <c r="Z921" s="12">
        <v>0</v>
      </c>
    </row>
    <row r="922" spans="26:26">
      <c r="Z922" s="12">
        <v>0</v>
      </c>
    </row>
    <row r="923" spans="26:26">
      <c r="Z923" s="12">
        <v>0</v>
      </c>
    </row>
    <row r="924" spans="26:26">
      <c r="Z924" s="12">
        <v>0</v>
      </c>
    </row>
    <row r="925" spans="26:26">
      <c r="Z925" s="12">
        <v>0</v>
      </c>
    </row>
    <row r="926" spans="26:26">
      <c r="Z926" s="12">
        <v>0</v>
      </c>
    </row>
    <row r="927" spans="26:26">
      <c r="Z927" s="12">
        <v>0</v>
      </c>
    </row>
    <row r="928" spans="26:26">
      <c r="Z928" s="12">
        <v>0</v>
      </c>
    </row>
    <row r="929" spans="26:26">
      <c r="Z929" s="12">
        <v>0</v>
      </c>
    </row>
    <row r="930" spans="26:26">
      <c r="Z930" s="12">
        <v>0</v>
      </c>
    </row>
    <row r="931" spans="26:26">
      <c r="Z931" s="12">
        <v>0</v>
      </c>
    </row>
    <row r="932" spans="26:26">
      <c r="Z932" s="12">
        <v>0</v>
      </c>
    </row>
    <row r="933" spans="26:26">
      <c r="Z933" s="12">
        <v>0</v>
      </c>
    </row>
    <row r="934" spans="26:26">
      <c r="Z934" s="12">
        <v>0</v>
      </c>
    </row>
    <row r="935" spans="26:26">
      <c r="Z935" s="12">
        <v>0</v>
      </c>
    </row>
    <row r="936" spans="26:26">
      <c r="Z936" s="12">
        <v>0</v>
      </c>
    </row>
    <row r="937" spans="26:26">
      <c r="Z937" s="12">
        <v>0</v>
      </c>
    </row>
    <row r="938" spans="26:26">
      <c r="Z938" s="12">
        <v>0</v>
      </c>
    </row>
    <row r="939" spans="26:26">
      <c r="Z939" s="12">
        <v>0</v>
      </c>
    </row>
    <row r="940" spans="26:26">
      <c r="Z940" s="12">
        <v>0</v>
      </c>
    </row>
    <row r="941" spans="26:26">
      <c r="Z941" s="12">
        <v>0</v>
      </c>
    </row>
    <row r="942" spans="26:26">
      <c r="Z942" s="12">
        <v>0</v>
      </c>
    </row>
    <row r="943" spans="26:26">
      <c r="Z943" s="12">
        <v>0</v>
      </c>
    </row>
    <row r="944" spans="26:26">
      <c r="Z944" s="12">
        <v>0</v>
      </c>
    </row>
    <row r="945" spans="26:26">
      <c r="Z945" s="12">
        <v>0</v>
      </c>
    </row>
    <row r="946" spans="26:26">
      <c r="Z946" s="12">
        <v>0</v>
      </c>
    </row>
    <row r="947" spans="26:26">
      <c r="Z947" s="12">
        <v>0</v>
      </c>
    </row>
    <row r="948" spans="26:26">
      <c r="Z948" s="12">
        <v>0</v>
      </c>
    </row>
    <row r="949" spans="26:26">
      <c r="Z949" s="12">
        <v>0</v>
      </c>
    </row>
    <row r="950" spans="26:26">
      <c r="Z950" s="12">
        <v>0</v>
      </c>
    </row>
    <row r="951" spans="26:26">
      <c r="Z951" s="12">
        <v>0</v>
      </c>
    </row>
    <row r="952" spans="26:26">
      <c r="Z952" s="12">
        <v>0</v>
      </c>
    </row>
    <row r="953" spans="26:26">
      <c r="Z953" s="12">
        <v>0</v>
      </c>
    </row>
    <row r="954" spans="26:26">
      <c r="Z954" s="12">
        <v>0</v>
      </c>
    </row>
    <row r="955" spans="26:26">
      <c r="Z955" s="12">
        <v>0</v>
      </c>
    </row>
    <row r="956" spans="26:26">
      <c r="Z956" s="12">
        <v>0</v>
      </c>
    </row>
    <row r="957" spans="26:26">
      <c r="Z957" s="12">
        <v>0</v>
      </c>
    </row>
    <row r="958" spans="26:26">
      <c r="Z958" s="12">
        <v>0</v>
      </c>
    </row>
    <row r="959" spans="26:26">
      <c r="Z959" s="12">
        <v>0</v>
      </c>
    </row>
    <row r="960" spans="26:26">
      <c r="Z960" s="12">
        <v>0</v>
      </c>
    </row>
    <row r="961" spans="26:26">
      <c r="Z961" s="12">
        <v>0</v>
      </c>
    </row>
    <row r="962" spans="26:26">
      <c r="Z962" s="12">
        <v>0</v>
      </c>
    </row>
    <row r="963" spans="26:26">
      <c r="Z963" s="12">
        <v>0</v>
      </c>
    </row>
    <row r="964" spans="26:26">
      <c r="Z964" s="12">
        <v>0</v>
      </c>
    </row>
    <row r="965" spans="26:26">
      <c r="Z965" s="12">
        <v>0</v>
      </c>
    </row>
    <row r="966" spans="26:26">
      <c r="Z966" s="12">
        <v>0</v>
      </c>
    </row>
    <row r="967" spans="26:26">
      <c r="Z967" s="12">
        <v>0</v>
      </c>
    </row>
    <row r="968" spans="26:26">
      <c r="Z968" s="12">
        <v>0</v>
      </c>
    </row>
    <row r="969" spans="26:26">
      <c r="Z969" s="12">
        <v>0</v>
      </c>
    </row>
    <row r="970" spans="26:26">
      <c r="Z970" s="12">
        <v>0</v>
      </c>
    </row>
    <row r="971" spans="26:26">
      <c r="Z971" s="12">
        <v>0</v>
      </c>
    </row>
    <row r="972" spans="26:26">
      <c r="Z972" s="12">
        <v>0</v>
      </c>
    </row>
    <row r="973" spans="26:26">
      <c r="Z973" s="12">
        <v>0</v>
      </c>
    </row>
    <row r="974" spans="26:26">
      <c r="Z974" s="12">
        <v>0</v>
      </c>
    </row>
    <row r="975" spans="26:26">
      <c r="Z975" s="12">
        <v>0</v>
      </c>
    </row>
    <row r="976" spans="26:26">
      <c r="Z976" s="12">
        <v>0</v>
      </c>
    </row>
    <row r="977" spans="26:26">
      <c r="Z977" s="12">
        <v>0</v>
      </c>
    </row>
    <row r="978" spans="26:26">
      <c r="Z978" s="12">
        <v>0</v>
      </c>
    </row>
    <row r="979" spans="26:26">
      <c r="Z979" s="12">
        <v>0</v>
      </c>
    </row>
    <row r="980" spans="26:26">
      <c r="Z980" s="12">
        <v>0</v>
      </c>
    </row>
    <row r="981" spans="26:26">
      <c r="Z981" s="12">
        <v>0</v>
      </c>
    </row>
    <row r="982" spans="26:26">
      <c r="Z982" s="12">
        <v>0</v>
      </c>
    </row>
    <row r="983" spans="26:26">
      <c r="Z983" s="12">
        <v>0</v>
      </c>
    </row>
    <row r="984" spans="26:26">
      <c r="Z984" s="12">
        <v>0</v>
      </c>
    </row>
    <row r="985" spans="26:26">
      <c r="Z985" s="12">
        <v>0</v>
      </c>
    </row>
    <row r="986" spans="26:26">
      <c r="Z986" s="12">
        <v>0</v>
      </c>
    </row>
    <row r="987" spans="26:26">
      <c r="Z987" s="12">
        <v>0</v>
      </c>
    </row>
    <row r="988" spans="26:26">
      <c r="Z988" s="12">
        <v>0</v>
      </c>
    </row>
    <row r="989" spans="26:26">
      <c r="Z989" s="12">
        <v>0</v>
      </c>
    </row>
    <row r="990" spans="26:26">
      <c r="Z990" s="12">
        <v>0</v>
      </c>
    </row>
    <row r="991" spans="26:26">
      <c r="Z991" s="12">
        <v>0</v>
      </c>
    </row>
    <row r="992" spans="26:26">
      <c r="Z992" s="12">
        <v>0</v>
      </c>
    </row>
    <row r="993" spans="26:26">
      <c r="Z993" s="12">
        <v>0</v>
      </c>
    </row>
    <row r="994" spans="26:26">
      <c r="Z994" s="12">
        <v>0</v>
      </c>
    </row>
    <row r="995" spans="26:26">
      <c r="Z995" s="12">
        <v>0</v>
      </c>
    </row>
    <row r="996" spans="26:26">
      <c r="Z996" s="12">
        <v>0</v>
      </c>
    </row>
    <row r="997" spans="26:26">
      <c r="Z997" s="12">
        <v>0</v>
      </c>
    </row>
    <row r="998" spans="26:26">
      <c r="Z998" s="12">
        <v>0</v>
      </c>
    </row>
    <row r="999" spans="26:26">
      <c r="Z999" s="12">
        <v>0</v>
      </c>
    </row>
    <row r="1000" spans="26:26">
      <c r="Z1000" s="12">
        <v>0</v>
      </c>
    </row>
    <row r="1001" spans="26:26">
      <c r="Z1001" s="12">
        <v>0</v>
      </c>
    </row>
    <row r="1002" spans="26:26">
      <c r="Z1002" s="12">
        <v>0</v>
      </c>
    </row>
    <row r="1003" spans="26:26">
      <c r="Z1003" s="12">
        <v>0</v>
      </c>
    </row>
    <row r="1004" spans="26:26">
      <c r="Z1004" s="12">
        <v>0</v>
      </c>
    </row>
    <row r="1005" spans="26:26">
      <c r="Z1005" s="12">
        <v>0</v>
      </c>
    </row>
    <row r="1006" spans="26:26">
      <c r="Z1006" s="12">
        <v>0</v>
      </c>
    </row>
    <row r="1007" spans="26:26">
      <c r="Z1007" s="12">
        <v>0</v>
      </c>
    </row>
    <row r="1008" spans="26:26">
      <c r="Z1008" s="12">
        <v>0</v>
      </c>
    </row>
    <row r="1009" spans="26:26">
      <c r="Z1009" s="12">
        <v>0</v>
      </c>
    </row>
    <row r="1010" spans="26:26">
      <c r="Z1010" s="12">
        <v>0</v>
      </c>
    </row>
    <row r="1011" spans="26:26">
      <c r="Z1011" s="12">
        <v>0</v>
      </c>
    </row>
    <row r="1012" spans="26:26">
      <c r="Z1012" s="12">
        <v>0</v>
      </c>
    </row>
    <row r="1013" spans="26:26">
      <c r="Z1013" s="12">
        <v>0</v>
      </c>
    </row>
    <row r="1014" spans="26:26">
      <c r="Z1014" s="12">
        <v>0</v>
      </c>
    </row>
    <row r="1015" spans="26:26">
      <c r="Z1015" s="12">
        <v>0</v>
      </c>
    </row>
    <row r="1016" spans="26:26">
      <c r="Z1016" s="12">
        <v>0</v>
      </c>
    </row>
    <row r="1017" spans="26:26">
      <c r="Z1017" s="12">
        <v>0</v>
      </c>
    </row>
    <row r="1018" spans="26:26">
      <c r="Z1018" s="12">
        <v>0</v>
      </c>
    </row>
    <row r="1019" spans="26:26">
      <c r="Z1019" s="12">
        <v>0</v>
      </c>
    </row>
    <row r="1020" spans="26:26">
      <c r="Z1020" s="12">
        <v>0</v>
      </c>
    </row>
    <row r="1021" spans="26:26">
      <c r="Z1021" s="12">
        <v>0</v>
      </c>
    </row>
    <row r="1022" spans="26:26">
      <c r="Z1022" s="12">
        <v>0</v>
      </c>
    </row>
    <row r="1023" spans="26:26">
      <c r="Z1023" s="12">
        <v>0</v>
      </c>
    </row>
    <row r="1024" spans="26:26">
      <c r="Z1024" s="12">
        <v>0</v>
      </c>
    </row>
    <row r="1025" spans="26:26">
      <c r="Z1025" s="12">
        <v>0</v>
      </c>
    </row>
    <row r="1026" spans="26:26">
      <c r="Z1026" s="12">
        <v>0</v>
      </c>
    </row>
    <row r="1027" spans="26:26">
      <c r="Z1027" s="12">
        <v>0</v>
      </c>
    </row>
    <row r="1028" spans="26:26">
      <c r="Z1028" s="12">
        <v>0</v>
      </c>
    </row>
    <row r="1029" spans="26:26">
      <c r="Z1029" s="12">
        <v>0</v>
      </c>
    </row>
    <row r="1030" spans="26:26">
      <c r="Z1030" s="12">
        <v>0</v>
      </c>
    </row>
    <row r="1031" spans="26:26">
      <c r="Z1031" s="12">
        <v>0</v>
      </c>
    </row>
    <row r="1032" spans="26:26">
      <c r="Z1032" s="12">
        <v>0</v>
      </c>
    </row>
    <row r="1033" spans="26:26">
      <c r="Z1033" s="12">
        <v>0</v>
      </c>
    </row>
    <row r="1034" spans="26:26">
      <c r="Z1034" s="12">
        <v>0</v>
      </c>
    </row>
    <row r="1035" spans="26:26">
      <c r="Z1035" s="12">
        <v>0</v>
      </c>
    </row>
    <row r="1036" spans="26:26">
      <c r="Z1036" s="12">
        <v>0</v>
      </c>
    </row>
    <row r="1037" spans="26:26">
      <c r="Z1037" s="12">
        <v>0</v>
      </c>
    </row>
    <row r="1038" spans="26:26">
      <c r="Z1038" s="12">
        <v>0</v>
      </c>
    </row>
    <row r="1039" spans="26:26">
      <c r="Z1039" s="12">
        <v>0</v>
      </c>
    </row>
    <row r="1040" spans="26:26">
      <c r="Z1040" s="12">
        <v>0</v>
      </c>
    </row>
    <row r="1041" spans="26:26">
      <c r="Z1041" s="12">
        <v>0</v>
      </c>
    </row>
    <row r="1042" spans="26:26">
      <c r="Z1042" s="12">
        <v>0</v>
      </c>
    </row>
    <row r="1043" spans="26:26">
      <c r="Z1043" s="12">
        <v>0</v>
      </c>
    </row>
    <row r="1044" spans="26:26">
      <c r="Z1044" s="12">
        <v>0</v>
      </c>
    </row>
    <row r="1045" spans="26:26">
      <c r="Z1045" s="12">
        <v>0</v>
      </c>
    </row>
    <row r="1046" spans="26:26">
      <c r="Z1046" s="12">
        <v>0</v>
      </c>
    </row>
    <row r="1047" spans="26:26">
      <c r="Z1047" s="12">
        <v>0</v>
      </c>
    </row>
    <row r="1048" spans="26:26">
      <c r="Z1048" s="12">
        <v>0</v>
      </c>
    </row>
    <row r="1049" spans="26:26">
      <c r="Z1049" s="12">
        <v>0</v>
      </c>
    </row>
    <row r="1050" spans="26:26">
      <c r="Z1050" s="12">
        <v>0</v>
      </c>
    </row>
    <row r="1051" spans="26:26">
      <c r="Z1051" s="12">
        <v>0</v>
      </c>
    </row>
    <row r="1052" spans="26:26">
      <c r="Z1052" s="12">
        <v>0</v>
      </c>
    </row>
    <row r="1053" spans="26:26">
      <c r="Z1053" s="12">
        <v>0</v>
      </c>
    </row>
    <row r="1054" spans="26:26">
      <c r="Z1054" s="12">
        <v>0</v>
      </c>
    </row>
    <row r="1055" spans="26:26">
      <c r="Z1055" s="12">
        <v>0</v>
      </c>
    </row>
    <row r="1056" spans="26:26">
      <c r="Z1056" s="12">
        <v>0</v>
      </c>
    </row>
    <row r="1057" spans="26:26">
      <c r="Z1057" s="12">
        <v>0</v>
      </c>
    </row>
    <row r="1058" spans="26:26">
      <c r="Z1058" s="12">
        <v>0</v>
      </c>
    </row>
    <row r="1059" spans="26:26">
      <c r="Z1059" s="12">
        <v>0</v>
      </c>
    </row>
    <row r="1060" spans="26:26">
      <c r="Z1060" s="12">
        <v>0</v>
      </c>
    </row>
    <row r="1061" spans="26:26">
      <c r="Z1061" s="12">
        <v>0</v>
      </c>
    </row>
    <row r="1062" spans="26:26">
      <c r="Z1062" s="12">
        <v>0</v>
      </c>
    </row>
    <row r="1063" spans="26:26">
      <c r="Z1063" s="12">
        <v>0</v>
      </c>
    </row>
    <row r="1064" spans="26:26">
      <c r="Z1064" s="12">
        <v>0</v>
      </c>
    </row>
    <row r="1065" spans="26:26">
      <c r="Z1065" s="12">
        <v>0</v>
      </c>
    </row>
    <row r="1066" spans="26:26">
      <c r="Z1066" s="12">
        <v>0</v>
      </c>
    </row>
    <row r="1067" spans="26:26">
      <c r="Z1067" s="12">
        <v>0</v>
      </c>
    </row>
    <row r="1068" spans="26:26">
      <c r="Z1068" s="12">
        <v>0</v>
      </c>
    </row>
    <row r="1069" spans="26:26">
      <c r="Z1069" s="12">
        <v>0</v>
      </c>
    </row>
    <row r="1070" spans="26:26">
      <c r="Z1070" s="12">
        <v>0</v>
      </c>
    </row>
    <row r="1071" spans="26:26">
      <c r="Z1071" s="12">
        <v>0</v>
      </c>
    </row>
    <row r="1072" spans="26:26">
      <c r="Z1072" s="12">
        <v>0</v>
      </c>
    </row>
    <row r="1073" spans="26:26">
      <c r="Z1073" s="12">
        <v>0</v>
      </c>
    </row>
    <row r="1074" spans="26:26">
      <c r="Z1074" s="12">
        <v>0</v>
      </c>
    </row>
    <row r="1075" spans="26:26">
      <c r="Z1075" s="12">
        <v>0</v>
      </c>
    </row>
    <row r="1076" spans="26:26">
      <c r="Z1076" s="12">
        <v>0</v>
      </c>
    </row>
    <row r="1077" spans="26:26">
      <c r="Z1077" s="12">
        <v>0</v>
      </c>
    </row>
    <row r="1078" spans="26:26">
      <c r="Z1078" s="12">
        <v>0</v>
      </c>
    </row>
    <row r="1079" spans="26:26">
      <c r="Z1079" s="12">
        <v>0</v>
      </c>
    </row>
    <row r="1080" spans="26:26">
      <c r="Z1080" s="12">
        <v>0</v>
      </c>
    </row>
    <row r="1081" spans="26:26">
      <c r="Z1081" s="12">
        <v>0</v>
      </c>
    </row>
    <row r="1082" spans="26:26">
      <c r="Z1082" s="12">
        <v>0</v>
      </c>
    </row>
    <row r="1083" spans="26:26">
      <c r="Z1083" s="12">
        <v>0</v>
      </c>
    </row>
    <row r="1084" spans="26:26">
      <c r="Z1084" s="12">
        <v>0</v>
      </c>
    </row>
    <row r="1085" spans="26:26">
      <c r="Z1085" s="12">
        <v>0</v>
      </c>
    </row>
    <row r="1086" spans="26:26">
      <c r="Z1086" s="12">
        <v>0</v>
      </c>
    </row>
    <row r="1087" spans="26:26">
      <c r="Z1087" s="12">
        <v>0</v>
      </c>
    </row>
    <row r="1088" spans="26:26">
      <c r="Z1088" s="12">
        <v>0</v>
      </c>
    </row>
    <row r="1089" spans="26:26">
      <c r="Z1089" s="12">
        <v>0</v>
      </c>
    </row>
    <row r="1090" spans="26:26">
      <c r="Z1090" s="12">
        <v>0</v>
      </c>
    </row>
    <row r="1091" spans="26:26">
      <c r="Z1091" s="12">
        <v>0</v>
      </c>
    </row>
    <row r="1092" spans="26:26">
      <c r="Z1092" s="12">
        <v>0</v>
      </c>
    </row>
    <row r="1093" spans="26:26">
      <c r="Z1093" s="12">
        <v>0</v>
      </c>
    </row>
    <row r="1094" spans="26:26">
      <c r="Z1094" s="12">
        <v>0</v>
      </c>
    </row>
    <row r="1095" spans="26:26">
      <c r="Z1095" s="12">
        <v>0</v>
      </c>
    </row>
    <row r="1096" spans="26:26">
      <c r="Z1096" s="12">
        <v>0</v>
      </c>
    </row>
    <row r="1097" spans="26:26">
      <c r="Z1097" s="12">
        <v>0</v>
      </c>
    </row>
    <row r="1098" spans="26:26">
      <c r="Z1098" s="12">
        <v>0</v>
      </c>
    </row>
    <row r="1099" spans="26:26">
      <c r="Z1099" s="12">
        <v>0</v>
      </c>
    </row>
    <row r="1100" spans="26:26">
      <c r="Z1100" s="12">
        <v>0</v>
      </c>
    </row>
    <row r="1101" spans="26:26">
      <c r="Z1101" s="12">
        <v>0</v>
      </c>
    </row>
    <row r="1102" spans="26:26">
      <c r="Z1102" s="12">
        <v>0</v>
      </c>
    </row>
    <row r="1103" spans="26:26">
      <c r="Z1103" s="12">
        <v>0</v>
      </c>
    </row>
    <row r="1104" spans="26:26">
      <c r="Z1104" s="12">
        <v>0</v>
      </c>
    </row>
    <row r="1105" spans="26:26">
      <c r="Z1105" s="12">
        <v>0</v>
      </c>
    </row>
    <row r="1106" spans="26:26">
      <c r="Z1106" s="12">
        <v>0</v>
      </c>
    </row>
    <row r="1107" spans="26:26">
      <c r="Z1107" s="12">
        <v>0</v>
      </c>
    </row>
    <row r="1108" spans="26:26">
      <c r="Z1108" s="12">
        <v>0</v>
      </c>
    </row>
    <row r="1109" spans="26:26">
      <c r="Z1109" s="12">
        <v>0</v>
      </c>
    </row>
    <row r="1110" spans="26:26">
      <c r="Z1110" s="12">
        <v>0</v>
      </c>
    </row>
    <row r="1111" spans="26:26">
      <c r="Z1111" s="12">
        <v>0</v>
      </c>
    </row>
    <row r="1112" spans="26:26">
      <c r="Z1112" s="12">
        <v>0</v>
      </c>
    </row>
    <row r="1113" spans="26:26">
      <c r="Z1113" s="12">
        <v>0</v>
      </c>
    </row>
    <row r="1114" spans="26:26">
      <c r="Z1114" s="12">
        <v>0</v>
      </c>
    </row>
    <row r="1115" spans="26:26">
      <c r="Z1115" s="12">
        <v>0</v>
      </c>
    </row>
    <row r="1116" spans="26:26">
      <c r="Z1116" s="12">
        <v>0</v>
      </c>
    </row>
    <row r="1117" spans="26:26">
      <c r="Z1117" s="12">
        <v>0</v>
      </c>
    </row>
    <row r="1118" spans="26:26">
      <c r="Z1118" s="12">
        <v>0</v>
      </c>
    </row>
    <row r="1119" spans="26:26">
      <c r="Z1119" s="12">
        <v>0</v>
      </c>
    </row>
    <row r="1120" spans="26:26">
      <c r="Z1120" s="12">
        <v>0</v>
      </c>
    </row>
    <row r="1121" spans="26:26">
      <c r="Z1121" s="12">
        <v>0</v>
      </c>
    </row>
    <row r="1122" spans="26:26">
      <c r="Z1122" s="12">
        <v>0</v>
      </c>
    </row>
    <row r="1123" spans="26:26">
      <c r="Z1123" s="12">
        <v>0</v>
      </c>
    </row>
    <row r="1124" spans="26:26">
      <c r="Z1124" s="12">
        <v>0</v>
      </c>
    </row>
    <row r="1125" spans="26:26">
      <c r="Z1125" s="12">
        <v>0</v>
      </c>
    </row>
    <row r="1126" spans="26:26">
      <c r="Z1126" s="12">
        <v>0</v>
      </c>
    </row>
    <row r="1127" spans="26:26">
      <c r="Z1127" s="12">
        <v>0</v>
      </c>
    </row>
    <row r="1128" spans="26:26">
      <c r="Z1128" s="12">
        <v>0</v>
      </c>
    </row>
    <row r="1129" spans="26:26">
      <c r="Z1129" s="12">
        <v>0</v>
      </c>
    </row>
    <row r="1130" spans="26:26">
      <c r="Z1130" s="12">
        <v>0</v>
      </c>
    </row>
    <row r="1131" spans="26:26">
      <c r="Z1131" s="12">
        <v>0</v>
      </c>
    </row>
    <row r="1132" spans="26:26">
      <c r="Z1132" s="12">
        <v>0</v>
      </c>
    </row>
    <row r="1133" spans="26:26">
      <c r="Z1133" s="12">
        <v>0</v>
      </c>
    </row>
    <row r="1134" spans="26:26">
      <c r="Z1134" s="12">
        <v>0</v>
      </c>
    </row>
    <row r="1135" spans="26:26">
      <c r="Z1135" s="12">
        <v>0</v>
      </c>
    </row>
    <row r="1136" spans="26:26">
      <c r="Z1136" s="12">
        <v>0</v>
      </c>
    </row>
    <row r="1137" spans="26:26">
      <c r="Z1137" s="12">
        <v>0</v>
      </c>
    </row>
    <row r="1138" spans="26:26">
      <c r="Z1138" s="12">
        <v>0</v>
      </c>
    </row>
    <row r="1139" spans="26:26">
      <c r="Z1139" s="12">
        <v>0</v>
      </c>
    </row>
    <row r="1140" spans="26:26">
      <c r="Z1140" s="12">
        <v>0</v>
      </c>
    </row>
    <row r="1141" spans="26:26">
      <c r="Z1141" s="12">
        <v>0</v>
      </c>
    </row>
    <row r="1142" spans="26:26">
      <c r="Z1142" s="12">
        <v>0</v>
      </c>
    </row>
    <row r="1143" spans="26:26">
      <c r="Z1143" s="12">
        <v>0</v>
      </c>
    </row>
    <row r="1144" spans="26:26">
      <c r="Z1144" s="12">
        <v>0</v>
      </c>
    </row>
    <row r="1145" spans="26:26">
      <c r="Z1145" s="12">
        <v>0</v>
      </c>
    </row>
    <row r="1146" spans="26:26">
      <c r="Z1146" s="12">
        <v>0</v>
      </c>
    </row>
    <row r="1147" spans="26:26">
      <c r="Z1147" s="12">
        <v>0</v>
      </c>
    </row>
    <row r="1148" spans="26:26">
      <c r="Z1148" s="12">
        <v>0</v>
      </c>
    </row>
    <row r="1149" spans="26:26">
      <c r="Z1149" s="12">
        <v>0</v>
      </c>
    </row>
    <row r="1150" spans="26:26">
      <c r="Z1150" s="12">
        <v>0</v>
      </c>
    </row>
    <row r="1151" spans="26:26">
      <c r="Z1151" s="12">
        <v>0</v>
      </c>
    </row>
    <row r="1152" spans="26:26">
      <c r="Z1152" s="12">
        <v>0</v>
      </c>
    </row>
    <row r="1153" spans="26:26">
      <c r="Z1153" s="12">
        <v>0</v>
      </c>
    </row>
    <row r="1154" spans="26:26">
      <c r="Z1154" s="12">
        <v>0</v>
      </c>
    </row>
    <row r="1155" spans="26:26">
      <c r="Z1155" s="12">
        <v>0</v>
      </c>
    </row>
    <row r="1156" spans="26:26">
      <c r="Z1156" s="12">
        <v>0</v>
      </c>
    </row>
    <row r="1157" spans="26:26">
      <c r="Z1157" s="12">
        <v>0</v>
      </c>
    </row>
    <row r="1158" spans="26:26">
      <c r="Z1158" s="12">
        <v>0</v>
      </c>
    </row>
    <row r="1159" spans="26:26">
      <c r="Z1159" s="12">
        <v>0</v>
      </c>
    </row>
    <row r="1160" spans="26:26">
      <c r="Z1160" s="12">
        <v>0</v>
      </c>
    </row>
    <row r="1161" spans="26:26">
      <c r="Z1161" s="12">
        <v>0</v>
      </c>
    </row>
    <row r="1162" spans="26:26">
      <c r="Z1162" s="12">
        <v>0</v>
      </c>
    </row>
    <row r="1163" spans="26:26">
      <c r="Z1163" s="12">
        <v>0</v>
      </c>
    </row>
    <row r="1164" spans="26:26">
      <c r="Z1164" s="12">
        <v>0</v>
      </c>
    </row>
    <row r="1165" spans="26:26">
      <c r="Z1165" s="12">
        <v>0</v>
      </c>
    </row>
    <row r="1166" spans="26:26">
      <c r="Z1166" s="12">
        <v>0</v>
      </c>
    </row>
    <row r="1167" spans="26:26">
      <c r="Z1167" s="12">
        <v>0</v>
      </c>
    </row>
    <row r="1168" spans="26:26">
      <c r="Z1168" s="12">
        <v>0</v>
      </c>
    </row>
    <row r="1169" spans="26:26">
      <c r="Z1169" s="12">
        <v>0</v>
      </c>
    </row>
    <row r="1170" spans="26:26">
      <c r="Z1170" s="12">
        <v>0</v>
      </c>
    </row>
    <row r="1171" spans="26:26">
      <c r="Z1171" s="12">
        <v>0</v>
      </c>
    </row>
    <row r="1172" spans="26:26">
      <c r="Z1172" s="12">
        <v>0</v>
      </c>
    </row>
    <row r="1173" spans="26:26">
      <c r="Z1173" s="12">
        <v>0</v>
      </c>
    </row>
    <row r="1174" spans="26:26">
      <c r="Z1174" s="12">
        <v>0</v>
      </c>
    </row>
    <row r="1175" spans="26:26">
      <c r="Z1175" s="12">
        <v>0</v>
      </c>
    </row>
    <row r="1176" spans="26:26">
      <c r="Z1176" s="12">
        <v>0</v>
      </c>
    </row>
    <row r="1177" spans="26:26">
      <c r="Z1177" s="12">
        <v>0</v>
      </c>
    </row>
    <row r="1178" spans="26:26">
      <c r="Z1178" s="12">
        <v>0</v>
      </c>
    </row>
    <row r="1179" spans="26:26">
      <c r="Z1179" s="12">
        <v>0</v>
      </c>
    </row>
    <row r="1180" spans="26:26">
      <c r="Z1180" s="12">
        <v>0</v>
      </c>
    </row>
    <row r="1181" spans="26:26">
      <c r="Z1181" s="12">
        <v>0</v>
      </c>
    </row>
    <row r="1182" spans="26:26">
      <c r="Z1182" s="12">
        <v>0</v>
      </c>
    </row>
    <row r="1183" spans="26:26">
      <c r="Z1183" s="12">
        <v>0</v>
      </c>
    </row>
    <row r="1184" spans="26:26">
      <c r="Z1184" s="12">
        <v>0</v>
      </c>
    </row>
    <row r="1185" spans="26:26">
      <c r="Z1185" s="12">
        <v>0</v>
      </c>
    </row>
    <row r="1186" spans="26:26">
      <c r="Z1186" s="12">
        <v>0</v>
      </c>
    </row>
    <row r="1187" spans="26:26">
      <c r="Z1187" s="12">
        <v>0</v>
      </c>
    </row>
    <row r="1188" spans="26:26">
      <c r="Z1188" s="12">
        <v>0</v>
      </c>
    </row>
    <row r="1189" spans="26:26">
      <c r="Z1189" s="12">
        <v>0</v>
      </c>
    </row>
    <row r="1190" spans="26:26">
      <c r="Z1190" s="12">
        <v>0</v>
      </c>
    </row>
    <row r="1191" spans="26:26">
      <c r="Z1191" s="12">
        <v>0</v>
      </c>
    </row>
    <row r="1192" spans="26:26">
      <c r="Z1192" s="12">
        <v>0</v>
      </c>
    </row>
    <row r="1193" spans="26:26">
      <c r="Z1193" s="12">
        <v>0</v>
      </c>
    </row>
    <row r="1194" spans="26:26">
      <c r="Z1194" s="12">
        <v>0</v>
      </c>
    </row>
    <row r="1195" spans="26:26">
      <c r="Z1195" s="12">
        <v>0</v>
      </c>
    </row>
    <row r="1196" spans="26:26">
      <c r="Z1196" s="12">
        <v>0</v>
      </c>
    </row>
    <row r="1197" spans="26:26">
      <c r="Z1197" s="12">
        <v>0</v>
      </c>
    </row>
    <row r="1198" spans="26:26">
      <c r="Z1198" s="12">
        <v>0</v>
      </c>
    </row>
    <row r="1199" spans="26:26">
      <c r="Z1199" s="12">
        <v>0</v>
      </c>
    </row>
    <row r="1200" spans="26:26">
      <c r="Z1200" s="12">
        <v>0</v>
      </c>
    </row>
    <row r="1201" spans="26:26">
      <c r="Z1201" s="12">
        <v>0</v>
      </c>
    </row>
    <row r="1202" spans="26:26">
      <c r="Z1202" s="12">
        <v>0</v>
      </c>
    </row>
    <row r="1203" spans="26:26">
      <c r="Z1203" s="12">
        <v>0</v>
      </c>
    </row>
    <row r="1204" spans="26:26">
      <c r="Z1204" s="12">
        <v>0</v>
      </c>
    </row>
    <row r="1205" spans="26:26">
      <c r="Z1205" s="12">
        <v>0</v>
      </c>
    </row>
    <row r="1206" spans="26:26">
      <c r="Z1206" s="12">
        <v>0</v>
      </c>
    </row>
    <row r="1207" spans="26:26">
      <c r="Z1207" s="12">
        <v>0</v>
      </c>
    </row>
    <row r="1208" spans="26:26">
      <c r="Z1208" s="12">
        <v>0</v>
      </c>
    </row>
    <row r="1209" spans="26:26">
      <c r="Z1209" s="12">
        <v>0</v>
      </c>
    </row>
    <row r="1210" spans="26:26">
      <c r="Z1210" s="12">
        <v>0</v>
      </c>
    </row>
    <row r="1211" spans="26:26">
      <c r="Z1211" s="12">
        <v>0</v>
      </c>
    </row>
    <row r="1212" spans="26:26">
      <c r="Z1212" s="12">
        <v>0</v>
      </c>
    </row>
    <row r="1213" spans="26:26">
      <c r="Z1213" s="12">
        <v>0</v>
      </c>
    </row>
    <row r="1214" spans="26:26">
      <c r="Z1214" s="12">
        <v>0</v>
      </c>
    </row>
    <row r="1215" spans="26:26">
      <c r="Z1215" s="12">
        <v>0</v>
      </c>
    </row>
    <row r="1216" spans="26:26">
      <c r="Z1216" s="12">
        <v>0</v>
      </c>
    </row>
    <row r="1217" spans="26:26">
      <c r="Z1217" s="12">
        <v>0</v>
      </c>
    </row>
    <row r="1218" spans="26:26">
      <c r="Z1218" s="12">
        <v>0</v>
      </c>
    </row>
    <row r="1219" spans="26:26">
      <c r="Z1219" s="12">
        <v>0</v>
      </c>
    </row>
    <row r="1220" spans="26:26">
      <c r="Z1220" s="12">
        <v>0</v>
      </c>
    </row>
    <row r="1221" spans="26:26">
      <c r="Z1221" s="12">
        <v>0</v>
      </c>
    </row>
    <row r="1222" spans="26:26">
      <c r="Z1222" s="12">
        <v>0</v>
      </c>
    </row>
    <row r="1223" spans="26:26">
      <c r="Z1223" s="12">
        <v>0</v>
      </c>
    </row>
    <row r="1224" spans="26:26">
      <c r="Z1224" s="12">
        <v>0</v>
      </c>
    </row>
    <row r="1225" spans="26:26">
      <c r="Z1225" s="12">
        <v>0</v>
      </c>
    </row>
    <row r="1226" spans="26:26">
      <c r="Z1226" s="12">
        <v>0</v>
      </c>
    </row>
    <row r="1227" spans="26:26">
      <c r="Z1227" s="12">
        <v>0</v>
      </c>
    </row>
    <row r="1228" spans="26:26">
      <c r="Z1228" s="12">
        <v>0</v>
      </c>
    </row>
    <row r="1229" spans="26:26">
      <c r="Z1229" s="12">
        <v>0</v>
      </c>
    </row>
    <row r="1230" spans="26:26">
      <c r="Z1230" s="12">
        <v>0</v>
      </c>
    </row>
    <row r="1231" spans="26:26">
      <c r="Z1231" s="12">
        <v>0</v>
      </c>
    </row>
    <row r="1232" spans="26:26">
      <c r="Z1232" s="12">
        <v>0</v>
      </c>
    </row>
    <row r="1233" spans="26:26">
      <c r="Z1233" s="12">
        <v>0</v>
      </c>
    </row>
    <row r="1234" spans="26:26">
      <c r="Z1234" s="12">
        <v>0</v>
      </c>
    </row>
    <row r="1235" spans="26:26">
      <c r="Z1235" s="12">
        <v>0</v>
      </c>
    </row>
    <row r="1236" spans="26:26">
      <c r="Z1236" s="12">
        <v>0</v>
      </c>
    </row>
    <row r="1237" spans="26:26">
      <c r="Z1237" s="12">
        <v>0</v>
      </c>
    </row>
    <row r="1238" spans="26:26">
      <c r="Z1238" s="12">
        <v>0</v>
      </c>
    </row>
    <row r="1239" spans="26:26">
      <c r="Z1239" s="12">
        <v>0</v>
      </c>
    </row>
    <row r="1240" spans="26:26">
      <c r="Z1240" s="12">
        <v>0</v>
      </c>
    </row>
    <row r="1241" spans="26:26">
      <c r="Z1241" s="12">
        <v>0</v>
      </c>
    </row>
    <row r="1242" spans="26:26">
      <c r="Z1242" s="12">
        <v>0</v>
      </c>
    </row>
    <row r="1243" spans="26:26">
      <c r="Z1243" s="12">
        <v>0</v>
      </c>
    </row>
    <row r="1244" spans="26:26">
      <c r="Z1244" s="12">
        <v>0</v>
      </c>
    </row>
    <row r="1245" spans="26:26">
      <c r="Z1245" s="12">
        <v>0</v>
      </c>
    </row>
    <row r="1246" spans="26:26">
      <c r="Z1246" s="12">
        <v>0</v>
      </c>
    </row>
    <row r="1247" spans="26:26">
      <c r="Z1247" s="12">
        <v>0</v>
      </c>
    </row>
    <row r="1248" spans="26:26">
      <c r="Z1248" s="12">
        <v>0</v>
      </c>
    </row>
    <row r="1249" spans="26:26">
      <c r="Z1249" s="12">
        <v>0</v>
      </c>
    </row>
    <row r="1250" spans="26:26">
      <c r="Z1250" s="12">
        <v>0</v>
      </c>
    </row>
    <row r="1251" spans="26:26">
      <c r="Z1251" s="12">
        <v>0</v>
      </c>
    </row>
    <row r="1252" spans="26:26">
      <c r="Z1252" s="12">
        <v>0</v>
      </c>
    </row>
    <row r="1253" spans="26:26">
      <c r="Z1253" s="12">
        <v>0</v>
      </c>
    </row>
    <row r="1254" spans="26:26">
      <c r="Z1254" s="12">
        <v>0</v>
      </c>
    </row>
    <row r="1255" spans="26:26">
      <c r="Z1255" s="12">
        <v>0</v>
      </c>
    </row>
    <row r="1256" spans="26:26">
      <c r="Z1256" s="12">
        <v>0</v>
      </c>
    </row>
    <row r="1257" spans="26:26">
      <c r="Z1257" s="12">
        <v>0</v>
      </c>
    </row>
    <row r="1258" spans="26:26">
      <c r="Z1258" s="12">
        <v>0</v>
      </c>
    </row>
    <row r="1259" spans="26:26">
      <c r="Z1259" s="12">
        <v>0</v>
      </c>
    </row>
    <row r="1260" spans="26:26">
      <c r="Z1260" s="12">
        <v>0</v>
      </c>
    </row>
    <row r="1261" spans="26:26">
      <c r="Z1261" s="12">
        <v>0</v>
      </c>
    </row>
    <row r="1262" spans="26:26">
      <c r="Z1262" s="12">
        <v>0</v>
      </c>
    </row>
    <row r="1263" spans="26:26">
      <c r="Z1263" s="12">
        <v>0</v>
      </c>
    </row>
    <row r="1264" spans="26:26">
      <c r="Z1264" s="12">
        <v>0</v>
      </c>
    </row>
    <row r="1265" spans="26:26">
      <c r="Z1265" s="12">
        <v>0</v>
      </c>
    </row>
    <row r="1266" spans="26:26">
      <c r="Z1266" s="12">
        <v>0</v>
      </c>
    </row>
    <row r="1267" spans="26:26">
      <c r="Z1267" s="12">
        <v>0</v>
      </c>
    </row>
    <row r="1268" spans="26:26">
      <c r="Z1268" s="12">
        <v>0</v>
      </c>
    </row>
    <row r="1269" spans="26:26">
      <c r="Z1269" s="12">
        <v>0</v>
      </c>
    </row>
    <row r="1270" spans="26:26">
      <c r="Z1270" s="12">
        <v>0</v>
      </c>
    </row>
    <row r="1271" spans="26:26">
      <c r="Z1271" s="12">
        <v>0</v>
      </c>
    </row>
    <row r="1272" spans="26:26">
      <c r="Z1272" s="12">
        <v>0</v>
      </c>
    </row>
    <row r="1273" spans="26:26">
      <c r="Z1273" s="12">
        <v>0</v>
      </c>
    </row>
    <row r="1274" spans="26:26">
      <c r="Z1274" s="12">
        <v>0</v>
      </c>
    </row>
    <row r="1275" spans="26:26">
      <c r="Z1275" s="12">
        <v>0</v>
      </c>
    </row>
    <row r="1276" spans="26:26">
      <c r="Z1276" s="12">
        <v>0</v>
      </c>
    </row>
    <row r="1277" spans="26:26">
      <c r="Z1277" s="12">
        <v>0</v>
      </c>
    </row>
    <row r="1278" spans="26:26">
      <c r="Z1278" s="12">
        <v>0</v>
      </c>
    </row>
    <row r="1279" spans="26:26">
      <c r="Z1279" s="12">
        <v>0</v>
      </c>
    </row>
    <row r="1280" spans="26:26">
      <c r="Z1280" s="12">
        <v>0</v>
      </c>
    </row>
    <row r="1281" spans="26:26">
      <c r="Z1281" s="12">
        <v>0</v>
      </c>
    </row>
    <row r="1282" spans="26:26">
      <c r="Z1282" s="12">
        <v>0</v>
      </c>
    </row>
    <row r="1283" spans="26:26">
      <c r="Z1283" s="12">
        <v>0</v>
      </c>
    </row>
    <row r="1284" spans="26:26">
      <c r="Z1284" s="12">
        <v>0</v>
      </c>
    </row>
    <row r="1285" spans="26:26">
      <c r="Z1285" s="12">
        <v>0</v>
      </c>
    </row>
    <row r="1286" spans="26:26">
      <c r="Z1286" s="12">
        <v>0</v>
      </c>
    </row>
    <row r="1287" spans="26:26">
      <c r="Z1287" s="12">
        <v>0</v>
      </c>
    </row>
    <row r="1288" spans="26:26">
      <c r="Z1288" s="12">
        <v>0</v>
      </c>
    </row>
    <row r="1289" spans="26:26">
      <c r="Z1289" s="12">
        <v>0</v>
      </c>
    </row>
    <row r="1290" spans="26:26">
      <c r="Z1290" s="12">
        <v>0</v>
      </c>
    </row>
    <row r="1291" spans="26:26">
      <c r="Z1291" s="12">
        <v>0</v>
      </c>
    </row>
    <row r="1292" spans="26:26">
      <c r="Z1292" s="12">
        <v>0</v>
      </c>
    </row>
    <row r="1293" spans="26:26">
      <c r="Z1293" s="12">
        <v>0</v>
      </c>
    </row>
    <row r="1294" spans="26:26">
      <c r="Z1294" s="12">
        <v>0</v>
      </c>
    </row>
    <row r="1295" spans="26:26">
      <c r="Z1295" s="12">
        <v>0</v>
      </c>
    </row>
    <row r="1296" spans="26:26">
      <c r="Z1296" s="12">
        <v>0</v>
      </c>
    </row>
    <row r="1297" spans="26:26">
      <c r="Z1297" s="12">
        <v>0</v>
      </c>
    </row>
    <row r="1298" spans="26:26">
      <c r="Z1298" s="12">
        <v>0</v>
      </c>
    </row>
    <row r="1299" spans="26:26">
      <c r="Z1299" s="12">
        <v>0</v>
      </c>
    </row>
    <row r="1300" spans="26:26">
      <c r="Z1300" s="12">
        <v>0</v>
      </c>
    </row>
    <row r="1301" spans="26:26">
      <c r="Z1301" s="12">
        <v>0</v>
      </c>
    </row>
    <row r="1302" spans="26:26">
      <c r="Z1302" s="12">
        <v>0</v>
      </c>
    </row>
    <row r="1303" spans="26:26">
      <c r="Z1303" s="12">
        <v>0</v>
      </c>
    </row>
    <row r="1304" spans="26:26">
      <c r="Z1304" s="12">
        <v>0</v>
      </c>
    </row>
    <row r="1305" spans="26:26">
      <c r="Z1305" s="12">
        <v>0</v>
      </c>
    </row>
    <row r="1306" spans="26:26">
      <c r="Z1306" s="12">
        <v>0</v>
      </c>
    </row>
    <row r="1307" spans="26:26">
      <c r="Z1307" s="12">
        <v>0</v>
      </c>
    </row>
    <row r="1308" spans="26:26">
      <c r="Z1308" s="12">
        <v>0</v>
      </c>
    </row>
    <row r="1309" spans="26:26">
      <c r="Z1309" s="12">
        <v>0</v>
      </c>
    </row>
    <row r="1310" spans="26:26">
      <c r="Z1310" s="12">
        <v>0</v>
      </c>
    </row>
    <row r="1311" spans="26:26">
      <c r="Z1311" s="12">
        <v>0</v>
      </c>
    </row>
    <row r="1312" spans="26:26">
      <c r="Z1312" s="12">
        <v>0</v>
      </c>
    </row>
    <row r="1313" spans="26:26">
      <c r="Z1313" s="12">
        <v>0</v>
      </c>
    </row>
    <row r="1314" spans="26:26">
      <c r="Z1314" s="12">
        <v>0</v>
      </c>
    </row>
    <row r="1315" spans="26:26">
      <c r="Z1315" s="12">
        <v>0</v>
      </c>
    </row>
    <row r="1316" spans="26:26">
      <c r="Z1316" s="12">
        <v>0</v>
      </c>
    </row>
    <row r="1317" spans="26:26">
      <c r="Z1317" s="12">
        <v>0</v>
      </c>
    </row>
    <row r="1318" spans="26:26">
      <c r="Z1318" s="12">
        <v>0</v>
      </c>
    </row>
    <row r="1319" spans="26:26">
      <c r="Z1319" s="12">
        <v>0</v>
      </c>
    </row>
    <row r="1320" spans="26:26">
      <c r="Z1320" s="12">
        <v>0</v>
      </c>
    </row>
    <row r="1321" spans="26:26">
      <c r="Z1321" s="12">
        <v>0</v>
      </c>
    </row>
    <row r="1322" spans="26:26">
      <c r="Z1322" s="12">
        <v>0</v>
      </c>
    </row>
    <row r="1323" spans="26:26">
      <c r="Z1323" s="12">
        <v>0</v>
      </c>
    </row>
    <row r="1324" spans="26:26">
      <c r="Z1324" s="12">
        <v>0</v>
      </c>
    </row>
    <row r="1325" spans="26:26">
      <c r="Z1325" s="12">
        <v>0</v>
      </c>
    </row>
    <row r="1326" spans="26:26">
      <c r="Z1326" s="12">
        <v>0</v>
      </c>
    </row>
    <row r="1327" spans="26:26">
      <c r="Z1327" s="12">
        <v>0</v>
      </c>
    </row>
    <row r="1328" spans="26:26">
      <c r="Z1328" s="12">
        <v>0</v>
      </c>
    </row>
    <row r="1329" spans="26:26">
      <c r="Z1329" s="12">
        <v>0</v>
      </c>
    </row>
    <row r="1330" spans="26:26">
      <c r="Z1330" s="12">
        <v>0</v>
      </c>
    </row>
    <row r="1331" spans="26:26">
      <c r="Z1331" s="12">
        <v>0</v>
      </c>
    </row>
    <row r="1332" spans="26:26">
      <c r="Z1332" s="12">
        <v>0</v>
      </c>
    </row>
    <row r="1333" spans="26:26">
      <c r="Z1333" s="12">
        <v>0</v>
      </c>
    </row>
    <row r="1334" spans="26:26">
      <c r="Z1334" s="12">
        <v>0</v>
      </c>
    </row>
    <row r="1335" spans="26:26">
      <c r="Z1335" s="12">
        <v>0</v>
      </c>
    </row>
    <row r="1336" spans="26:26">
      <c r="Z1336" s="12">
        <v>0</v>
      </c>
    </row>
    <row r="1337" spans="26:26">
      <c r="Z1337" s="12">
        <v>0</v>
      </c>
    </row>
    <row r="1338" spans="26:26">
      <c r="Z1338" s="12">
        <v>0</v>
      </c>
    </row>
    <row r="1339" spans="26:26">
      <c r="Z1339" s="12">
        <v>0</v>
      </c>
    </row>
    <row r="1340" spans="26:26">
      <c r="Z1340" s="12">
        <v>0</v>
      </c>
    </row>
    <row r="1341" spans="26:26">
      <c r="Z1341" s="12">
        <v>0</v>
      </c>
    </row>
    <row r="1342" spans="26:26">
      <c r="Z1342" s="12">
        <v>0</v>
      </c>
    </row>
    <row r="1343" spans="26:26">
      <c r="Z1343" s="12">
        <v>0</v>
      </c>
    </row>
    <row r="1344" spans="26:26">
      <c r="Z1344" s="12">
        <v>0</v>
      </c>
    </row>
    <row r="1345" spans="26:26">
      <c r="Z1345" s="12">
        <v>0</v>
      </c>
    </row>
    <row r="1346" spans="26:26">
      <c r="Z1346" s="12">
        <v>0</v>
      </c>
    </row>
    <row r="1347" spans="26:26">
      <c r="Z1347" s="12">
        <v>0</v>
      </c>
    </row>
    <row r="1348" spans="26:26">
      <c r="Z1348" s="12">
        <v>0</v>
      </c>
    </row>
    <row r="1349" spans="26:26">
      <c r="Z1349" s="12">
        <v>0</v>
      </c>
    </row>
    <row r="1350" spans="26:26">
      <c r="Z1350" s="12">
        <v>0</v>
      </c>
    </row>
    <row r="1351" spans="26:26">
      <c r="Z1351" s="12">
        <v>0</v>
      </c>
    </row>
    <row r="1352" spans="26:26">
      <c r="Z1352" s="12">
        <v>0</v>
      </c>
    </row>
    <row r="1353" spans="26:26">
      <c r="Z1353" s="12">
        <v>0</v>
      </c>
    </row>
    <row r="1354" spans="26:26">
      <c r="Z1354" s="12">
        <v>0</v>
      </c>
    </row>
    <row r="1355" spans="26:26">
      <c r="Z1355" s="12">
        <v>0</v>
      </c>
    </row>
    <row r="1356" spans="26:26">
      <c r="Z1356" s="12">
        <v>0</v>
      </c>
    </row>
    <row r="1357" spans="26:26">
      <c r="Z1357" s="12">
        <v>0</v>
      </c>
    </row>
    <row r="1358" spans="26:26">
      <c r="Z1358" s="12">
        <v>0</v>
      </c>
    </row>
    <row r="1359" spans="26:26">
      <c r="Z1359" s="12">
        <v>0</v>
      </c>
    </row>
    <row r="1360" spans="26:26">
      <c r="Z1360" s="12">
        <v>0</v>
      </c>
    </row>
    <row r="1361" spans="26:26">
      <c r="Z1361" s="12">
        <v>0</v>
      </c>
    </row>
    <row r="1362" spans="26:26">
      <c r="Z1362" s="12">
        <v>0</v>
      </c>
    </row>
    <row r="1363" spans="26:26">
      <c r="Z1363" s="12">
        <v>0</v>
      </c>
    </row>
    <row r="1364" spans="26:26">
      <c r="Z1364" s="12">
        <v>0</v>
      </c>
    </row>
    <row r="1365" spans="26:26">
      <c r="Z1365" s="12">
        <v>0</v>
      </c>
    </row>
    <row r="1366" spans="26:26">
      <c r="Z1366" s="12">
        <v>0</v>
      </c>
    </row>
    <row r="1367" spans="26:26">
      <c r="Z1367" s="12">
        <v>0</v>
      </c>
    </row>
    <row r="1368" spans="26:26">
      <c r="Z1368" s="12">
        <v>0</v>
      </c>
    </row>
    <row r="1369" spans="26:26">
      <c r="Z1369" s="12">
        <v>0</v>
      </c>
    </row>
    <row r="1370" spans="26:26">
      <c r="Z1370" s="12">
        <v>0</v>
      </c>
    </row>
    <row r="1371" spans="26:26">
      <c r="Z1371" s="12">
        <v>0</v>
      </c>
    </row>
    <row r="1372" spans="26:26">
      <c r="Z1372" s="12">
        <v>0</v>
      </c>
    </row>
    <row r="1373" spans="26:26">
      <c r="Z1373" s="12">
        <v>0</v>
      </c>
    </row>
    <row r="1374" spans="26:26">
      <c r="Z1374" s="12">
        <v>0</v>
      </c>
    </row>
    <row r="1375" spans="26:26">
      <c r="Z1375" s="12">
        <v>0</v>
      </c>
    </row>
    <row r="1376" spans="26:26">
      <c r="Z1376" s="12">
        <v>0</v>
      </c>
    </row>
    <row r="1377" spans="26:26">
      <c r="Z1377" s="12">
        <v>0</v>
      </c>
    </row>
    <row r="1378" spans="26:26">
      <c r="Z1378" s="12">
        <v>0</v>
      </c>
    </row>
    <row r="1379" spans="26:26">
      <c r="Z1379" s="12">
        <v>0</v>
      </c>
    </row>
    <row r="1380" spans="26:26">
      <c r="Z1380" s="12">
        <v>0</v>
      </c>
    </row>
    <row r="1381" spans="26:26">
      <c r="Z1381" s="12">
        <v>0</v>
      </c>
    </row>
    <row r="1382" spans="26:26">
      <c r="Z1382" s="12">
        <v>0</v>
      </c>
    </row>
    <row r="1383" spans="26:26">
      <c r="Z1383" s="12">
        <v>0</v>
      </c>
    </row>
    <row r="1384" spans="26:26">
      <c r="Z1384" s="12">
        <v>0</v>
      </c>
    </row>
    <row r="1385" spans="26:26">
      <c r="Z1385" s="12">
        <v>0</v>
      </c>
    </row>
    <row r="1386" spans="26:26">
      <c r="Z1386" s="12">
        <v>0</v>
      </c>
    </row>
    <row r="1387" spans="26:26">
      <c r="Z1387" s="12">
        <v>0</v>
      </c>
    </row>
    <row r="1388" spans="26:26">
      <c r="Z1388" s="12">
        <v>0</v>
      </c>
    </row>
    <row r="1389" spans="26:26">
      <c r="Z1389" s="12">
        <v>0</v>
      </c>
    </row>
    <row r="1390" spans="26:26">
      <c r="Z1390" s="12">
        <v>0</v>
      </c>
    </row>
    <row r="1391" spans="26:26">
      <c r="Z1391" s="12">
        <v>0</v>
      </c>
    </row>
    <row r="1392" spans="26:26">
      <c r="Z1392" s="12">
        <v>0</v>
      </c>
    </row>
    <row r="1393" spans="26:26">
      <c r="Z1393" s="12">
        <v>0</v>
      </c>
    </row>
    <row r="1394" spans="26:26">
      <c r="Z1394" s="12">
        <v>0</v>
      </c>
    </row>
    <row r="1395" spans="26:26">
      <c r="Z1395" s="12">
        <v>0</v>
      </c>
    </row>
    <row r="1396" spans="26:26">
      <c r="Z1396" s="12">
        <v>0</v>
      </c>
    </row>
    <row r="1397" spans="26:26">
      <c r="Z1397" s="12">
        <v>0</v>
      </c>
    </row>
    <row r="1398" spans="26:26">
      <c r="Z1398" s="12">
        <v>0</v>
      </c>
    </row>
    <row r="1399" spans="26:26">
      <c r="Z1399" s="12">
        <v>0</v>
      </c>
    </row>
    <row r="1400" spans="26:26">
      <c r="Z1400" s="12">
        <v>0</v>
      </c>
    </row>
    <row r="1401" spans="26:26">
      <c r="Z1401" s="12">
        <v>0</v>
      </c>
    </row>
    <row r="1402" spans="26:26">
      <c r="Z1402" s="12">
        <v>0</v>
      </c>
    </row>
    <row r="1403" spans="26:26">
      <c r="Z1403" s="12">
        <v>0</v>
      </c>
    </row>
    <row r="1404" spans="26:26">
      <c r="Z1404" s="12">
        <v>0</v>
      </c>
    </row>
    <row r="1405" spans="26:26">
      <c r="Z1405" s="12">
        <v>0</v>
      </c>
    </row>
    <row r="1406" spans="26:26">
      <c r="Z1406" s="12">
        <v>0</v>
      </c>
    </row>
    <row r="1407" spans="26:26">
      <c r="Z1407" s="12">
        <v>0</v>
      </c>
    </row>
    <row r="1408" spans="26:26">
      <c r="Z1408" s="12">
        <v>0</v>
      </c>
    </row>
    <row r="1409" spans="26:26">
      <c r="Z1409" s="12">
        <v>0</v>
      </c>
    </row>
    <row r="1410" spans="26:26">
      <c r="Z1410" s="12">
        <v>0</v>
      </c>
    </row>
    <row r="1411" spans="26:26">
      <c r="Z1411" s="12">
        <v>0</v>
      </c>
    </row>
    <row r="1412" spans="26:26">
      <c r="Z1412" s="12">
        <v>0</v>
      </c>
    </row>
    <row r="1413" spans="26:26">
      <c r="Z1413" s="12">
        <v>0</v>
      </c>
    </row>
    <row r="1414" spans="26:26">
      <c r="Z1414" s="12">
        <v>0</v>
      </c>
    </row>
    <row r="1415" spans="26:26">
      <c r="Z1415" s="12">
        <v>0</v>
      </c>
    </row>
    <row r="1416" spans="26:26">
      <c r="Z1416" s="12">
        <v>0</v>
      </c>
    </row>
    <row r="1417" spans="26:26">
      <c r="Z1417" s="12">
        <v>0</v>
      </c>
    </row>
    <row r="1418" spans="26:26">
      <c r="Z1418" s="12">
        <v>0</v>
      </c>
    </row>
    <row r="1419" spans="26:26">
      <c r="Z1419" s="12">
        <v>0</v>
      </c>
    </row>
    <row r="1420" spans="26:26">
      <c r="Z1420" s="12">
        <v>0</v>
      </c>
    </row>
    <row r="1421" spans="26:26">
      <c r="Z1421" s="12">
        <v>0</v>
      </c>
    </row>
    <row r="1422" spans="26:26">
      <c r="Z1422" s="12">
        <v>0</v>
      </c>
    </row>
    <row r="1423" spans="26:26">
      <c r="Z1423" s="12">
        <v>0</v>
      </c>
    </row>
    <row r="1424" spans="26:26">
      <c r="Z1424" s="12">
        <v>0</v>
      </c>
    </row>
    <row r="1425" spans="26:26">
      <c r="Z1425" s="12">
        <v>0</v>
      </c>
    </row>
    <row r="1426" spans="26:26">
      <c r="Z1426" s="12">
        <v>0</v>
      </c>
    </row>
    <row r="1427" spans="26:26">
      <c r="Z1427" s="12">
        <v>0</v>
      </c>
    </row>
    <row r="1428" spans="26:26">
      <c r="Z1428" s="12">
        <v>0</v>
      </c>
    </row>
    <row r="1429" spans="26:26">
      <c r="Z1429" s="12">
        <v>0</v>
      </c>
    </row>
    <row r="1430" spans="26:26">
      <c r="Z1430" s="12">
        <v>0</v>
      </c>
    </row>
    <row r="1431" spans="26:26">
      <c r="Z1431" s="12">
        <v>0</v>
      </c>
    </row>
    <row r="1432" spans="26:26">
      <c r="Z1432" s="12">
        <v>0</v>
      </c>
    </row>
    <row r="1433" spans="26:26">
      <c r="Z1433" s="12">
        <v>0</v>
      </c>
    </row>
    <row r="1434" spans="26:26">
      <c r="Z1434" s="12">
        <v>0</v>
      </c>
    </row>
    <row r="1435" spans="26:26">
      <c r="Z1435" s="12">
        <v>0</v>
      </c>
    </row>
    <row r="1436" spans="26:26">
      <c r="Z1436" s="12">
        <v>0</v>
      </c>
    </row>
    <row r="1437" spans="26:26">
      <c r="Z1437" s="12">
        <v>0</v>
      </c>
    </row>
    <row r="1438" spans="26:26">
      <c r="Z1438" s="12">
        <v>0</v>
      </c>
    </row>
    <row r="1439" spans="26:26">
      <c r="Z1439" s="12">
        <v>0</v>
      </c>
    </row>
    <row r="1440" spans="26:26">
      <c r="Z1440" s="12">
        <v>0</v>
      </c>
    </row>
    <row r="1441" spans="26:26">
      <c r="Z1441" s="12">
        <v>0</v>
      </c>
    </row>
    <row r="1442" spans="26:26">
      <c r="Z1442" s="12">
        <v>0</v>
      </c>
    </row>
    <row r="1443" spans="26:26">
      <c r="Z1443" s="12">
        <v>0</v>
      </c>
    </row>
    <row r="1444" spans="26:26">
      <c r="Z1444" s="12">
        <v>0</v>
      </c>
    </row>
    <row r="1445" spans="26:26">
      <c r="Z1445" s="12">
        <v>0</v>
      </c>
    </row>
    <row r="1446" spans="26:26">
      <c r="Z1446" s="12">
        <v>0</v>
      </c>
    </row>
    <row r="1447" spans="26:26">
      <c r="Z1447" s="12">
        <v>0</v>
      </c>
    </row>
    <row r="1448" spans="26:26">
      <c r="Z1448" s="12">
        <v>0</v>
      </c>
    </row>
    <row r="1449" spans="26:26">
      <c r="Z1449" s="12">
        <v>0</v>
      </c>
    </row>
    <row r="1450" spans="26:26">
      <c r="Z1450" s="12">
        <v>0</v>
      </c>
    </row>
    <row r="1451" spans="26:26">
      <c r="Z1451" s="12">
        <v>0</v>
      </c>
    </row>
    <row r="1452" spans="26:26">
      <c r="Z1452" s="12">
        <v>0</v>
      </c>
    </row>
    <row r="1453" spans="26:26">
      <c r="Z1453" s="12">
        <v>0</v>
      </c>
    </row>
    <row r="1454" spans="26:26">
      <c r="Z1454" s="12">
        <v>0</v>
      </c>
    </row>
    <row r="1455" spans="26:26">
      <c r="Z1455" s="12">
        <v>0</v>
      </c>
    </row>
    <row r="1456" spans="26:26">
      <c r="Z1456" s="12">
        <v>0</v>
      </c>
    </row>
    <row r="1457" spans="26:26">
      <c r="Z1457" s="12">
        <v>0</v>
      </c>
    </row>
    <row r="1458" spans="26:26">
      <c r="Z1458" s="12">
        <v>0</v>
      </c>
    </row>
    <row r="1459" spans="26:26">
      <c r="Z1459" s="12">
        <v>0</v>
      </c>
    </row>
    <row r="1460" spans="26:26">
      <c r="Z1460" s="12">
        <v>0</v>
      </c>
    </row>
    <row r="1461" spans="26:26">
      <c r="Z1461" s="12">
        <v>0</v>
      </c>
    </row>
    <row r="1462" spans="26:26">
      <c r="Z1462" s="12">
        <v>0</v>
      </c>
    </row>
    <row r="1463" spans="26:26">
      <c r="Z1463" s="12">
        <v>0</v>
      </c>
    </row>
    <row r="1464" spans="26:26">
      <c r="Z1464" s="12">
        <v>0</v>
      </c>
    </row>
    <row r="1465" spans="26:26">
      <c r="Z1465" s="12">
        <v>0</v>
      </c>
    </row>
    <row r="1466" spans="26:26">
      <c r="Z1466" s="12">
        <v>0</v>
      </c>
    </row>
    <row r="1467" spans="26:26">
      <c r="Z1467" s="12">
        <v>0</v>
      </c>
    </row>
    <row r="1468" spans="26:26">
      <c r="Z1468" s="12">
        <v>0</v>
      </c>
    </row>
    <row r="1469" spans="26:26">
      <c r="Z1469" s="12">
        <v>0</v>
      </c>
    </row>
    <row r="1470" spans="26:26">
      <c r="Z1470" s="12">
        <v>0</v>
      </c>
    </row>
    <row r="1471" spans="26:26">
      <c r="Z1471" s="12">
        <v>0</v>
      </c>
    </row>
    <row r="1472" spans="26:26">
      <c r="Z1472" s="12">
        <v>0</v>
      </c>
    </row>
    <row r="1473" spans="26:26">
      <c r="Z1473" s="12">
        <v>0</v>
      </c>
    </row>
    <row r="1474" spans="26:26">
      <c r="Z1474" s="12">
        <v>0</v>
      </c>
    </row>
    <row r="1475" spans="26:26">
      <c r="Z1475" s="12">
        <v>0</v>
      </c>
    </row>
    <row r="1476" spans="26:26">
      <c r="Z1476" s="12">
        <v>0</v>
      </c>
    </row>
    <row r="1477" spans="26:26">
      <c r="Z1477" s="12">
        <v>0</v>
      </c>
    </row>
    <row r="1478" spans="26:26">
      <c r="Z1478" s="12">
        <v>0</v>
      </c>
    </row>
    <row r="1479" spans="26:26">
      <c r="Z1479" s="12">
        <v>0</v>
      </c>
    </row>
    <row r="1480" spans="26:26">
      <c r="Z1480" s="12">
        <v>0</v>
      </c>
    </row>
    <row r="1481" spans="26:26">
      <c r="Z1481" s="12">
        <v>0</v>
      </c>
    </row>
    <row r="1482" spans="26:26">
      <c r="Z1482" s="12">
        <v>0</v>
      </c>
    </row>
    <row r="1483" spans="26:26">
      <c r="Z1483" s="12">
        <v>0</v>
      </c>
    </row>
    <row r="1484" spans="26:26">
      <c r="Z1484" s="12">
        <v>0</v>
      </c>
    </row>
    <row r="1485" spans="26:26">
      <c r="Z1485" s="12">
        <v>0</v>
      </c>
    </row>
    <row r="1486" spans="26:26">
      <c r="Z1486" s="12">
        <v>0</v>
      </c>
    </row>
    <row r="1487" spans="26:26">
      <c r="Z1487" s="12">
        <v>0</v>
      </c>
    </row>
    <row r="1488" spans="26:26">
      <c r="Z1488" s="12">
        <v>0</v>
      </c>
    </row>
    <row r="1489" spans="26:26">
      <c r="Z1489" s="12">
        <v>0</v>
      </c>
    </row>
    <row r="1490" spans="26:26">
      <c r="Z1490" s="12">
        <v>0</v>
      </c>
    </row>
    <row r="1491" spans="26:26">
      <c r="Z1491" s="12">
        <v>0</v>
      </c>
    </row>
    <row r="1492" spans="26:26">
      <c r="Z1492" s="12">
        <v>0</v>
      </c>
    </row>
    <row r="1493" spans="26:26">
      <c r="Z1493" s="12">
        <v>0</v>
      </c>
    </row>
    <row r="1494" spans="26:26">
      <c r="Z1494" s="12">
        <v>0</v>
      </c>
    </row>
    <row r="1495" spans="26:26">
      <c r="Z1495" s="12">
        <v>0</v>
      </c>
    </row>
    <row r="1496" spans="26:26">
      <c r="Z1496" s="12">
        <v>0</v>
      </c>
    </row>
    <row r="1497" spans="26:26">
      <c r="Z1497" s="12">
        <v>0</v>
      </c>
    </row>
    <row r="1498" spans="26:26">
      <c r="Z1498" s="12">
        <v>0</v>
      </c>
    </row>
    <row r="1499" spans="26:26">
      <c r="Z1499" s="12">
        <v>0</v>
      </c>
    </row>
    <row r="1500" spans="26:26">
      <c r="Z1500" s="12">
        <v>0</v>
      </c>
    </row>
    <row r="1501" spans="26:26">
      <c r="Z1501" s="12">
        <v>0</v>
      </c>
    </row>
    <row r="1502" spans="26:26">
      <c r="Z1502" s="12">
        <v>0</v>
      </c>
    </row>
    <row r="1503" spans="26:26">
      <c r="Z1503" s="12">
        <v>0</v>
      </c>
    </row>
    <row r="1504" spans="26:26">
      <c r="Z1504" s="12">
        <v>0</v>
      </c>
    </row>
    <row r="1505" spans="26:26">
      <c r="Z1505" s="12">
        <v>0</v>
      </c>
    </row>
    <row r="1506" spans="26:26">
      <c r="Z1506" s="12">
        <v>0</v>
      </c>
    </row>
    <row r="1507" spans="26:26">
      <c r="Z1507" s="12">
        <v>0</v>
      </c>
    </row>
    <row r="1508" spans="26:26">
      <c r="Z1508" s="12">
        <v>0</v>
      </c>
    </row>
    <row r="1509" spans="26:26">
      <c r="Z1509" s="12">
        <v>0</v>
      </c>
    </row>
    <row r="1510" spans="26:26">
      <c r="Z1510" s="12">
        <v>0</v>
      </c>
    </row>
    <row r="1511" spans="26:26">
      <c r="Z1511" s="12">
        <v>0</v>
      </c>
    </row>
    <row r="1512" spans="26:26">
      <c r="Z1512" s="12">
        <v>0</v>
      </c>
    </row>
    <row r="1513" spans="26:26">
      <c r="Z1513" s="12">
        <v>0</v>
      </c>
    </row>
    <row r="1514" spans="26:26">
      <c r="Z1514" s="12">
        <v>0</v>
      </c>
    </row>
    <row r="1515" spans="26:26">
      <c r="Z1515" s="12">
        <v>0</v>
      </c>
    </row>
    <row r="1516" spans="26:26">
      <c r="Z1516" s="12">
        <v>0</v>
      </c>
    </row>
    <row r="1517" spans="26:26">
      <c r="Z1517" s="12">
        <v>0</v>
      </c>
    </row>
    <row r="1518" spans="26:26">
      <c r="Z1518" s="12">
        <v>0</v>
      </c>
    </row>
    <row r="1519" spans="26:26">
      <c r="Z1519" s="12">
        <v>0</v>
      </c>
    </row>
    <row r="1520" spans="26:26">
      <c r="Z1520" s="12">
        <v>0</v>
      </c>
    </row>
    <row r="1521" spans="26:26">
      <c r="Z1521" s="12">
        <v>0</v>
      </c>
    </row>
    <row r="1522" spans="26:26">
      <c r="Z1522" s="12">
        <v>0</v>
      </c>
    </row>
    <row r="1523" spans="26:26">
      <c r="Z1523" s="12">
        <v>0</v>
      </c>
    </row>
    <row r="1524" spans="26:26">
      <c r="Z1524" s="12">
        <v>0</v>
      </c>
    </row>
    <row r="1525" spans="26:26">
      <c r="Z1525" s="12">
        <v>0</v>
      </c>
    </row>
    <row r="1526" spans="26:26">
      <c r="Z1526" s="12">
        <v>0</v>
      </c>
    </row>
    <row r="1527" spans="26:26">
      <c r="Z1527" s="12">
        <v>0</v>
      </c>
    </row>
    <row r="1528" spans="26:26">
      <c r="Z1528" s="12">
        <v>0</v>
      </c>
    </row>
    <row r="1529" spans="26:26">
      <c r="Z1529" s="12">
        <v>0</v>
      </c>
    </row>
    <row r="1530" spans="26:26">
      <c r="Z1530" s="12">
        <v>0</v>
      </c>
    </row>
    <row r="1531" spans="26:26">
      <c r="Z1531" s="12">
        <v>0</v>
      </c>
    </row>
    <row r="1532" spans="26:26">
      <c r="Z1532" s="12">
        <v>0</v>
      </c>
    </row>
    <row r="1533" spans="26:26">
      <c r="Z1533" s="12">
        <v>0</v>
      </c>
    </row>
    <row r="1534" spans="26:26">
      <c r="Z1534" s="12">
        <v>0</v>
      </c>
    </row>
    <row r="1535" spans="26:26">
      <c r="Z1535" s="12">
        <v>0</v>
      </c>
    </row>
    <row r="1536" spans="26:26">
      <c r="Z1536" s="12">
        <v>0</v>
      </c>
    </row>
    <row r="1537" spans="26:26">
      <c r="Z1537" s="12">
        <v>0</v>
      </c>
    </row>
    <row r="1538" spans="26:26">
      <c r="Z1538" s="12">
        <v>0</v>
      </c>
    </row>
    <row r="1539" spans="26:26">
      <c r="Z1539" s="12">
        <v>0</v>
      </c>
    </row>
    <row r="1540" spans="26:26">
      <c r="Z1540" s="12">
        <v>0</v>
      </c>
    </row>
    <row r="1541" spans="26:26">
      <c r="Z1541" s="12">
        <v>0</v>
      </c>
    </row>
    <row r="1542" spans="26:26">
      <c r="Z1542" s="12">
        <v>0</v>
      </c>
    </row>
    <row r="1543" spans="26:26">
      <c r="Z1543" s="12">
        <v>0</v>
      </c>
    </row>
    <row r="1544" spans="26:26">
      <c r="Z1544" s="12">
        <v>0</v>
      </c>
    </row>
    <row r="1545" spans="26:26">
      <c r="Z1545" s="12">
        <v>0</v>
      </c>
    </row>
    <row r="1546" spans="26:26">
      <c r="Z1546" s="12">
        <v>0</v>
      </c>
    </row>
    <row r="1547" spans="26:26">
      <c r="Z1547" s="12">
        <v>0</v>
      </c>
    </row>
    <row r="1548" spans="26:26">
      <c r="Z1548" s="12">
        <v>0</v>
      </c>
    </row>
    <row r="1549" spans="26:26">
      <c r="Z1549" s="12">
        <v>0</v>
      </c>
    </row>
    <row r="1550" spans="26:26">
      <c r="Z1550" s="12">
        <v>0</v>
      </c>
    </row>
    <row r="1551" spans="26:26">
      <c r="Z1551" s="12">
        <v>0</v>
      </c>
    </row>
    <row r="1552" spans="26:26">
      <c r="Z1552" s="12">
        <v>0</v>
      </c>
    </row>
    <row r="1553" spans="26:26">
      <c r="Z1553" s="12">
        <v>0</v>
      </c>
    </row>
    <row r="1554" spans="26:26">
      <c r="Z1554" s="12">
        <v>0</v>
      </c>
    </row>
    <row r="1555" spans="26:26">
      <c r="Z1555" s="12">
        <v>0</v>
      </c>
    </row>
    <row r="1556" spans="26:26">
      <c r="Z1556" s="12">
        <v>0</v>
      </c>
    </row>
    <row r="1557" spans="26:26">
      <c r="Z1557" s="12">
        <v>0</v>
      </c>
    </row>
    <row r="1558" spans="26:26">
      <c r="Z1558" s="12">
        <v>0</v>
      </c>
    </row>
    <row r="1559" spans="26:26">
      <c r="Z1559" s="12">
        <v>0</v>
      </c>
    </row>
    <row r="1560" spans="26:26">
      <c r="Z1560" s="12">
        <v>0</v>
      </c>
    </row>
    <row r="1561" spans="26:26">
      <c r="Z1561" s="12">
        <v>0</v>
      </c>
    </row>
    <row r="1562" spans="26:26">
      <c r="Z1562" s="12">
        <v>0</v>
      </c>
    </row>
    <row r="1563" spans="26:26">
      <c r="Z1563" s="12">
        <v>0</v>
      </c>
    </row>
    <row r="1564" spans="26:26">
      <c r="Z1564" s="12">
        <v>0</v>
      </c>
    </row>
    <row r="1565" spans="26:26">
      <c r="Z1565" s="12">
        <v>0</v>
      </c>
    </row>
    <row r="1566" spans="26:26">
      <c r="Z1566" s="12">
        <v>0</v>
      </c>
    </row>
    <row r="1567" spans="26:26">
      <c r="Z1567" s="12">
        <v>0</v>
      </c>
    </row>
    <row r="1568" spans="26:26">
      <c r="Z1568" s="12">
        <v>0</v>
      </c>
    </row>
    <row r="1569" spans="26:26">
      <c r="Z1569" s="12">
        <v>0</v>
      </c>
    </row>
    <row r="1570" spans="26:26">
      <c r="Z1570" s="12">
        <v>0</v>
      </c>
    </row>
    <row r="1571" spans="26:26">
      <c r="Z1571" s="12">
        <v>0</v>
      </c>
    </row>
    <row r="1572" spans="26:26">
      <c r="Z1572" s="12">
        <v>0</v>
      </c>
    </row>
    <row r="1573" spans="26:26">
      <c r="Z1573" s="12">
        <v>0</v>
      </c>
    </row>
    <row r="1574" spans="26:26">
      <c r="Z1574" s="12">
        <v>0</v>
      </c>
    </row>
    <row r="1575" spans="26:26">
      <c r="Z1575" s="12">
        <v>0</v>
      </c>
    </row>
    <row r="1576" spans="26:26">
      <c r="Z1576" s="12">
        <v>0</v>
      </c>
    </row>
    <row r="1577" spans="26:26">
      <c r="Z1577" s="12">
        <v>0</v>
      </c>
    </row>
    <row r="1578" spans="26:26">
      <c r="Z1578" s="12">
        <v>0</v>
      </c>
    </row>
    <row r="1579" spans="26:26">
      <c r="Z1579" s="12">
        <v>0</v>
      </c>
    </row>
    <row r="1580" spans="26:26">
      <c r="Z1580" s="12">
        <v>0</v>
      </c>
    </row>
    <row r="1581" spans="26:26">
      <c r="Z1581" s="12">
        <v>0</v>
      </c>
    </row>
    <row r="1582" spans="26:26">
      <c r="Z1582" s="12">
        <v>0</v>
      </c>
    </row>
    <row r="1583" spans="26:26">
      <c r="Z1583" s="12">
        <v>0</v>
      </c>
    </row>
    <row r="1584" spans="26:26">
      <c r="Z1584" s="12">
        <v>0</v>
      </c>
    </row>
    <row r="1585" spans="26:26">
      <c r="Z1585" s="12">
        <v>0</v>
      </c>
    </row>
    <row r="1586" spans="26:26">
      <c r="Z1586" s="12">
        <v>0</v>
      </c>
    </row>
    <row r="1587" spans="26:26">
      <c r="Z1587" s="12">
        <v>0</v>
      </c>
    </row>
    <row r="1588" spans="26:26">
      <c r="Z1588" s="12">
        <v>0</v>
      </c>
    </row>
    <row r="1589" spans="26:26">
      <c r="Z1589" s="12">
        <v>0</v>
      </c>
    </row>
    <row r="1590" spans="26:26">
      <c r="Z1590" s="12">
        <v>0</v>
      </c>
    </row>
    <row r="1591" spans="26:26">
      <c r="Z1591" s="12">
        <v>0</v>
      </c>
    </row>
    <row r="1592" spans="26:26">
      <c r="Z1592" s="12">
        <v>0</v>
      </c>
    </row>
    <row r="1593" spans="26:26">
      <c r="Z1593" s="12">
        <v>0</v>
      </c>
    </row>
    <row r="1594" spans="26:26">
      <c r="Z1594" s="12">
        <v>0</v>
      </c>
    </row>
    <row r="1595" spans="26:26">
      <c r="Z1595" s="12">
        <v>0</v>
      </c>
    </row>
    <row r="1596" spans="26:26">
      <c r="Z1596" s="12">
        <v>0</v>
      </c>
    </row>
    <row r="1597" spans="26:26">
      <c r="Z1597" s="12">
        <v>0</v>
      </c>
    </row>
    <row r="1598" spans="26:26">
      <c r="Z1598" s="12">
        <v>0</v>
      </c>
    </row>
    <row r="1599" spans="26:26">
      <c r="Z1599" s="12">
        <v>0</v>
      </c>
    </row>
    <row r="1600" spans="26:26">
      <c r="Z1600" s="12">
        <v>0</v>
      </c>
    </row>
    <row r="1601" spans="26:26">
      <c r="Z1601" s="12">
        <v>0</v>
      </c>
    </row>
    <row r="1602" spans="26:26">
      <c r="Z1602" s="12">
        <v>0</v>
      </c>
    </row>
    <row r="1603" spans="26:26">
      <c r="Z1603" s="12">
        <v>0</v>
      </c>
    </row>
    <row r="1604" spans="26:26">
      <c r="Z1604" s="12">
        <v>0</v>
      </c>
    </row>
    <row r="1605" spans="26:26">
      <c r="Z1605" s="12">
        <v>0</v>
      </c>
    </row>
    <row r="1606" spans="26:26">
      <c r="Z1606" s="12">
        <v>0</v>
      </c>
    </row>
    <row r="1607" spans="26:26">
      <c r="Z1607" s="12">
        <v>0</v>
      </c>
    </row>
    <row r="1608" spans="26:26">
      <c r="Z1608" s="12">
        <v>0</v>
      </c>
    </row>
    <row r="1609" spans="26:26">
      <c r="Z1609" s="12">
        <v>0</v>
      </c>
    </row>
    <row r="1610" spans="26:26">
      <c r="Z1610" s="12">
        <v>0</v>
      </c>
    </row>
    <row r="1611" spans="26:26">
      <c r="Z1611" s="12">
        <v>0</v>
      </c>
    </row>
    <row r="1612" spans="26:26">
      <c r="Z1612" s="12">
        <v>0</v>
      </c>
    </row>
    <row r="1613" spans="26:26">
      <c r="Z1613" s="12">
        <v>0</v>
      </c>
    </row>
    <row r="1614" spans="26:26">
      <c r="Z1614" s="12">
        <v>0</v>
      </c>
    </row>
    <row r="1615" spans="26:26">
      <c r="Z1615" s="12">
        <v>0</v>
      </c>
    </row>
    <row r="1616" spans="26:26">
      <c r="Z1616" s="12">
        <v>0</v>
      </c>
    </row>
    <row r="1617" spans="26:26">
      <c r="Z1617" s="12">
        <v>0</v>
      </c>
    </row>
    <row r="1618" spans="26:26">
      <c r="Z1618" s="12">
        <v>0</v>
      </c>
    </row>
    <row r="1619" spans="26:26">
      <c r="Z1619" s="12">
        <v>0</v>
      </c>
    </row>
    <row r="1620" spans="26:26">
      <c r="Z1620" s="12">
        <v>0</v>
      </c>
    </row>
    <row r="1621" spans="26:26">
      <c r="Z1621" s="12">
        <v>0</v>
      </c>
    </row>
    <row r="1622" spans="26:26">
      <c r="Z1622" s="12">
        <v>0</v>
      </c>
    </row>
    <row r="1623" spans="26:26">
      <c r="Z1623" s="12">
        <v>0</v>
      </c>
    </row>
    <row r="1624" spans="26:26">
      <c r="Z1624" s="12">
        <v>0</v>
      </c>
    </row>
    <row r="1625" spans="26:26">
      <c r="Z1625" s="12">
        <v>0</v>
      </c>
    </row>
    <row r="1626" spans="26:26">
      <c r="Z1626" s="12">
        <v>0</v>
      </c>
    </row>
    <row r="1627" spans="26:26">
      <c r="Z1627" s="12">
        <v>0</v>
      </c>
    </row>
    <row r="1628" spans="26:26">
      <c r="Z1628" s="12">
        <v>0</v>
      </c>
    </row>
    <row r="1629" spans="26:26">
      <c r="Z1629" s="12">
        <v>0</v>
      </c>
    </row>
    <row r="1630" spans="26:26">
      <c r="Z1630" s="12">
        <v>0</v>
      </c>
    </row>
    <row r="1631" spans="26:26">
      <c r="Z1631" s="12">
        <v>0</v>
      </c>
    </row>
    <row r="1632" spans="26:26">
      <c r="Z1632" s="12">
        <v>0</v>
      </c>
    </row>
    <row r="1633" spans="26:26">
      <c r="Z1633" s="12">
        <v>0</v>
      </c>
    </row>
    <row r="1634" spans="26:26">
      <c r="Z1634" s="12">
        <v>0</v>
      </c>
    </row>
    <row r="1635" spans="26:26">
      <c r="Z1635" s="12">
        <v>0</v>
      </c>
    </row>
    <row r="1636" spans="26:26">
      <c r="Z1636" s="12">
        <v>0</v>
      </c>
    </row>
    <row r="1637" spans="26:26">
      <c r="Z1637" s="12">
        <v>0</v>
      </c>
    </row>
    <row r="1638" spans="26:26">
      <c r="Z1638" s="12">
        <v>0</v>
      </c>
    </row>
    <row r="1639" spans="26:26">
      <c r="Z1639" s="12">
        <v>0</v>
      </c>
    </row>
    <row r="1640" spans="26:26">
      <c r="Z1640" s="12">
        <v>0</v>
      </c>
    </row>
    <row r="1641" spans="26:26">
      <c r="Z1641" s="12">
        <v>0</v>
      </c>
    </row>
    <row r="1642" spans="26:26">
      <c r="Z1642" s="12">
        <v>0</v>
      </c>
    </row>
    <row r="1643" spans="26:26">
      <c r="Z1643" s="12">
        <v>0</v>
      </c>
    </row>
    <row r="1644" spans="26:26">
      <c r="Z1644" s="12">
        <v>0</v>
      </c>
    </row>
    <row r="1645" spans="26:26">
      <c r="Z1645" s="12">
        <v>0</v>
      </c>
    </row>
    <row r="1646" spans="26:26">
      <c r="Z1646" s="12">
        <v>0</v>
      </c>
    </row>
    <row r="1647" spans="26:26">
      <c r="Z1647" s="12">
        <v>0</v>
      </c>
    </row>
    <row r="1648" spans="26:26">
      <c r="Z1648" s="12">
        <v>0</v>
      </c>
    </row>
    <row r="1649" spans="26:26">
      <c r="Z1649" s="12">
        <v>0</v>
      </c>
    </row>
    <row r="1650" spans="26:26">
      <c r="Z1650" s="12">
        <v>0</v>
      </c>
    </row>
    <row r="1651" spans="26:26">
      <c r="Z1651" s="12">
        <v>0</v>
      </c>
    </row>
    <row r="1652" spans="26:26">
      <c r="Z1652" s="12">
        <v>0</v>
      </c>
    </row>
    <row r="1653" spans="26:26">
      <c r="Z1653" s="12">
        <v>0</v>
      </c>
    </row>
    <row r="1654" spans="26:26">
      <c r="Z1654" s="12">
        <v>0</v>
      </c>
    </row>
    <row r="1655" spans="26:26">
      <c r="Z1655" s="12">
        <v>0</v>
      </c>
    </row>
    <row r="1656" spans="26:26">
      <c r="Z1656" s="12">
        <v>0</v>
      </c>
    </row>
    <row r="1657" spans="26:26">
      <c r="Z1657" s="12">
        <v>0</v>
      </c>
    </row>
    <row r="1658" spans="26:26">
      <c r="Z1658" s="12">
        <v>0</v>
      </c>
    </row>
    <row r="1659" spans="26:26">
      <c r="Z1659" s="12">
        <v>0</v>
      </c>
    </row>
    <row r="1660" spans="26:26">
      <c r="Z1660" s="12">
        <v>0</v>
      </c>
    </row>
    <row r="1661" spans="26:26">
      <c r="Z1661" s="12">
        <v>0</v>
      </c>
    </row>
    <row r="1662" spans="26:26">
      <c r="Z1662" s="12">
        <v>0</v>
      </c>
    </row>
    <row r="1663" spans="26:26">
      <c r="Z1663" s="12">
        <v>0</v>
      </c>
    </row>
    <row r="1664" spans="26:26">
      <c r="Z1664" s="12">
        <v>0</v>
      </c>
    </row>
    <row r="1665" spans="26:26">
      <c r="Z1665" s="12">
        <v>0</v>
      </c>
    </row>
    <row r="1666" spans="26:26">
      <c r="Z1666" s="12">
        <v>0</v>
      </c>
    </row>
    <row r="1667" spans="26:26">
      <c r="Z1667" s="12">
        <v>0</v>
      </c>
    </row>
    <row r="1668" spans="26:26">
      <c r="Z1668" s="12">
        <v>0</v>
      </c>
    </row>
    <row r="1669" spans="26:26">
      <c r="Z1669" s="12">
        <v>0</v>
      </c>
    </row>
    <row r="1670" spans="26:26">
      <c r="Z1670" s="12">
        <v>0</v>
      </c>
    </row>
    <row r="1671" spans="26:26">
      <c r="Z1671" s="12">
        <v>0</v>
      </c>
    </row>
    <row r="1672" spans="26:26">
      <c r="Z1672" s="12">
        <v>0</v>
      </c>
    </row>
    <row r="1673" spans="26:26">
      <c r="Z1673" s="12">
        <v>0</v>
      </c>
    </row>
    <row r="1674" spans="26:26">
      <c r="Z1674" s="12">
        <v>0</v>
      </c>
    </row>
    <row r="1675" spans="26:26">
      <c r="Z1675" s="12">
        <v>0</v>
      </c>
    </row>
    <row r="1676" spans="26:26">
      <c r="Z1676" s="12">
        <v>0</v>
      </c>
    </row>
    <row r="1677" spans="26:26">
      <c r="Z1677" s="12">
        <v>0</v>
      </c>
    </row>
    <row r="1678" spans="26:26">
      <c r="Z1678" s="12">
        <v>0</v>
      </c>
    </row>
    <row r="1679" spans="26:26">
      <c r="Z1679" s="12">
        <v>0</v>
      </c>
    </row>
    <row r="1680" spans="26:26">
      <c r="Z1680" s="12">
        <v>0</v>
      </c>
    </row>
    <row r="1681" spans="26:26">
      <c r="Z1681" s="12">
        <v>0</v>
      </c>
    </row>
    <row r="1682" spans="26:26">
      <c r="Z1682" s="12">
        <v>0</v>
      </c>
    </row>
    <row r="1683" spans="26:26">
      <c r="Z1683" s="12">
        <v>0</v>
      </c>
    </row>
    <row r="1684" spans="26:26">
      <c r="Z1684" s="12">
        <v>0</v>
      </c>
    </row>
    <row r="1685" spans="26:26">
      <c r="Z1685" s="12">
        <v>0</v>
      </c>
    </row>
    <row r="1686" spans="26:26">
      <c r="Z1686" s="12">
        <v>0</v>
      </c>
    </row>
    <row r="1687" spans="26:26">
      <c r="Z1687" s="12">
        <v>0</v>
      </c>
    </row>
    <row r="1688" spans="26:26">
      <c r="Z1688" s="12">
        <v>0</v>
      </c>
    </row>
    <row r="1689" spans="26:26">
      <c r="Z1689" s="12">
        <v>0</v>
      </c>
    </row>
    <row r="1690" spans="26:26">
      <c r="Z1690" s="12">
        <v>0</v>
      </c>
    </row>
    <row r="1691" spans="26:26">
      <c r="Z1691" s="12">
        <v>0</v>
      </c>
    </row>
    <row r="1692" spans="26:26">
      <c r="Z1692" s="12">
        <v>0</v>
      </c>
    </row>
    <row r="1693" spans="26:26">
      <c r="Z1693" s="12">
        <v>0</v>
      </c>
    </row>
    <row r="1694" spans="26:26">
      <c r="Z1694" s="12">
        <v>0</v>
      </c>
    </row>
    <row r="1695" spans="26:26">
      <c r="Z1695" s="12">
        <v>0</v>
      </c>
    </row>
    <row r="1696" spans="26:26">
      <c r="Z1696" s="12">
        <v>0</v>
      </c>
    </row>
    <row r="1697" spans="26:26">
      <c r="Z1697" s="12">
        <v>0</v>
      </c>
    </row>
    <row r="1698" spans="26:26">
      <c r="Z1698" s="12">
        <v>0</v>
      </c>
    </row>
    <row r="1699" spans="26:26">
      <c r="Z1699" s="12">
        <v>0</v>
      </c>
    </row>
    <row r="1700" spans="26:26">
      <c r="Z1700" s="12">
        <v>0</v>
      </c>
    </row>
    <row r="1701" spans="26:26">
      <c r="Z1701" s="12">
        <v>0</v>
      </c>
    </row>
    <row r="1702" spans="26:26">
      <c r="Z1702" s="12">
        <v>0</v>
      </c>
    </row>
    <row r="1703" spans="26:26">
      <c r="Z1703" s="12">
        <v>0</v>
      </c>
    </row>
    <row r="1704" spans="26:26">
      <c r="Z1704" s="12">
        <v>0</v>
      </c>
    </row>
    <row r="1705" spans="26:26">
      <c r="Z1705" s="12">
        <v>0</v>
      </c>
    </row>
    <row r="1706" spans="26:26">
      <c r="Z1706" s="12">
        <v>0</v>
      </c>
    </row>
    <row r="1707" spans="26:26">
      <c r="Z1707" s="12">
        <v>0</v>
      </c>
    </row>
    <row r="1708" spans="26:26">
      <c r="Z1708" s="12">
        <v>0</v>
      </c>
    </row>
    <row r="1709" spans="26:26">
      <c r="Z1709" s="12">
        <v>0</v>
      </c>
    </row>
    <row r="1710" spans="26:26">
      <c r="Z1710" s="12">
        <v>0</v>
      </c>
    </row>
    <row r="1711" spans="26:26">
      <c r="Z1711" s="12">
        <v>0</v>
      </c>
    </row>
    <row r="1712" spans="26:26">
      <c r="Z1712" s="12">
        <v>0</v>
      </c>
    </row>
    <row r="1713" spans="26:26">
      <c r="Z1713" s="12">
        <v>0</v>
      </c>
    </row>
    <row r="1714" spans="26:26">
      <c r="Z1714" s="12">
        <v>0</v>
      </c>
    </row>
    <row r="1715" spans="26:26">
      <c r="Z1715" s="12">
        <v>0</v>
      </c>
    </row>
    <row r="1716" spans="26:26">
      <c r="Z1716" s="12">
        <v>0</v>
      </c>
    </row>
    <row r="1717" spans="26:26">
      <c r="Z1717" s="12">
        <v>0</v>
      </c>
    </row>
    <row r="1718" spans="26:26">
      <c r="Z1718" s="12">
        <v>0</v>
      </c>
    </row>
    <row r="1719" spans="26:26">
      <c r="Z1719" s="12">
        <v>0</v>
      </c>
    </row>
    <row r="1720" spans="26:26">
      <c r="Z1720" s="12">
        <v>0</v>
      </c>
    </row>
    <row r="1721" spans="26:26">
      <c r="Z1721" s="12">
        <v>0</v>
      </c>
    </row>
    <row r="1722" spans="26:26">
      <c r="Z1722" s="12">
        <v>0</v>
      </c>
    </row>
    <row r="1723" spans="26:26">
      <c r="Z1723" s="12">
        <v>0</v>
      </c>
    </row>
    <row r="1724" spans="26:26">
      <c r="Z1724" s="12">
        <v>0</v>
      </c>
    </row>
    <row r="1725" spans="26:26">
      <c r="Z1725" s="12">
        <v>0</v>
      </c>
    </row>
    <row r="1726" spans="26:26">
      <c r="Z1726" s="12">
        <v>0</v>
      </c>
    </row>
    <row r="1727" spans="26:26">
      <c r="Z1727" s="12">
        <v>0</v>
      </c>
    </row>
    <row r="1728" spans="26:26">
      <c r="Z1728" s="12">
        <v>0</v>
      </c>
    </row>
    <row r="1729" spans="26:26">
      <c r="Z1729" s="12">
        <v>0</v>
      </c>
    </row>
    <row r="1730" spans="26:26">
      <c r="Z1730" s="12">
        <v>0</v>
      </c>
    </row>
    <row r="1731" spans="26:26">
      <c r="Z1731" s="12">
        <v>0</v>
      </c>
    </row>
    <row r="1732" spans="26:26">
      <c r="Z1732" s="12">
        <v>0</v>
      </c>
    </row>
    <row r="1733" spans="26:26">
      <c r="Z1733" s="12">
        <v>0</v>
      </c>
    </row>
    <row r="1734" spans="26:26">
      <c r="Z1734" s="12">
        <v>0</v>
      </c>
    </row>
    <row r="1735" spans="26:26">
      <c r="Z1735" s="12">
        <v>0</v>
      </c>
    </row>
    <row r="1736" spans="26:26">
      <c r="Z1736" s="12">
        <v>0</v>
      </c>
    </row>
    <row r="1737" spans="26:26">
      <c r="Z1737" s="12">
        <v>0</v>
      </c>
    </row>
    <row r="1738" spans="26:26">
      <c r="Z1738" s="12">
        <v>0</v>
      </c>
    </row>
    <row r="1739" spans="26:26">
      <c r="Z1739" s="12">
        <v>0</v>
      </c>
    </row>
    <row r="1740" spans="26:26">
      <c r="Z1740" s="12">
        <v>0</v>
      </c>
    </row>
    <row r="1741" spans="26:26">
      <c r="Z1741" s="12">
        <v>0</v>
      </c>
    </row>
    <row r="1742" spans="26:26">
      <c r="Z1742" s="12">
        <v>0</v>
      </c>
    </row>
    <row r="1743" spans="26:26">
      <c r="Z1743" s="12">
        <v>0</v>
      </c>
    </row>
    <row r="1744" spans="26:26">
      <c r="Z1744" s="12">
        <v>0</v>
      </c>
    </row>
    <row r="1745" spans="26:26">
      <c r="Z1745" s="12">
        <v>0</v>
      </c>
    </row>
    <row r="1746" spans="26:26">
      <c r="Z1746" s="12">
        <v>0</v>
      </c>
    </row>
    <row r="1747" spans="26:26">
      <c r="Z1747" s="12">
        <v>0</v>
      </c>
    </row>
    <row r="1748" spans="26:26">
      <c r="Z1748" s="12">
        <v>0</v>
      </c>
    </row>
    <row r="1749" spans="26:26">
      <c r="Z1749" s="12">
        <v>0</v>
      </c>
    </row>
    <row r="1750" spans="26:26">
      <c r="Z1750" s="12">
        <v>0</v>
      </c>
    </row>
    <row r="1751" spans="26:26">
      <c r="Z1751" s="12">
        <v>0</v>
      </c>
    </row>
    <row r="1752" spans="26:26">
      <c r="Z1752" s="12">
        <v>0</v>
      </c>
    </row>
    <row r="1753" spans="26:26">
      <c r="Z1753" s="12">
        <v>0</v>
      </c>
    </row>
    <row r="1754" spans="26:26">
      <c r="Z1754" s="12">
        <v>0</v>
      </c>
    </row>
    <row r="1755" spans="26:26">
      <c r="Z1755" s="12">
        <v>0</v>
      </c>
    </row>
    <row r="1756" spans="26:26">
      <c r="Z1756" s="12">
        <v>0</v>
      </c>
    </row>
    <row r="1757" spans="26:26">
      <c r="Z1757" s="12">
        <v>0</v>
      </c>
    </row>
    <row r="1758" spans="26:26">
      <c r="Z1758" s="12">
        <v>0</v>
      </c>
    </row>
    <row r="1759" spans="26:26">
      <c r="Z1759" s="12">
        <v>0</v>
      </c>
    </row>
    <row r="1760" spans="26:26">
      <c r="Z1760" s="12">
        <v>0</v>
      </c>
    </row>
    <row r="1761" spans="26:26">
      <c r="Z1761" s="12">
        <v>0</v>
      </c>
    </row>
    <row r="1762" spans="26:26">
      <c r="Z1762" s="12">
        <v>0</v>
      </c>
    </row>
    <row r="1763" spans="26:26">
      <c r="Z1763" s="12">
        <v>0</v>
      </c>
    </row>
    <row r="1764" spans="26:26">
      <c r="Z1764" s="12">
        <v>0</v>
      </c>
    </row>
    <row r="1765" spans="26:26">
      <c r="Z1765" s="12">
        <v>0</v>
      </c>
    </row>
    <row r="1766" spans="26:26">
      <c r="Z1766" s="12">
        <v>0</v>
      </c>
    </row>
    <row r="1767" spans="26:26">
      <c r="Z1767" s="12">
        <v>0</v>
      </c>
    </row>
    <row r="1768" spans="26:26">
      <c r="Z1768" s="12">
        <v>0</v>
      </c>
    </row>
    <row r="1769" spans="26:26">
      <c r="Z1769" s="12">
        <v>0</v>
      </c>
    </row>
    <row r="1770" spans="26:26">
      <c r="Z1770" s="12">
        <v>0</v>
      </c>
    </row>
    <row r="1771" spans="26:26">
      <c r="Z1771" s="12">
        <v>0</v>
      </c>
    </row>
    <row r="1772" spans="26:26">
      <c r="Z1772" s="12">
        <v>0</v>
      </c>
    </row>
    <row r="1773" spans="26:26">
      <c r="Z1773" s="12">
        <v>0</v>
      </c>
    </row>
    <row r="1774" spans="26:26">
      <c r="Z1774" s="12">
        <v>0</v>
      </c>
    </row>
    <row r="1775" spans="26:26">
      <c r="Z1775" s="12">
        <v>0</v>
      </c>
    </row>
    <row r="1776" spans="26:26">
      <c r="Z1776" s="12">
        <v>0</v>
      </c>
    </row>
    <row r="1777" spans="26:26">
      <c r="Z1777" s="12">
        <v>0</v>
      </c>
    </row>
    <row r="1778" spans="26:26">
      <c r="Z1778" s="12">
        <v>0</v>
      </c>
    </row>
    <row r="1779" spans="26:26">
      <c r="Z1779" s="12">
        <v>0</v>
      </c>
    </row>
    <row r="1780" spans="26:26">
      <c r="Z1780" s="12">
        <v>0</v>
      </c>
    </row>
    <row r="1781" spans="26:26">
      <c r="Z1781" s="12">
        <v>0</v>
      </c>
    </row>
    <row r="1782" spans="26:26">
      <c r="Z1782" s="12">
        <v>0</v>
      </c>
    </row>
    <row r="1783" spans="26:26">
      <c r="Z1783" s="12">
        <v>0</v>
      </c>
    </row>
    <row r="1784" spans="26:26">
      <c r="Z1784" s="12">
        <v>0</v>
      </c>
    </row>
    <row r="1785" spans="26:26">
      <c r="Z1785" s="12">
        <v>0</v>
      </c>
    </row>
    <row r="1786" spans="26:26">
      <c r="Z1786" s="12">
        <v>0</v>
      </c>
    </row>
    <row r="1787" spans="26:26">
      <c r="Z1787" s="12">
        <v>0</v>
      </c>
    </row>
    <row r="1788" spans="26:26">
      <c r="Z1788" s="12">
        <v>0</v>
      </c>
    </row>
    <row r="1789" spans="26:26">
      <c r="Z1789" s="12">
        <v>0</v>
      </c>
    </row>
    <row r="1790" spans="26:26">
      <c r="Z1790" s="12">
        <v>0</v>
      </c>
    </row>
    <row r="1791" spans="26:26">
      <c r="Z1791" s="12">
        <v>0</v>
      </c>
    </row>
    <row r="1792" spans="26:26">
      <c r="Z1792" s="12">
        <v>0</v>
      </c>
    </row>
    <row r="1793" spans="26:26">
      <c r="Z1793" s="12">
        <v>0</v>
      </c>
    </row>
    <row r="1794" spans="26:26">
      <c r="Z1794" s="12">
        <v>0</v>
      </c>
    </row>
    <row r="1795" spans="26:26">
      <c r="Z1795" s="12">
        <v>0</v>
      </c>
    </row>
    <row r="1796" spans="26:26">
      <c r="Z1796" s="12">
        <v>0</v>
      </c>
    </row>
    <row r="1797" spans="26:26">
      <c r="Z1797" s="12">
        <v>0</v>
      </c>
    </row>
    <row r="1798" spans="26:26">
      <c r="Z1798" s="12">
        <v>0</v>
      </c>
    </row>
    <row r="1799" spans="26:26">
      <c r="Z1799" s="12">
        <v>0</v>
      </c>
    </row>
    <row r="1800" spans="26:26">
      <c r="Z1800" s="12">
        <v>0</v>
      </c>
    </row>
    <row r="1801" spans="26:26">
      <c r="Z1801" s="12">
        <v>0</v>
      </c>
    </row>
    <row r="1802" spans="26:26">
      <c r="Z1802" s="12">
        <v>0</v>
      </c>
    </row>
    <row r="1803" spans="26:26">
      <c r="Z1803" s="12">
        <v>0</v>
      </c>
    </row>
    <row r="1804" spans="26:26">
      <c r="Z1804" s="12">
        <v>0</v>
      </c>
    </row>
    <row r="1805" spans="26:26">
      <c r="Z1805" s="12">
        <v>0</v>
      </c>
    </row>
    <row r="1806" spans="26:26">
      <c r="Z1806" s="12">
        <v>0</v>
      </c>
    </row>
    <row r="1807" spans="26:26">
      <c r="Z1807" s="12">
        <v>0</v>
      </c>
    </row>
    <row r="1808" spans="26:26">
      <c r="Z1808" s="12">
        <v>0</v>
      </c>
    </row>
    <row r="1809" spans="26:26">
      <c r="Z1809" s="12">
        <v>0</v>
      </c>
    </row>
    <row r="1810" spans="26:26">
      <c r="Z1810" s="12">
        <v>0</v>
      </c>
    </row>
    <row r="1811" spans="26:26">
      <c r="Z1811" s="12">
        <v>0</v>
      </c>
    </row>
    <row r="1812" spans="26:26">
      <c r="Z1812" s="12">
        <v>0</v>
      </c>
    </row>
    <row r="1813" spans="26:26">
      <c r="Z1813" s="12">
        <v>0</v>
      </c>
    </row>
    <row r="1814" spans="26:26">
      <c r="Z1814" s="12">
        <v>0</v>
      </c>
    </row>
    <row r="1815" spans="26:26">
      <c r="Z1815" s="12">
        <v>0</v>
      </c>
    </row>
    <row r="1816" spans="26:26">
      <c r="Z1816" s="12">
        <v>0</v>
      </c>
    </row>
    <row r="1817" spans="26:26">
      <c r="Z1817" s="12">
        <v>0</v>
      </c>
    </row>
    <row r="1818" spans="26:26">
      <c r="Z1818" s="12">
        <v>0</v>
      </c>
    </row>
    <row r="1819" spans="26:26">
      <c r="Z1819" s="12">
        <v>0</v>
      </c>
    </row>
    <row r="1820" spans="26:26">
      <c r="Z1820" s="12">
        <v>0</v>
      </c>
    </row>
    <row r="1821" spans="26:26">
      <c r="Z1821" s="12">
        <v>0</v>
      </c>
    </row>
    <row r="1822" spans="26:26">
      <c r="Z1822" s="12">
        <v>0</v>
      </c>
    </row>
    <row r="1823" spans="26:26">
      <c r="Z1823" s="12">
        <v>0</v>
      </c>
    </row>
    <row r="1824" spans="26:26">
      <c r="Z1824" s="12">
        <v>0</v>
      </c>
    </row>
    <row r="1825" spans="26:26">
      <c r="Z1825" s="12">
        <v>0</v>
      </c>
    </row>
    <row r="1826" spans="26:26">
      <c r="Z1826" s="12">
        <v>0</v>
      </c>
    </row>
    <row r="1827" spans="26:26">
      <c r="Z1827" s="12">
        <v>0</v>
      </c>
    </row>
    <row r="1828" spans="26:26">
      <c r="Z1828" s="12">
        <v>0</v>
      </c>
    </row>
    <row r="1829" spans="26:26">
      <c r="Z1829" s="12">
        <v>0</v>
      </c>
    </row>
    <row r="1830" spans="26:26">
      <c r="Z1830" s="12">
        <v>0</v>
      </c>
    </row>
    <row r="1831" spans="26:26">
      <c r="Z1831" s="12">
        <v>0</v>
      </c>
    </row>
    <row r="1832" spans="26:26">
      <c r="Z1832" s="12">
        <v>0</v>
      </c>
    </row>
    <row r="1833" spans="26:26">
      <c r="Z1833" s="12">
        <v>0</v>
      </c>
    </row>
    <row r="1834" spans="26:26">
      <c r="Z1834" s="12">
        <v>0</v>
      </c>
    </row>
    <row r="1835" spans="26:26">
      <c r="Z1835" s="12">
        <v>0</v>
      </c>
    </row>
    <row r="1836" spans="26:26">
      <c r="Z1836" s="12">
        <v>0</v>
      </c>
    </row>
    <row r="1837" spans="26:26">
      <c r="Z1837" s="12">
        <v>0</v>
      </c>
    </row>
    <row r="1838" spans="26:26">
      <c r="Z1838" s="12">
        <v>0</v>
      </c>
    </row>
    <row r="1839" spans="26:26">
      <c r="Z1839" s="12">
        <v>0</v>
      </c>
    </row>
    <row r="1840" spans="26:26">
      <c r="Z1840" s="12">
        <v>0</v>
      </c>
    </row>
    <row r="1841" spans="26:26">
      <c r="Z1841" s="12">
        <v>0</v>
      </c>
    </row>
    <row r="1842" spans="26:26">
      <c r="Z1842" s="12">
        <v>0</v>
      </c>
    </row>
    <row r="1843" spans="26:26">
      <c r="Z1843" s="12">
        <v>0</v>
      </c>
    </row>
    <row r="1844" spans="26:26">
      <c r="Z1844" s="12">
        <v>0</v>
      </c>
    </row>
    <row r="1845" spans="26:26">
      <c r="Z1845" s="12">
        <v>0</v>
      </c>
    </row>
    <row r="1846" spans="26:26">
      <c r="Z1846" s="12">
        <v>0</v>
      </c>
    </row>
    <row r="1847" spans="26:26">
      <c r="Z1847" s="12">
        <v>0</v>
      </c>
    </row>
    <row r="1848" spans="26:26">
      <c r="Z1848" s="12">
        <v>0</v>
      </c>
    </row>
    <row r="1849" spans="26:26">
      <c r="Z1849" s="12">
        <v>0</v>
      </c>
    </row>
    <row r="1850" spans="26:26">
      <c r="Z1850" s="12">
        <v>0</v>
      </c>
    </row>
    <row r="1851" spans="26:26">
      <c r="Z1851" s="12">
        <v>0</v>
      </c>
    </row>
    <row r="1852" spans="26:26">
      <c r="Z1852" s="12">
        <v>0</v>
      </c>
    </row>
    <row r="1853" spans="26:26">
      <c r="Z1853" s="12">
        <v>0</v>
      </c>
    </row>
    <row r="1854" spans="26:26">
      <c r="Z1854" s="12">
        <v>0</v>
      </c>
    </row>
    <row r="1855" spans="26:26">
      <c r="Z1855" s="12">
        <v>0</v>
      </c>
    </row>
    <row r="1856" spans="26:26">
      <c r="Z1856" s="12">
        <v>0</v>
      </c>
    </row>
    <row r="1857" spans="26:26">
      <c r="Z1857" s="12">
        <v>0</v>
      </c>
    </row>
    <row r="1858" spans="26:26">
      <c r="Z1858" s="12">
        <v>0</v>
      </c>
    </row>
    <row r="1859" spans="26:26">
      <c r="Z1859" s="12">
        <v>0</v>
      </c>
    </row>
    <row r="1860" spans="26:26">
      <c r="Z1860" s="12">
        <v>0</v>
      </c>
    </row>
    <row r="1861" spans="26:26">
      <c r="Z1861" s="12">
        <v>0</v>
      </c>
    </row>
    <row r="1862" spans="26:26">
      <c r="Z1862" s="12">
        <v>0</v>
      </c>
    </row>
    <row r="1863" spans="26:26">
      <c r="Z1863" s="12">
        <v>0</v>
      </c>
    </row>
    <row r="1864" spans="26:26">
      <c r="Z1864" s="12">
        <v>0</v>
      </c>
    </row>
    <row r="1865" spans="26:26">
      <c r="Z1865" s="12">
        <v>0</v>
      </c>
    </row>
    <row r="1866" spans="26:26">
      <c r="Z1866" s="12">
        <v>0</v>
      </c>
    </row>
    <row r="1867" spans="26:26">
      <c r="Z1867" s="12">
        <v>0</v>
      </c>
    </row>
    <row r="1868" spans="26:26">
      <c r="Z1868" s="12">
        <v>0</v>
      </c>
    </row>
    <row r="1869" spans="26:26">
      <c r="Z1869" s="12">
        <v>0</v>
      </c>
    </row>
    <row r="1870" spans="26:26">
      <c r="Z1870" s="12">
        <v>0</v>
      </c>
    </row>
    <row r="1871" spans="26:26">
      <c r="Z1871" s="12">
        <v>0</v>
      </c>
    </row>
    <row r="1872" spans="26:26">
      <c r="Z1872" s="12">
        <v>0</v>
      </c>
    </row>
    <row r="1873" spans="26:26">
      <c r="Z1873" s="12">
        <v>0</v>
      </c>
    </row>
    <row r="1874" spans="26:26">
      <c r="Z1874" s="12">
        <v>0</v>
      </c>
    </row>
    <row r="1875" spans="26:26">
      <c r="Z1875" s="12">
        <v>0</v>
      </c>
    </row>
    <row r="1876" spans="26:26">
      <c r="Z1876" s="12">
        <v>0</v>
      </c>
    </row>
    <row r="1877" spans="26:26">
      <c r="Z1877" s="12">
        <v>0</v>
      </c>
    </row>
    <row r="1878" spans="26:26">
      <c r="Z1878" s="12">
        <v>0</v>
      </c>
    </row>
    <row r="1879" spans="26:26">
      <c r="Z1879" s="12">
        <v>0</v>
      </c>
    </row>
    <row r="1880" spans="26:26">
      <c r="Z1880" s="12">
        <v>0</v>
      </c>
    </row>
    <row r="1881" spans="26:26">
      <c r="Z1881" s="12">
        <v>0</v>
      </c>
    </row>
    <row r="1882" spans="26:26">
      <c r="Z1882" s="12">
        <v>0</v>
      </c>
    </row>
    <row r="1883" spans="26:26">
      <c r="Z1883" s="12">
        <v>0</v>
      </c>
    </row>
    <row r="1884" spans="26:26">
      <c r="Z1884" s="12">
        <v>0</v>
      </c>
    </row>
    <row r="1885" spans="26:26">
      <c r="Z1885" s="12">
        <v>0</v>
      </c>
    </row>
    <row r="1886" spans="26:26">
      <c r="Z1886" s="12">
        <v>0</v>
      </c>
    </row>
    <row r="1887" spans="26:26">
      <c r="Z1887" s="12">
        <v>0</v>
      </c>
    </row>
    <row r="1888" spans="26:26">
      <c r="Z1888" s="12">
        <v>0</v>
      </c>
    </row>
    <row r="1889" spans="26:26">
      <c r="Z1889" s="12">
        <v>0</v>
      </c>
    </row>
    <row r="1890" spans="26:26">
      <c r="Z1890" s="12">
        <v>0</v>
      </c>
    </row>
    <row r="1891" spans="26:26">
      <c r="Z1891" s="12">
        <v>0</v>
      </c>
    </row>
    <row r="1892" spans="26:26">
      <c r="Z1892" s="12">
        <v>0</v>
      </c>
    </row>
    <row r="1893" spans="26:26">
      <c r="Z1893" s="12">
        <v>0</v>
      </c>
    </row>
    <row r="1894" spans="26:26">
      <c r="Z1894" s="12">
        <v>0</v>
      </c>
    </row>
    <row r="1895" spans="26:26">
      <c r="Z1895" s="12">
        <v>0</v>
      </c>
    </row>
    <row r="1896" spans="26:26">
      <c r="Z1896" s="12">
        <v>0</v>
      </c>
    </row>
    <row r="1897" spans="26:26">
      <c r="Z1897" s="12">
        <v>0</v>
      </c>
    </row>
    <row r="1898" spans="26:26">
      <c r="Z1898" s="12">
        <v>0</v>
      </c>
    </row>
    <row r="1899" spans="26:26">
      <c r="Z1899" s="12">
        <v>0</v>
      </c>
    </row>
    <row r="1900" spans="26:26">
      <c r="Z1900" s="12">
        <v>0</v>
      </c>
    </row>
    <row r="1901" spans="26:26">
      <c r="Z1901" s="12">
        <v>0</v>
      </c>
    </row>
    <row r="1902" spans="26:26">
      <c r="Z1902" s="12">
        <v>0</v>
      </c>
    </row>
    <row r="1903" spans="26:26">
      <c r="Z1903" s="12">
        <v>0</v>
      </c>
    </row>
    <row r="1904" spans="26:26">
      <c r="Z1904" s="12">
        <v>0</v>
      </c>
    </row>
    <row r="1905" spans="26:26">
      <c r="Z1905" s="12">
        <v>0</v>
      </c>
    </row>
    <row r="1906" spans="26:26">
      <c r="Z1906" s="12">
        <v>0</v>
      </c>
    </row>
    <row r="1907" spans="26:26">
      <c r="Z1907" s="12">
        <v>0</v>
      </c>
    </row>
    <row r="1908" spans="26:26">
      <c r="Z1908" s="12">
        <v>0</v>
      </c>
    </row>
    <row r="1909" spans="26:26">
      <c r="Z1909" s="12">
        <v>0</v>
      </c>
    </row>
    <row r="1910" spans="26:26">
      <c r="Z1910" s="12">
        <v>0</v>
      </c>
    </row>
    <row r="1911" spans="26:26">
      <c r="Z1911" s="12">
        <v>0</v>
      </c>
    </row>
    <row r="1912" spans="26:26">
      <c r="Z1912" s="12">
        <v>0</v>
      </c>
    </row>
    <row r="1913" spans="26:26">
      <c r="Z1913" s="12">
        <v>0</v>
      </c>
    </row>
    <row r="1914" spans="26:26">
      <c r="Z1914" s="12">
        <v>0</v>
      </c>
    </row>
    <row r="1915" spans="26:26">
      <c r="Z1915" s="12">
        <v>0</v>
      </c>
    </row>
    <row r="1916" spans="26:26">
      <c r="Z1916" s="12">
        <v>0</v>
      </c>
    </row>
    <row r="1917" spans="26:26">
      <c r="Z1917" s="12">
        <v>0</v>
      </c>
    </row>
    <row r="1918" spans="26:26">
      <c r="Z1918" s="12">
        <v>0</v>
      </c>
    </row>
    <row r="1919" spans="26:26">
      <c r="Z1919" s="12">
        <v>0</v>
      </c>
    </row>
    <row r="1920" spans="26:26">
      <c r="Z1920" s="12">
        <v>0</v>
      </c>
    </row>
    <row r="1921" spans="26:26">
      <c r="Z1921" s="12">
        <v>0</v>
      </c>
    </row>
    <row r="1922" spans="26:26">
      <c r="Z1922" s="12">
        <v>0</v>
      </c>
    </row>
    <row r="1923" spans="26:26">
      <c r="Z1923" s="12">
        <v>0</v>
      </c>
    </row>
    <row r="1924" spans="26:26">
      <c r="Z1924" s="12">
        <v>0</v>
      </c>
    </row>
    <row r="1925" spans="26:26">
      <c r="Z1925" s="12">
        <v>0</v>
      </c>
    </row>
    <row r="1926" spans="26:26">
      <c r="Z1926" s="12">
        <v>0</v>
      </c>
    </row>
    <row r="1927" spans="26:26">
      <c r="Z1927" s="12">
        <v>0</v>
      </c>
    </row>
    <row r="1928" spans="26:26">
      <c r="Z1928" s="12">
        <v>0</v>
      </c>
    </row>
    <row r="1929" spans="26:26">
      <c r="Z1929" s="12">
        <v>0</v>
      </c>
    </row>
    <row r="1930" spans="26:26">
      <c r="Z1930" s="12">
        <v>0</v>
      </c>
    </row>
    <row r="1931" spans="26:26">
      <c r="Z1931" s="12">
        <v>0</v>
      </c>
    </row>
    <row r="1932" spans="26:26">
      <c r="Z1932" s="12">
        <v>0</v>
      </c>
    </row>
    <row r="1933" spans="26:26">
      <c r="Z1933" s="12">
        <v>0</v>
      </c>
    </row>
    <row r="1934" spans="26:26">
      <c r="Z1934" s="12">
        <v>0</v>
      </c>
    </row>
    <row r="1935" spans="26:26">
      <c r="Z1935" s="12">
        <v>0</v>
      </c>
    </row>
    <row r="1936" spans="26:26">
      <c r="Z1936" s="12">
        <v>0</v>
      </c>
    </row>
    <row r="1937" spans="26:26">
      <c r="Z1937" s="12">
        <v>0</v>
      </c>
    </row>
    <row r="1938" spans="26:26">
      <c r="Z1938" s="12">
        <v>0</v>
      </c>
    </row>
    <row r="1939" spans="26:26">
      <c r="Z1939" s="12">
        <v>0</v>
      </c>
    </row>
    <row r="1940" spans="26:26">
      <c r="Z1940" s="12">
        <v>0</v>
      </c>
    </row>
    <row r="1941" spans="26:26">
      <c r="Z1941" s="12">
        <v>0</v>
      </c>
    </row>
    <row r="1942" spans="26:26">
      <c r="Z1942" s="12">
        <v>0</v>
      </c>
    </row>
    <row r="1943" spans="26:26">
      <c r="Z1943" s="12">
        <v>0</v>
      </c>
    </row>
    <row r="1944" spans="26:26">
      <c r="Z1944" s="12">
        <v>0</v>
      </c>
    </row>
    <row r="1945" spans="26:26">
      <c r="Z1945" s="12">
        <v>0</v>
      </c>
    </row>
    <row r="1946" spans="26:26">
      <c r="Z1946" s="12">
        <v>0</v>
      </c>
    </row>
    <row r="1947" spans="26:26">
      <c r="Z1947" s="12">
        <v>0</v>
      </c>
    </row>
    <row r="1948" spans="26:26">
      <c r="Z1948" s="12">
        <v>0</v>
      </c>
    </row>
    <row r="1949" spans="26:26">
      <c r="Z1949" s="12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BCBE1-1ABD-4F3A-951E-93FDA2BC92FF}">
  <sheetPr>
    <tabColor rgb="FF00CC99"/>
  </sheetPr>
  <dimension ref="A1:AN15"/>
  <sheetViews>
    <sheetView zoomScale="80" zoomScaleNormal="80" workbookViewId="0">
      <selection activeCell="AC14" sqref="AC14:AM14"/>
    </sheetView>
  </sheetViews>
  <sheetFormatPr defaultRowHeight="14.45"/>
  <cols>
    <col min="1" max="1" width="11" customWidth="1"/>
    <col min="2" max="2" width="12" style="227" customWidth="1"/>
    <col min="3" max="4" width="13.7109375" style="191" customWidth="1"/>
    <col min="5" max="13" width="14.7109375" style="191" customWidth="1"/>
    <col min="14" max="14" width="1.28515625" style="191" customWidth="1"/>
    <col min="15" max="15" width="11.28515625" style="191" customWidth="1"/>
    <col min="16" max="16" width="2" customWidth="1"/>
    <col min="17" max="23" width="11.28515625" style="191" customWidth="1"/>
    <col min="24" max="24" width="12.28515625" style="191" customWidth="1"/>
    <col min="25" max="27" width="10.7109375" style="191" customWidth="1"/>
    <col min="28" max="28" width="2.140625" style="191" customWidth="1"/>
    <col min="29" max="35" width="10.7109375" style="191" customWidth="1"/>
    <col min="36" max="36" width="12.7109375" style="191" customWidth="1"/>
    <col min="37" max="37" width="12.85546875" style="191" customWidth="1"/>
    <col min="38" max="40" width="8.85546875" style="191"/>
  </cols>
  <sheetData>
    <row r="1" spans="1:40" s="213" customFormat="1" ht="23.45" customHeight="1" thickBot="1">
      <c r="B1" s="493" t="s">
        <v>5</v>
      </c>
      <c r="C1" s="493"/>
      <c r="D1" s="493"/>
      <c r="E1" s="493"/>
      <c r="F1" s="493"/>
      <c r="G1" s="493"/>
      <c r="H1" s="493"/>
      <c r="I1" s="493"/>
      <c r="J1" s="493"/>
      <c r="K1" s="493"/>
      <c r="L1" s="493"/>
      <c r="M1" s="493"/>
      <c r="N1" s="214"/>
      <c r="O1" s="214"/>
      <c r="Q1" s="494" t="s">
        <v>6</v>
      </c>
      <c r="R1" s="494"/>
      <c r="S1" s="494"/>
      <c r="T1" s="494"/>
      <c r="U1" s="494"/>
      <c r="V1" s="494"/>
      <c r="W1" s="494"/>
      <c r="X1" s="494"/>
      <c r="Y1" s="494"/>
      <c r="Z1" s="224"/>
      <c r="AA1" s="224"/>
      <c r="AB1" s="214"/>
      <c r="AC1" s="495" t="s">
        <v>7</v>
      </c>
      <c r="AD1" s="495"/>
      <c r="AE1" s="495"/>
      <c r="AF1" s="495"/>
      <c r="AG1" s="495"/>
      <c r="AH1" s="495"/>
      <c r="AI1" s="495"/>
      <c r="AJ1" s="495"/>
      <c r="AK1" s="495"/>
      <c r="AL1" s="214"/>
      <c r="AM1" s="214"/>
      <c r="AN1" s="214"/>
    </row>
    <row r="2" spans="1:40" s="192" customFormat="1" ht="43.15">
      <c r="A2" s="218" t="s">
        <v>8</v>
      </c>
      <c r="B2" s="226" t="s">
        <v>9</v>
      </c>
      <c r="C2" s="218" t="s">
        <v>10</v>
      </c>
      <c r="D2" s="219" t="s">
        <v>11</v>
      </c>
      <c r="E2" s="219" t="s">
        <v>12</v>
      </c>
      <c r="F2" s="219" t="s">
        <v>13</v>
      </c>
      <c r="G2" s="219" t="s">
        <v>14</v>
      </c>
      <c r="H2" s="219" t="s">
        <v>15</v>
      </c>
      <c r="I2" s="219" t="s">
        <v>16</v>
      </c>
      <c r="J2" s="215" t="s">
        <v>17</v>
      </c>
      <c r="K2" s="219" t="s">
        <v>18</v>
      </c>
      <c r="L2" s="219" t="s">
        <v>19</v>
      </c>
      <c r="M2" s="219" t="s">
        <v>20</v>
      </c>
      <c r="N2" s="196"/>
      <c r="O2" s="193" t="s">
        <v>21</v>
      </c>
      <c r="Q2" s="217" t="s">
        <v>22</v>
      </c>
      <c r="R2" s="217" t="s">
        <v>11</v>
      </c>
      <c r="S2" s="217" t="s">
        <v>12</v>
      </c>
      <c r="T2" s="217" t="s">
        <v>13</v>
      </c>
      <c r="U2" s="217" t="s">
        <v>14</v>
      </c>
      <c r="V2" s="217" t="s">
        <v>15</v>
      </c>
      <c r="W2" s="217" t="s">
        <v>16</v>
      </c>
      <c r="X2" s="215" t="s">
        <v>17</v>
      </c>
      <c r="Y2" s="217" t="s">
        <v>18</v>
      </c>
      <c r="Z2" s="217" t="s">
        <v>19</v>
      </c>
      <c r="AA2" s="217" t="s">
        <v>20</v>
      </c>
      <c r="AB2" s="193"/>
      <c r="AC2" s="216" t="s">
        <v>23</v>
      </c>
      <c r="AD2" s="216" t="s">
        <v>11</v>
      </c>
      <c r="AE2" s="216" t="s">
        <v>12</v>
      </c>
      <c r="AF2" s="216" t="s">
        <v>13</v>
      </c>
      <c r="AG2" s="216" t="s">
        <v>14</v>
      </c>
      <c r="AH2" s="216" t="s">
        <v>15</v>
      </c>
      <c r="AI2" s="216" t="s">
        <v>16</v>
      </c>
      <c r="AJ2" s="215" t="s">
        <v>17</v>
      </c>
      <c r="AK2" s="216" t="s">
        <v>18</v>
      </c>
      <c r="AL2" s="216" t="s">
        <v>19</v>
      </c>
      <c r="AM2" s="216" t="s">
        <v>20</v>
      </c>
      <c r="AN2" s="193"/>
    </row>
    <row r="3" spans="1:40">
      <c r="C3" s="191">
        <v>0</v>
      </c>
      <c r="D3" s="191">
        <v>0</v>
      </c>
      <c r="E3" s="191">
        <v>0</v>
      </c>
      <c r="F3" s="191">
        <v>0</v>
      </c>
      <c r="G3" s="191">
        <v>0</v>
      </c>
      <c r="H3" s="191">
        <v>0</v>
      </c>
      <c r="I3" s="191">
        <v>0</v>
      </c>
      <c r="J3" s="209">
        <f>+C3-D3-E3-F3-G3-H3-I3</f>
        <v>0</v>
      </c>
      <c r="K3" s="221">
        <f>+D3+F3+H3</f>
        <v>0</v>
      </c>
      <c r="L3" s="221">
        <f>+E3+G3+I3</f>
        <v>0</v>
      </c>
      <c r="M3" s="222">
        <f>+D3+E3+F3+G3+H3+I3+J3</f>
        <v>0</v>
      </c>
      <c r="N3" s="197"/>
      <c r="O3" s="194">
        <f>+C3-M3</f>
        <v>0</v>
      </c>
      <c r="Q3" s="191">
        <v>0</v>
      </c>
      <c r="R3" s="191">
        <v>0</v>
      </c>
      <c r="S3" s="191">
        <v>0</v>
      </c>
      <c r="T3" s="191">
        <v>0</v>
      </c>
      <c r="U3" s="191">
        <v>0</v>
      </c>
      <c r="V3" s="191">
        <v>0</v>
      </c>
      <c r="W3" s="191">
        <v>0</v>
      </c>
      <c r="X3" s="191">
        <f>+Q3-R3-S3-T3-U3-V3-W3</f>
        <v>0</v>
      </c>
      <c r="Y3" s="191">
        <f>+R3+T3+V3</f>
        <v>0</v>
      </c>
      <c r="Z3" s="191">
        <f>+S3+U3+W3</f>
        <v>0</v>
      </c>
      <c r="AA3" s="191">
        <f>+R3+S3+T3+U3+V3+W3+X3</f>
        <v>0</v>
      </c>
      <c r="AC3" s="191">
        <f>+C3+Q3</f>
        <v>0</v>
      </c>
      <c r="AD3" s="191">
        <f t="shared" ref="AD3:AJ3" si="0">+D3+R3</f>
        <v>0</v>
      </c>
      <c r="AE3" s="191">
        <f t="shared" si="0"/>
        <v>0</v>
      </c>
      <c r="AF3" s="191">
        <f t="shared" si="0"/>
        <v>0</v>
      </c>
      <c r="AG3" s="191">
        <f t="shared" si="0"/>
        <v>0</v>
      </c>
      <c r="AH3" s="191">
        <f t="shared" si="0"/>
        <v>0</v>
      </c>
      <c r="AI3" s="191">
        <f t="shared" si="0"/>
        <v>0</v>
      </c>
      <c r="AJ3" s="191">
        <f t="shared" si="0"/>
        <v>0</v>
      </c>
      <c r="AK3" s="191">
        <f>+AD3+AF3+AH3</f>
        <v>0</v>
      </c>
      <c r="AL3" s="191">
        <f>+AE3+AG3+AI3</f>
        <v>0</v>
      </c>
      <c r="AM3" s="191">
        <f>+AD3+AE3+AF3+AG3+AH3+AI3+AJ3</f>
        <v>0</v>
      </c>
    </row>
    <row r="4" spans="1:40">
      <c r="C4" s="191">
        <v>0</v>
      </c>
      <c r="D4" s="191">
        <v>0</v>
      </c>
      <c r="E4" s="191">
        <v>0</v>
      </c>
      <c r="F4" s="191">
        <v>0</v>
      </c>
      <c r="G4" s="191">
        <v>0</v>
      </c>
      <c r="H4" s="191">
        <v>0</v>
      </c>
      <c r="I4" s="191">
        <v>0</v>
      </c>
      <c r="J4" s="209">
        <f t="shared" ref="J4:J12" si="1">+C4-D4-E4-F4-G4-H4-I4</f>
        <v>0</v>
      </c>
      <c r="K4" s="221">
        <f t="shared" ref="K4:K12" si="2">+D4+F4+H4</f>
        <v>0</v>
      </c>
      <c r="L4" s="221">
        <f t="shared" ref="L4:L12" si="3">+E4+G4+I4</f>
        <v>0</v>
      </c>
      <c r="M4" s="222">
        <f t="shared" ref="M4:M12" si="4">+D4+E4+F4+G4+H4+I4+J4</f>
        <v>0</v>
      </c>
      <c r="N4" s="197"/>
      <c r="O4" s="194">
        <f t="shared" ref="O4:O12" si="5">+C4-M4</f>
        <v>0</v>
      </c>
      <c r="Q4" s="191">
        <v>0</v>
      </c>
      <c r="R4" s="191">
        <v>0</v>
      </c>
      <c r="S4" s="191">
        <v>0</v>
      </c>
      <c r="T4" s="191">
        <v>0</v>
      </c>
      <c r="U4" s="191">
        <v>0</v>
      </c>
      <c r="V4" s="191">
        <v>0</v>
      </c>
      <c r="W4" s="191">
        <v>0</v>
      </c>
      <c r="X4" s="191">
        <f t="shared" ref="X4:X12" si="6">+Q4-R4-S4-T4-U4-V4-W4</f>
        <v>0</v>
      </c>
      <c r="Y4" s="191">
        <f t="shared" ref="Y4:Y12" si="7">+R4+T4+V4</f>
        <v>0</v>
      </c>
      <c r="Z4" s="191">
        <f t="shared" ref="Z4:Z12" si="8">+S4+U4+W4</f>
        <v>0</v>
      </c>
      <c r="AA4" s="191">
        <f t="shared" ref="AA4:AA12" si="9">+R4+S4+T4+U4+V4+W4+X4</f>
        <v>0</v>
      </c>
      <c r="AC4" s="191">
        <f t="shared" ref="AC4:AC12" si="10">+C4+Q4</f>
        <v>0</v>
      </c>
      <c r="AD4" s="191">
        <f t="shared" ref="AD4:AD12" si="11">+D4+R4</f>
        <v>0</v>
      </c>
      <c r="AE4" s="191">
        <f t="shared" ref="AE4:AE12" si="12">+E4+S4</f>
        <v>0</v>
      </c>
      <c r="AF4" s="191">
        <f t="shared" ref="AF4:AF12" si="13">+F4+T4</f>
        <v>0</v>
      </c>
      <c r="AG4" s="191">
        <f t="shared" ref="AG4:AG12" si="14">+G4+U4</f>
        <v>0</v>
      </c>
      <c r="AH4" s="191">
        <f t="shared" ref="AH4:AH12" si="15">+H4+V4</f>
        <v>0</v>
      </c>
      <c r="AI4" s="191">
        <f t="shared" ref="AI4:AI12" si="16">+I4+W4</f>
        <v>0</v>
      </c>
      <c r="AJ4" s="191">
        <f t="shared" ref="AJ4:AJ12" si="17">+J4+X4</f>
        <v>0</v>
      </c>
      <c r="AK4" s="191">
        <f t="shared" ref="AK4:AK12" si="18">+AD4+AF4+AH4</f>
        <v>0</v>
      </c>
      <c r="AL4" s="191">
        <f t="shared" ref="AL4:AL12" si="19">+AE4+AG4+AI4</f>
        <v>0</v>
      </c>
      <c r="AM4" s="191">
        <f t="shared" ref="AM4:AM12" si="20">+AD4+AE4+AF4+AG4+AH4+AI4+AJ4</f>
        <v>0</v>
      </c>
    </row>
    <row r="5" spans="1:40">
      <c r="C5" s="191">
        <v>0</v>
      </c>
      <c r="D5" s="191">
        <v>0</v>
      </c>
      <c r="E5" s="191">
        <v>0</v>
      </c>
      <c r="F5" s="191">
        <v>0</v>
      </c>
      <c r="G5" s="191">
        <v>0</v>
      </c>
      <c r="H5" s="191">
        <v>0</v>
      </c>
      <c r="I5" s="191">
        <v>0</v>
      </c>
      <c r="J5" s="209">
        <f t="shared" si="1"/>
        <v>0</v>
      </c>
      <c r="K5" s="221">
        <f t="shared" si="2"/>
        <v>0</v>
      </c>
      <c r="L5" s="221">
        <f t="shared" si="3"/>
        <v>0</v>
      </c>
      <c r="M5" s="222">
        <f t="shared" si="4"/>
        <v>0</v>
      </c>
      <c r="N5" s="197"/>
      <c r="O5" s="194">
        <f t="shared" si="5"/>
        <v>0</v>
      </c>
      <c r="Q5" s="191">
        <v>0</v>
      </c>
      <c r="R5" s="191">
        <v>0</v>
      </c>
      <c r="S5" s="191">
        <v>0</v>
      </c>
      <c r="T5" s="191">
        <v>0</v>
      </c>
      <c r="U5" s="191">
        <v>0</v>
      </c>
      <c r="V5" s="191">
        <v>0</v>
      </c>
      <c r="W5" s="191">
        <v>0</v>
      </c>
      <c r="X5" s="191">
        <f t="shared" si="6"/>
        <v>0</v>
      </c>
      <c r="Y5" s="191">
        <f t="shared" si="7"/>
        <v>0</v>
      </c>
      <c r="Z5" s="191">
        <f t="shared" si="8"/>
        <v>0</v>
      </c>
      <c r="AA5" s="191">
        <f t="shared" si="9"/>
        <v>0</v>
      </c>
      <c r="AC5" s="191">
        <f t="shared" si="10"/>
        <v>0</v>
      </c>
      <c r="AD5" s="191">
        <f t="shared" si="11"/>
        <v>0</v>
      </c>
      <c r="AE5" s="191">
        <f t="shared" si="12"/>
        <v>0</v>
      </c>
      <c r="AF5" s="191">
        <f t="shared" si="13"/>
        <v>0</v>
      </c>
      <c r="AG5" s="191">
        <f t="shared" si="14"/>
        <v>0</v>
      </c>
      <c r="AH5" s="191">
        <f t="shared" si="15"/>
        <v>0</v>
      </c>
      <c r="AI5" s="191">
        <f t="shared" si="16"/>
        <v>0</v>
      </c>
      <c r="AJ5" s="191">
        <f t="shared" si="17"/>
        <v>0</v>
      </c>
      <c r="AK5" s="191">
        <f t="shared" si="18"/>
        <v>0</v>
      </c>
      <c r="AL5" s="191">
        <f t="shared" si="19"/>
        <v>0</v>
      </c>
      <c r="AM5" s="191">
        <f t="shared" si="20"/>
        <v>0</v>
      </c>
    </row>
    <row r="6" spans="1:40">
      <c r="C6" s="191">
        <v>0</v>
      </c>
      <c r="D6" s="191">
        <v>0</v>
      </c>
      <c r="E6" s="191">
        <v>0</v>
      </c>
      <c r="F6" s="191">
        <v>0</v>
      </c>
      <c r="G6" s="191">
        <v>0</v>
      </c>
      <c r="H6" s="191">
        <v>0</v>
      </c>
      <c r="I6" s="191">
        <v>0</v>
      </c>
      <c r="J6" s="209">
        <f t="shared" si="1"/>
        <v>0</v>
      </c>
      <c r="K6" s="221">
        <f t="shared" si="2"/>
        <v>0</v>
      </c>
      <c r="L6" s="221">
        <f t="shared" si="3"/>
        <v>0</v>
      </c>
      <c r="M6" s="222">
        <f t="shared" si="4"/>
        <v>0</v>
      </c>
      <c r="N6" s="197"/>
      <c r="O6" s="194">
        <f t="shared" si="5"/>
        <v>0</v>
      </c>
      <c r="Q6" s="191">
        <v>0</v>
      </c>
      <c r="R6" s="191">
        <v>0</v>
      </c>
      <c r="S6" s="191">
        <v>0</v>
      </c>
      <c r="T6" s="191">
        <v>0</v>
      </c>
      <c r="U6" s="191">
        <v>0</v>
      </c>
      <c r="V6" s="191">
        <v>0</v>
      </c>
      <c r="W6" s="191">
        <v>0</v>
      </c>
      <c r="X6" s="191">
        <f t="shared" si="6"/>
        <v>0</v>
      </c>
      <c r="Y6" s="191">
        <f t="shared" si="7"/>
        <v>0</v>
      </c>
      <c r="Z6" s="191">
        <f t="shared" si="8"/>
        <v>0</v>
      </c>
      <c r="AA6" s="191">
        <f t="shared" si="9"/>
        <v>0</v>
      </c>
      <c r="AC6" s="191">
        <f t="shared" si="10"/>
        <v>0</v>
      </c>
      <c r="AD6" s="191">
        <f t="shared" si="11"/>
        <v>0</v>
      </c>
      <c r="AE6" s="191">
        <f t="shared" si="12"/>
        <v>0</v>
      </c>
      <c r="AF6" s="191">
        <f t="shared" si="13"/>
        <v>0</v>
      </c>
      <c r="AG6" s="191">
        <f t="shared" si="14"/>
        <v>0</v>
      </c>
      <c r="AH6" s="191">
        <f t="shared" si="15"/>
        <v>0</v>
      </c>
      <c r="AI6" s="191">
        <f t="shared" si="16"/>
        <v>0</v>
      </c>
      <c r="AJ6" s="191">
        <f t="shared" si="17"/>
        <v>0</v>
      </c>
      <c r="AK6" s="191">
        <f t="shared" si="18"/>
        <v>0</v>
      </c>
      <c r="AL6" s="191">
        <f t="shared" si="19"/>
        <v>0</v>
      </c>
      <c r="AM6" s="191">
        <f t="shared" si="20"/>
        <v>0</v>
      </c>
    </row>
    <row r="7" spans="1:40">
      <c r="C7" s="191">
        <v>0</v>
      </c>
      <c r="D7" s="191">
        <v>0</v>
      </c>
      <c r="E7" s="191">
        <v>0</v>
      </c>
      <c r="F7" s="191">
        <v>0</v>
      </c>
      <c r="G7" s="191">
        <v>0</v>
      </c>
      <c r="H7" s="191">
        <v>0</v>
      </c>
      <c r="I7" s="191">
        <v>0</v>
      </c>
      <c r="J7" s="209">
        <f t="shared" si="1"/>
        <v>0</v>
      </c>
      <c r="K7" s="221">
        <f t="shared" si="2"/>
        <v>0</v>
      </c>
      <c r="L7" s="221">
        <f t="shared" si="3"/>
        <v>0</v>
      </c>
      <c r="M7" s="222">
        <f t="shared" si="4"/>
        <v>0</v>
      </c>
      <c r="N7" s="197"/>
      <c r="O7" s="194">
        <f t="shared" si="5"/>
        <v>0</v>
      </c>
      <c r="Q7" s="191">
        <v>0</v>
      </c>
      <c r="R7" s="191">
        <v>0</v>
      </c>
      <c r="S7" s="191">
        <v>0</v>
      </c>
      <c r="T7" s="191">
        <v>0</v>
      </c>
      <c r="U7" s="191">
        <v>0</v>
      </c>
      <c r="V7" s="191">
        <v>0</v>
      </c>
      <c r="W7" s="191">
        <v>0</v>
      </c>
      <c r="X7" s="191">
        <f t="shared" si="6"/>
        <v>0</v>
      </c>
      <c r="Y7" s="191">
        <f t="shared" si="7"/>
        <v>0</v>
      </c>
      <c r="Z7" s="191">
        <f t="shared" si="8"/>
        <v>0</v>
      </c>
      <c r="AA7" s="191">
        <f t="shared" si="9"/>
        <v>0</v>
      </c>
      <c r="AC7" s="191">
        <f t="shared" si="10"/>
        <v>0</v>
      </c>
      <c r="AD7" s="191">
        <f t="shared" si="11"/>
        <v>0</v>
      </c>
      <c r="AE7" s="191">
        <f t="shared" si="12"/>
        <v>0</v>
      </c>
      <c r="AF7" s="191">
        <f t="shared" si="13"/>
        <v>0</v>
      </c>
      <c r="AG7" s="191">
        <f t="shared" si="14"/>
        <v>0</v>
      </c>
      <c r="AH7" s="191">
        <f t="shared" si="15"/>
        <v>0</v>
      </c>
      <c r="AI7" s="191">
        <f t="shared" si="16"/>
        <v>0</v>
      </c>
      <c r="AJ7" s="191">
        <f t="shared" si="17"/>
        <v>0</v>
      </c>
      <c r="AK7" s="191">
        <f t="shared" si="18"/>
        <v>0</v>
      </c>
      <c r="AL7" s="191">
        <f t="shared" si="19"/>
        <v>0</v>
      </c>
      <c r="AM7" s="191">
        <f t="shared" si="20"/>
        <v>0</v>
      </c>
    </row>
    <row r="8" spans="1:40">
      <c r="C8" s="194">
        <v>0</v>
      </c>
      <c r="D8" s="194">
        <v>0</v>
      </c>
      <c r="E8" s="194">
        <v>0</v>
      </c>
      <c r="F8" s="194">
        <v>0</v>
      </c>
      <c r="G8" s="194">
        <v>0</v>
      </c>
      <c r="H8" s="194">
        <v>0</v>
      </c>
      <c r="I8" s="194">
        <v>0</v>
      </c>
      <c r="J8" s="209">
        <f t="shared" si="1"/>
        <v>0</v>
      </c>
      <c r="K8" s="221">
        <f t="shared" si="2"/>
        <v>0</v>
      </c>
      <c r="L8" s="221">
        <f t="shared" si="3"/>
        <v>0</v>
      </c>
      <c r="M8" s="222">
        <f t="shared" si="4"/>
        <v>0</v>
      </c>
      <c r="N8" s="197"/>
      <c r="O8" s="194">
        <f t="shared" si="5"/>
        <v>0</v>
      </c>
      <c r="Q8" s="191">
        <v>0</v>
      </c>
      <c r="R8" s="191">
        <v>0</v>
      </c>
      <c r="S8" s="191">
        <v>0</v>
      </c>
      <c r="T8" s="191">
        <v>0</v>
      </c>
      <c r="U8" s="191">
        <v>0</v>
      </c>
      <c r="V8" s="191">
        <v>0</v>
      </c>
      <c r="W8" s="191">
        <v>0</v>
      </c>
      <c r="X8" s="191">
        <f t="shared" si="6"/>
        <v>0</v>
      </c>
      <c r="Y8" s="191">
        <f t="shared" si="7"/>
        <v>0</v>
      </c>
      <c r="Z8" s="191">
        <f t="shared" si="8"/>
        <v>0</v>
      </c>
      <c r="AA8" s="191">
        <f t="shared" si="9"/>
        <v>0</v>
      </c>
      <c r="AC8" s="191">
        <f t="shared" si="10"/>
        <v>0</v>
      </c>
      <c r="AD8" s="191">
        <f t="shared" si="11"/>
        <v>0</v>
      </c>
      <c r="AE8" s="191">
        <f t="shared" si="12"/>
        <v>0</v>
      </c>
      <c r="AF8" s="191">
        <f t="shared" si="13"/>
        <v>0</v>
      </c>
      <c r="AG8" s="191">
        <f t="shared" si="14"/>
        <v>0</v>
      </c>
      <c r="AH8" s="191">
        <f t="shared" si="15"/>
        <v>0</v>
      </c>
      <c r="AI8" s="191">
        <f t="shared" si="16"/>
        <v>0</v>
      </c>
      <c r="AJ8" s="191">
        <f t="shared" si="17"/>
        <v>0</v>
      </c>
      <c r="AK8" s="191">
        <f t="shared" si="18"/>
        <v>0</v>
      </c>
      <c r="AL8" s="191">
        <f t="shared" si="19"/>
        <v>0</v>
      </c>
      <c r="AM8" s="191">
        <f t="shared" si="20"/>
        <v>0</v>
      </c>
    </row>
    <row r="9" spans="1:40">
      <c r="C9" s="194">
        <v>0</v>
      </c>
      <c r="D9" s="194">
        <v>0</v>
      </c>
      <c r="E9" s="194">
        <v>0</v>
      </c>
      <c r="F9" s="194">
        <v>0</v>
      </c>
      <c r="G9" s="194">
        <v>0</v>
      </c>
      <c r="H9" s="194">
        <v>0</v>
      </c>
      <c r="I9" s="194">
        <v>0</v>
      </c>
      <c r="J9" s="209">
        <f t="shared" si="1"/>
        <v>0</v>
      </c>
      <c r="K9" s="221">
        <f t="shared" si="2"/>
        <v>0</v>
      </c>
      <c r="L9" s="221">
        <f t="shared" si="3"/>
        <v>0</v>
      </c>
      <c r="M9" s="222">
        <f t="shared" si="4"/>
        <v>0</v>
      </c>
      <c r="N9" s="197"/>
      <c r="O9" s="194">
        <f t="shared" si="5"/>
        <v>0</v>
      </c>
      <c r="Q9" s="191">
        <v>0</v>
      </c>
      <c r="R9" s="191">
        <v>0</v>
      </c>
      <c r="S9" s="191">
        <v>0</v>
      </c>
      <c r="T9" s="191">
        <v>0</v>
      </c>
      <c r="U9" s="191">
        <v>0</v>
      </c>
      <c r="V9" s="191">
        <v>0</v>
      </c>
      <c r="W9" s="191">
        <v>0</v>
      </c>
      <c r="X9" s="191">
        <f t="shared" si="6"/>
        <v>0</v>
      </c>
      <c r="Y9" s="191">
        <f t="shared" si="7"/>
        <v>0</v>
      </c>
      <c r="Z9" s="191">
        <f t="shared" si="8"/>
        <v>0</v>
      </c>
      <c r="AA9" s="191">
        <f t="shared" si="9"/>
        <v>0</v>
      </c>
      <c r="AC9" s="191">
        <f t="shared" si="10"/>
        <v>0</v>
      </c>
      <c r="AD9" s="191">
        <f t="shared" si="11"/>
        <v>0</v>
      </c>
      <c r="AE9" s="191">
        <f t="shared" si="12"/>
        <v>0</v>
      </c>
      <c r="AF9" s="191">
        <f t="shared" si="13"/>
        <v>0</v>
      </c>
      <c r="AG9" s="191">
        <f t="shared" si="14"/>
        <v>0</v>
      </c>
      <c r="AH9" s="191">
        <f t="shared" si="15"/>
        <v>0</v>
      </c>
      <c r="AI9" s="191">
        <f t="shared" si="16"/>
        <v>0</v>
      </c>
      <c r="AJ9" s="191">
        <f t="shared" si="17"/>
        <v>0</v>
      </c>
      <c r="AK9" s="191">
        <f t="shared" si="18"/>
        <v>0</v>
      </c>
      <c r="AL9" s="191">
        <f t="shared" si="19"/>
        <v>0</v>
      </c>
      <c r="AM9" s="191">
        <f t="shared" si="20"/>
        <v>0</v>
      </c>
    </row>
    <row r="10" spans="1:40">
      <c r="C10" s="194">
        <v>0</v>
      </c>
      <c r="D10" s="194">
        <v>0</v>
      </c>
      <c r="E10" s="194">
        <v>0</v>
      </c>
      <c r="F10" s="194">
        <v>0</v>
      </c>
      <c r="G10" s="194">
        <v>0</v>
      </c>
      <c r="H10" s="194">
        <v>0</v>
      </c>
      <c r="I10" s="194">
        <v>0</v>
      </c>
      <c r="J10" s="209">
        <f t="shared" si="1"/>
        <v>0</v>
      </c>
      <c r="K10" s="221">
        <f t="shared" si="2"/>
        <v>0</v>
      </c>
      <c r="L10" s="221">
        <f t="shared" si="3"/>
        <v>0</v>
      </c>
      <c r="M10" s="222">
        <f t="shared" si="4"/>
        <v>0</v>
      </c>
      <c r="N10" s="197"/>
      <c r="O10" s="194">
        <f t="shared" si="5"/>
        <v>0</v>
      </c>
      <c r="Q10" s="191">
        <v>0</v>
      </c>
      <c r="R10" s="191">
        <v>0</v>
      </c>
      <c r="S10" s="191">
        <v>0</v>
      </c>
      <c r="T10" s="191">
        <v>0</v>
      </c>
      <c r="U10" s="191">
        <v>0</v>
      </c>
      <c r="V10" s="191">
        <v>0</v>
      </c>
      <c r="W10" s="191">
        <v>0</v>
      </c>
      <c r="X10" s="191">
        <f t="shared" si="6"/>
        <v>0</v>
      </c>
      <c r="Y10" s="191">
        <f t="shared" si="7"/>
        <v>0</v>
      </c>
      <c r="Z10" s="191">
        <f t="shared" si="8"/>
        <v>0</v>
      </c>
      <c r="AA10" s="191">
        <f t="shared" si="9"/>
        <v>0</v>
      </c>
      <c r="AC10" s="191">
        <f t="shared" si="10"/>
        <v>0</v>
      </c>
      <c r="AD10" s="191">
        <f t="shared" si="11"/>
        <v>0</v>
      </c>
      <c r="AE10" s="191">
        <f t="shared" si="12"/>
        <v>0</v>
      </c>
      <c r="AF10" s="191">
        <f t="shared" si="13"/>
        <v>0</v>
      </c>
      <c r="AG10" s="191">
        <f t="shared" si="14"/>
        <v>0</v>
      </c>
      <c r="AH10" s="191">
        <f t="shared" si="15"/>
        <v>0</v>
      </c>
      <c r="AI10" s="191">
        <f t="shared" si="16"/>
        <v>0</v>
      </c>
      <c r="AJ10" s="191">
        <f t="shared" si="17"/>
        <v>0</v>
      </c>
      <c r="AK10" s="191">
        <f t="shared" si="18"/>
        <v>0</v>
      </c>
      <c r="AL10" s="191">
        <f t="shared" si="19"/>
        <v>0</v>
      </c>
      <c r="AM10" s="191">
        <f t="shared" si="20"/>
        <v>0</v>
      </c>
    </row>
    <row r="11" spans="1:40">
      <c r="C11" s="194">
        <v>0</v>
      </c>
      <c r="D11" s="194">
        <v>0</v>
      </c>
      <c r="E11" s="194">
        <v>0</v>
      </c>
      <c r="F11" s="194">
        <v>0</v>
      </c>
      <c r="G11" s="194">
        <v>0</v>
      </c>
      <c r="H11" s="194">
        <v>0</v>
      </c>
      <c r="I11" s="194">
        <v>0</v>
      </c>
      <c r="J11" s="209">
        <f t="shared" si="1"/>
        <v>0</v>
      </c>
      <c r="K11" s="221">
        <f t="shared" si="2"/>
        <v>0</v>
      </c>
      <c r="L11" s="221">
        <f t="shared" si="3"/>
        <v>0</v>
      </c>
      <c r="M11" s="222">
        <f t="shared" si="4"/>
        <v>0</v>
      </c>
      <c r="N11" s="197"/>
      <c r="O11" s="194">
        <f t="shared" si="5"/>
        <v>0</v>
      </c>
      <c r="Q11" s="191">
        <v>0</v>
      </c>
      <c r="R11" s="191">
        <v>0</v>
      </c>
      <c r="S11" s="191">
        <v>0</v>
      </c>
      <c r="T11" s="191">
        <v>0</v>
      </c>
      <c r="U11" s="191">
        <v>0</v>
      </c>
      <c r="V11" s="191">
        <v>0</v>
      </c>
      <c r="W11" s="191">
        <v>0</v>
      </c>
      <c r="X11" s="191">
        <f t="shared" si="6"/>
        <v>0</v>
      </c>
      <c r="Y11" s="191">
        <f t="shared" si="7"/>
        <v>0</v>
      </c>
      <c r="Z11" s="191">
        <f t="shared" si="8"/>
        <v>0</v>
      </c>
      <c r="AA11" s="191">
        <f t="shared" si="9"/>
        <v>0</v>
      </c>
      <c r="AC11" s="191">
        <f t="shared" si="10"/>
        <v>0</v>
      </c>
      <c r="AD11" s="191">
        <f t="shared" si="11"/>
        <v>0</v>
      </c>
      <c r="AE11" s="191">
        <f t="shared" si="12"/>
        <v>0</v>
      </c>
      <c r="AF11" s="191">
        <f t="shared" si="13"/>
        <v>0</v>
      </c>
      <c r="AG11" s="191">
        <f t="shared" si="14"/>
        <v>0</v>
      </c>
      <c r="AH11" s="191">
        <f t="shared" si="15"/>
        <v>0</v>
      </c>
      <c r="AI11" s="191">
        <f t="shared" si="16"/>
        <v>0</v>
      </c>
      <c r="AJ11" s="191">
        <f t="shared" si="17"/>
        <v>0</v>
      </c>
      <c r="AK11" s="191">
        <f t="shared" si="18"/>
        <v>0</v>
      </c>
      <c r="AL11" s="191">
        <f t="shared" si="19"/>
        <v>0</v>
      </c>
      <c r="AM11" s="191">
        <f t="shared" si="20"/>
        <v>0</v>
      </c>
    </row>
    <row r="12" spans="1:40">
      <c r="C12" s="195">
        <v>0</v>
      </c>
      <c r="D12" s="195">
        <v>0</v>
      </c>
      <c r="E12" s="195">
        <v>0</v>
      </c>
      <c r="F12" s="195">
        <v>0</v>
      </c>
      <c r="G12" s="195">
        <v>0</v>
      </c>
      <c r="H12" s="195">
        <v>0</v>
      </c>
      <c r="I12" s="195">
        <v>0</v>
      </c>
      <c r="J12" s="210">
        <f t="shared" si="1"/>
        <v>0</v>
      </c>
      <c r="K12" s="223">
        <f t="shared" si="2"/>
        <v>0</v>
      </c>
      <c r="L12" s="223">
        <f t="shared" si="3"/>
        <v>0</v>
      </c>
      <c r="M12" s="223">
        <f t="shared" si="4"/>
        <v>0</v>
      </c>
      <c r="N12" s="198"/>
      <c r="O12" s="195">
        <f t="shared" si="5"/>
        <v>0</v>
      </c>
      <c r="Q12" s="195">
        <v>0</v>
      </c>
      <c r="R12" s="195">
        <v>0</v>
      </c>
      <c r="S12" s="195">
        <v>0</v>
      </c>
      <c r="T12" s="195">
        <v>0</v>
      </c>
      <c r="U12" s="195">
        <v>0</v>
      </c>
      <c r="V12" s="195">
        <v>0</v>
      </c>
      <c r="W12" s="195">
        <v>0</v>
      </c>
      <c r="X12" s="195">
        <f t="shared" si="6"/>
        <v>0</v>
      </c>
      <c r="Y12" s="191">
        <f t="shared" si="7"/>
        <v>0</v>
      </c>
      <c r="Z12" s="191">
        <f t="shared" si="8"/>
        <v>0</v>
      </c>
      <c r="AA12" s="191">
        <f t="shared" si="9"/>
        <v>0</v>
      </c>
      <c r="AC12" s="195">
        <f t="shared" si="10"/>
        <v>0</v>
      </c>
      <c r="AD12" s="195">
        <f t="shared" si="11"/>
        <v>0</v>
      </c>
      <c r="AE12" s="195">
        <f t="shared" si="12"/>
        <v>0</v>
      </c>
      <c r="AF12" s="195">
        <f t="shared" si="13"/>
        <v>0</v>
      </c>
      <c r="AG12" s="195">
        <f t="shared" si="14"/>
        <v>0</v>
      </c>
      <c r="AH12" s="195">
        <f t="shared" si="15"/>
        <v>0</v>
      </c>
      <c r="AI12" s="195">
        <f t="shared" si="16"/>
        <v>0</v>
      </c>
      <c r="AJ12" s="195">
        <f t="shared" si="17"/>
        <v>0</v>
      </c>
      <c r="AK12" s="195">
        <f t="shared" si="18"/>
        <v>0</v>
      </c>
      <c r="AL12" s="191">
        <f t="shared" si="19"/>
        <v>0</v>
      </c>
      <c r="AM12" s="191">
        <f t="shared" si="20"/>
        <v>0</v>
      </c>
    </row>
    <row r="13" spans="1:40">
      <c r="J13" s="209"/>
      <c r="K13" s="221"/>
      <c r="L13" s="221"/>
      <c r="M13" s="221"/>
      <c r="N13" s="199"/>
    </row>
    <row r="14" spans="1:40" s="211" customFormat="1">
      <c r="B14" s="228" t="s">
        <v>24</v>
      </c>
      <c r="C14" s="212">
        <f>SUM(C3:C13)</f>
        <v>0</v>
      </c>
      <c r="D14" s="212">
        <f t="shared" ref="D14:M14" si="21">SUM(D3:D13)</f>
        <v>0</v>
      </c>
      <c r="E14" s="212">
        <f t="shared" si="21"/>
        <v>0</v>
      </c>
      <c r="F14" s="212">
        <f t="shared" si="21"/>
        <v>0</v>
      </c>
      <c r="G14" s="212">
        <f t="shared" si="21"/>
        <v>0</v>
      </c>
      <c r="H14" s="212">
        <f t="shared" si="21"/>
        <v>0</v>
      </c>
      <c r="I14" s="212">
        <f t="shared" si="21"/>
        <v>0</v>
      </c>
      <c r="J14" s="212">
        <f t="shared" si="21"/>
        <v>0</v>
      </c>
      <c r="K14" s="212">
        <f t="shared" si="21"/>
        <v>0</v>
      </c>
      <c r="L14" s="212">
        <f t="shared" si="21"/>
        <v>0</v>
      </c>
      <c r="M14" s="212">
        <f t="shared" si="21"/>
        <v>0</v>
      </c>
      <c r="N14" s="220"/>
      <c r="O14" s="212">
        <f t="shared" ref="O14" si="22">SUM(O3:O13)</f>
        <v>0</v>
      </c>
      <c r="Q14" s="212">
        <f t="shared" ref="Q14:AA14" si="23">SUM(Q3:Q13)</f>
        <v>0</v>
      </c>
      <c r="R14" s="212">
        <f t="shared" si="23"/>
        <v>0</v>
      </c>
      <c r="S14" s="212">
        <f t="shared" si="23"/>
        <v>0</v>
      </c>
      <c r="T14" s="212">
        <f t="shared" si="23"/>
        <v>0</v>
      </c>
      <c r="U14" s="212">
        <f t="shared" si="23"/>
        <v>0</v>
      </c>
      <c r="V14" s="212">
        <f t="shared" si="23"/>
        <v>0</v>
      </c>
      <c r="W14" s="212">
        <f t="shared" si="23"/>
        <v>0</v>
      </c>
      <c r="X14" s="212">
        <f t="shared" si="23"/>
        <v>0</v>
      </c>
      <c r="Y14" s="212">
        <f t="shared" si="23"/>
        <v>0</v>
      </c>
      <c r="Z14" s="212">
        <f t="shared" si="23"/>
        <v>0</v>
      </c>
      <c r="AA14" s="212">
        <f t="shared" si="23"/>
        <v>0</v>
      </c>
      <c r="AB14" s="212"/>
      <c r="AC14" s="212">
        <f t="shared" ref="AC14:AM14" si="24">SUM(AC3:AC13)</f>
        <v>0</v>
      </c>
      <c r="AD14" s="212">
        <f t="shared" si="24"/>
        <v>0</v>
      </c>
      <c r="AE14" s="212">
        <f t="shared" si="24"/>
        <v>0</v>
      </c>
      <c r="AF14" s="212">
        <f t="shared" si="24"/>
        <v>0</v>
      </c>
      <c r="AG14" s="212">
        <f t="shared" si="24"/>
        <v>0</v>
      </c>
      <c r="AH14" s="212">
        <f t="shared" si="24"/>
        <v>0</v>
      </c>
      <c r="AI14" s="212">
        <f t="shared" si="24"/>
        <v>0</v>
      </c>
      <c r="AJ14" s="212">
        <f t="shared" si="24"/>
        <v>0</v>
      </c>
      <c r="AK14" s="212">
        <f t="shared" si="24"/>
        <v>0</v>
      </c>
      <c r="AL14" s="212">
        <f t="shared" si="24"/>
        <v>0</v>
      </c>
      <c r="AM14" s="212">
        <f t="shared" si="24"/>
        <v>0</v>
      </c>
      <c r="AN14" s="212"/>
    </row>
    <row r="15" spans="1:40">
      <c r="K15" s="221"/>
      <c r="L15" s="221"/>
      <c r="M15" s="221"/>
    </row>
  </sheetData>
  <mergeCells count="3">
    <mergeCell ref="B1:M1"/>
    <mergeCell ref="Q1:Y1"/>
    <mergeCell ref="AC1:A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396CF-1E56-43A9-80AA-28BB7EB85FBC}">
  <sheetPr>
    <tabColor rgb="FF002060"/>
    <pageSetUpPr fitToPage="1"/>
  </sheetPr>
  <dimension ref="A1:CK38"/>
  <sheetViews>
    <sheetView zoomScale="80" zoomScaleNormal="80" workbookViewId="0">
      <selection activeCell="P30" sqref="P30"/>
    </sheetView>
  </sheetViews>
  <sheetFormatPr defaultRowHeight="14.45"/>
  <cols>
    <col min="1" max="1" width="24.85546875" customWidth="1"/>
    <col min="2" max="2" width="0.7109375" customWidth="1"/>
    <col min="3" max="3" width="16.28515625" style="391" bestFit="1" customWidth="1"/>
    <col min="4" max="4" width="6.7109375" bestFit="1" customWidth="1"/>
    <col min="5" max="5" width="9.28515625" customWidth="1"/>
    <col min="6" max="6" width="11.28515625" bestFit="1" customWidth="1"/>
    <col min="7" max="7" width="12.7109375" bestFit="1" customWidth="1"/>
    <col min="8" max="15" width="0.85546875" customWidth="1"/>
    <col min="16" max="16" width="15.85546875" bestFit="1" customWidth="1"/>
    <col min="17" max="17" width="22.140625" customWidth="1"/>
    <col min="18" max="23" width="0.7109375" customWidth="1"/>
    <col min="24" max="24" width="22.140625" customWidth="1"/>
    <col min="25" max="25" width="5.140625" customWidth="1"/>
    <col min="26" max="26" width="19" customWidth="1"/>
    <col min="27" max="27" width="2.28515625" customWidth="1"/>
    <col min="28" max="28" width="8.85546875" customWidth="1"/>
    <col min="29" max="29" width="1.7109375" customWidth="1"/>
    <col min="30" max="30" width="10.28515625" customWidth="1"/>
    <col min="31" max="34" width="1" customWidth="1"/>
    <col min="35" max="35" width="9.42578125" customWidth="1"/>
    <col min="36" max="36" width="10.28515625" customWidth="1"/>
    <col min="37" max="37" width="18.140625" customWidth="1"/>
    <col min="38" max="38" width="33.85546875" customWidth="1"/>
    <col min="39" max="56" width="15.42578125" customWidth="1"/>
    <col min="57" max="57" width="12.5703125" customWidth="1"/>
    <col min="61" max="61" width="10.28515625" customWidth="1"/>
    <col min="62" max="62" width="15.85546875" customWidth="1"/>
    <col min="63" max="63" width="10" customWidth="1"/>
    <col min="65" max="65" width="0.5703125" customWidth="1"/>
    <col min="66" max="66" width="10.7109375" bestFit="1" customWidth="1"/>
    <col min="67" max="67" width="1" customWidth="1"/>
    <col min="68" max="68" width="19.5703125" bestFit="1" customWidth="1"/>
    <col min="69" max="72" width="0.7109375" customWidth="1"/>
    <col min="73" max="78" width="0.5703125" customWidth="1"/>
    <col min="79" max="79" width="13.7109375" bestFit="1" customWidth="1"/>
    <col min="80" max="80" width="14.7109375" bestFit="1" customWidth="1"/>
  </cols>
  <sheetData>
    <row r="1" spans="1:83" ht="25.9">
      <c r="A1" s="271" t="s">
        <v>25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1"/>
      <c r="Q1" s="272"/>
      <c r="R1" s="271"/>
      <c r="S1" s="271"/>
      <c r="T1" s="271"/>
      <c r="U1" s="271"/>
      <c r="V1" s="271"/>
      <c r="W1" s="271"/>
      <c r="X1" s="271"/>
      <c r="Y1" s="273"/>
      <c r="Z1" s="273"/>
      <c r="AA1" s="274"/>
      <c r="AB1" s="275"/>
      <c r="AC1" s="275"/>
      <c r="AD1" s="276"/>
      <c r="AE1" s="276"/>
      <c r="AF1" s="276"/>
      <c r="AG1" s="276"/>
      <c r="AH1" s="276"/>
      <c r="AI1" s="276"/>
      <c r="AJ1" s="276"/>
      <c r="AK1" s="276"/>
      <c r="AL1" s="276"/>
      <c r="AM1" s="276"/>
      <c r="AN1" s="276"/>
      <c r="AO1" s="276"/>
      <c r="AP1" s="276"/>
      <c r="AQ1" s="276"/>
      <c r="AR1" s="276"/>
      <c r="AS1" s="276"/>
      <c r="AT1" s="276"/>
      <c r="AU1" s="276"/>
      <c r="AV1" s="276"/>
      <c r="AW1" s="276"/>
      <c r="AX1" s="276"/>
      <c r="AY1" s="276"/>
      <c r="AZ1" s="276"/>
      <c r="BA1" s="276"/>
      <c r="BB1" s="276"/>
      <c r="BC1" s="276"/>
      <c r="BD1" s="276"/>
      <c r="BE1" s="276"/>
      <c r="BF1" s="277"/>
      <c r="BG1" s="278"/>
      <c r="BH1" s="279"/>
      <c r="BI1" s="278"/>
      <c r="BJ1" s="278"/>
      <c r="BK1" s="280"/>
      <c r="BL1" s="281"/>
      <c r="BM1" s="278"/>
      <c r="BN1" s="278"/>
      <c r="BO1" s="278"/>
      <c r="BP1" s="278"/>
      <c r="BQ1" s="278"/>
      <c r="BR1" s="281"/>
      <c r="BS1" s="279"/>
      <c r="BT1" s="281"/>
      <c r="BU1" s="281"/>
      <c r="BV1" s="278"/>
      <c r="BW1" s="281"/>
      <c r="BX1" s="281"/>
      <c r="BY1" s="281"/>
      <c r="BZ1" s="281"/>
      <c r="CA1" s="281"/>
      <c r="CB1" s="282"/>
      <c r="CC1" s="281"/>
      <c r="CD1" s="281"/>
      <c r="CE1" s="281"/>
    </row>
    <row r="2" spans="1:83" s="297" customFormat="1" ht="15" customHeight="1">
      <c r="A2" s="283" t="s">
        <v>26</v>
      </c>
      <c r="B2" s="284"/>
      <c r="C2" s="285"/>
      <c r="D2" s="284"/>
      <c r="E2" s="284"/>
      <c r="F2" s="284"/>
      <c r="G2" s="286"/>
      <c r="H2" s="286"/>
      <c r="I2" s="286"/>
      <c r="J2" s="286"/>
      <c r="K2" s="286"/>
      <c r="L2" s="286"/>
      <c r="M2" s="286"/>
      <c r="N2" s="286"/>
      <c r="O2" s="286"/>
      <c r="P2" s="286"/>
      <c r="Q2" s="287"/>
      <c r="R2" s="288"/>
      <c r="S2" s="288"/>
      <c r="T2" s="288"/>
      <c r="U2" s="288"/>
      <c r="V2" s="288"/>
      <c r="W2" s="288"/>
      <c r="X2" s="289"/>
      <c r="Y2" s="288"/>
      <c r="Z2" s="288"/>
      <c r="AA2" s="290"/>
      <c r="AB2" s="291"/>
      <c r="AC2" s="291"/>
      <c r="AD2" s="291"/>
      <c r="AE2" s="291"/>
      <c r="AF2" s="291"/>
      <c r="AG2" s="291"/>
      <c r="AH2" s="291"/>
      <c r="AI2" s="291"/>
      <c r="AJ2" s="291"/>
      <c r="AK2" s="291"/>
      <c r="AL2" s="291"/>
      <c r="AM2" s="291"/>
      <c r="AN2" s="291"/>
      <c r="AO2" s="291"/>
      <c r="AP2" s="291"/>
      <c r="AQ2" s="291"/>
      <c r="AR2" s="291"/>
      <c r="AS2" s="291"/>
      <c r="AT2" s="291"/>
      <c r="AU2" s="291"/>
      <c r="AV2" s="291"/>
      <c r="AW2" s="291"/>
      <c r="AX2" s="291"/>
      <c r="AY2" s="291"/>
      <c r="AZ2" s="291"/>
      <c r="BA2" s="291"/>
      <c r="BB2" s="291"/>
      <c r="BC2" s="291"/>
      <c r="BD2" s="291"/>
      <c r="BE2" s="291"/>
      <c r="BF2" s="292"/>
      <c r="BG2" s="293"/>
      <c r="BH2" s="294"/>
      <c r="BI2" s="293"/>
      <c r="BJ2" s="293"/>
      <c r="BK2" s="295"/>
      <c r="BL2" s="296"/>
      <c r="BM2" s="293"/>
      <c r="BN2" s="293"/>
      <c r="BO2" s="293"/>
      <c r="BP2" s="293"/>
      <c r="BQ2" s="293"/>
      <c r="BR2" s="296"/>
      <c r="BS2" s="294"/>
      <c r="BT2" s="296"/>
      <c r="BU2" s="296"/>
      <c r="BV2" s="293"/>
      <c r="BW2" s="296"/>
      <c r="BX2" s="296"/>
      <c r="BY2" s="296"/>
      <c r="BZ2" s="296"/>
      <c r="CA2" s="296"/>
      <c r="CB2" s="287"/>
      <c r="CC2" s="296"/>
      <c r="CD2" s="296"/>
      <c r="CE2" s="296"/>
    </row>
    <row r="3" spans="1:83" s="297" customFormat="1" ht="15" customHeight="1">
      <c r="A3" s="298" t="s">
        <v>27</v>
      </c>
      <c r="B3" s="286"/>
      <c r="C3" s="285" t="s">
        <v>28</v>
      </c>
      <c r="D3" s="299"/>
      <c r="E3" s="299"/>
      <c r="F3" s="299"/>
      <c r="G3" s="286"/>
      <c r="H3" s="286"/>
      <c r="I3" s="286"/>
      <c r="J3" s="286"/>
      <c r="K3" s="286"/>
      <c r="L3" s="286"/>
      <c r="M3" s="286"/>
      <c r="N3" s="286"/>
      <c r="O3" s="286"/>
      <c r="P3" s="286"/>
      <c r="Q3" s="287"/>
      <c r="R3" s="288"/>
      <c r="S3" s="288"/>
      <c r="T3" s="288"/>
      <c r="U3" s="288"/>
      <c r="V3" s="288"/>
      <c r="W3" s="288"/>
      <c r="X3" s="289"/>
      <c r="Y3" s="288"/>
      <c r="Z3" s="288"/>
      <c r="AA3" s="290"/>
      <c r="AB3" s="291"/>
      <c r="AC3" s="291"/>
      <c r="AD3" s="291"/>
      <c r="AE3" s="291"/>
      <c r="AF3" s="291"/>
      <c r="AG3" s="291"/>
      <c r="AH3" s="291"/>
      <c r="AI3" s="291"/>
      <c r="AJ3" s="291"/>
      <c r="AK3" s="291"/>
      <c r="AL3" s="291"/>
      <c r="AM3" s="291"/>
      <c r="AN3" s="291"/>
      <c r="AO3" s="291"/>
      <c r="AP3" s="291"/>
      <c r="AQ3" s="291"/>
      <c r="AR3" s="291"/>
      <c r="AS3" s="291"/>
      <c r="AT3" s="291"/>
      <c r="AU3" s="291"/>
      <c r="AV3" s="291"/>
      <c r="AW3" s="291"/>
      <c r="AX3" s="291"/>
      <c r="AY3" s="291"/>
      <c r="AZ3" s="291"/>
      <c r="BA3" s="291"/>
      <c r="BB3" s="291"/>
      <c r="BC3" s="291"/>
      <c r="BD3" s="291"/>
      <c r="BE3" s="291"/>
      <c r="BF3" s="292"/>
      <c r="BG3" s="293"/>
      <c r="BH3" s="294"/>
      <c r="BI3" s="293"/>
      <c r="BJ3" s="293"/>
      <c r="BK3" s="295"/>
      <c r="BL3" s="296"/>
      <c r="BM3" s="293"/>
      <c r="BN3" s="293"/>
      <c r="BO3" s="293"/>
      <c r="BP3" s="293"/>
      <c r="BQ3" s="293"/>
      <c r="BR3" s="296"/>
      <c r="BS3" s="294"/>
      <c r="BT3" s="296"/>
      <c r="BU3" s="296"/>
      <c r="BV3" s="293"/>
      <c r="BW3" s="296"/>
      <c r="BX3" s="296"/>
      <c r="BY3" s="296"/>
      <c r="BZ3" s="296"/>
      <c r="CA3" s="296"/>
      <c r="CB3" s="287"/>
      <c r="CC3" s="296"/>
      <c r="CD3" s="296"/>
      <c r="CE3" s="296"/>
    </row>
    <row r="4" spans="1:83" s="297" customFormat="1" ht="15" customHeight="1">
      <c r="A4" s="283" t="s">
        <v>29</v>
      </c>
      <c r="B4" s="300"/>
      <c r="C4" s="285"/>
      <c r="D4" s="286"/>
      <c r="E4" s="286"/>
      <c r="F4" s="286"/>
      <c r="G4" s="286"/>
      <c r="H4" s="286"/>
      <c r="I4" s="286"/>
      <c r="J4" s="284"/>
      <c r="K4" s="284"/>
      <c r="L4" s="284"/>
      <c r="M4" s="284"/>
      <c r="N4" s="284"/>
      <c r="O4" s="284"/>
      <c r="P4" s="284"/>
      <c r="Q4" s="287"/>
      <c r="R4" s="301"/>
      <c r="S4" s="301"/>
      <c r="T4" s="301"/>
      <c r="U4" s="301"/>
      <c r="V4" s="301"/>
      <c r="W4" s="301"/>
      <c r="X4" s="301"/>
      <c r="Y4" s="301"/>
      <c r="Z4" s="301"/>
      <c r="AA4" s="290"/>
      <c r="AB4" s="291"/>
      <c r="AC4" s="291"/>
      <c r="AD4" s="291"/>
      <c r="AE4" s="291"/>
      <c r="AF4" s="291"/>
      <c r="AG4" s="291"/>
      <c r="AH4" s="291"/>
      <c r="AI4" s="291"/>
      <c r="AJ4" s="291"/>
      <c r="AK4" s="291"/>
      <c r="AL4" s="291"/>
      <c r="AM4" s="291"/>
      <c r="AN4" s="291"/>
      <c r="AO4" s="291"/>
      <c r="AP4" s="291"/>
      <c r="AQ4" s="291"/>
      <c r="AR4" s="291"/>
      <c r="AS4" s="291"/>
      <c r="AT4" s="291"/>
      <c r="AU4" s="291"/>
      <c r="AV4" s="291"/>
      <c r="AW4" s="291"/>
      <c r="AX4" s="291"/>
      <c r="AY4" s="291"/>
      <c r="AZ4" s="291"/>
      <c r="BA4" s="291"/>
      <c r="BB4" s="291"/>
      <c r="BC4" s="291"/>
      <c r="BD4" s="291"/>
      <c r="BE4" s="291"/>
      <c r="BF4" s="302"/>
      <c r="BG4" s="293"/>
      <c r="BH4" s="294"/>
      <c r="BI4" s="293"/>
      <c r="BJ4" s="293"/>
      <c r="BK4" s="295"/>
      <c r="BL4" s="296"/>
      <c r="BM4" s="293"/>
      <c r="BN4" s="293"/>
      <c r="BO4" s="293"/>
      <c r="BP4" s="293"/>
      <c r="BQ4" s="293"/>
      <c r="BR4" s="296"/>
      <c r="BS4" s="294"/>
      <c r="BT4" s="296"/>
      <c r="BU4" s="296"/>
      <c r="BV4" s="293"/>
      <c r="BW4" s="296"/>
      <c r="BX4" s="296"/>
      <c r="BY4" s="296"/>
      <c r="BZ4" s="296"/>
      <c r="CA4" s="296"/>
      <c r="CB4" s="287"/>
      <c r="CC4" s="296"/>
      <c r="CD4" s="296"/>
      <c r="CE4" s="296"/>
    </row>
    <row r="5" spans="1:83" s="297" customFormat="1" ht="15" customHeight="1">
      <c r="A5" s="283" t="s">
        <v>30</v>
      </c>
      <c r="B5" s="300"/>
      <c r="C5" s="303">
        <v>1</v>
      </c>
      <c r="D5" s="286"/>
      <c r="E5" s="286"/>
      <c r="F5" s="286"/>
      <c r="G5" s="286"/>
      <c r="H5" s="286"/>
      <c r="I5" s="286"/>
      <c r="J5" s="284"/>
      <c r="K5" s="284"/>
      <c r="L5" s="284"/>
      <c r="M5" s="284"/>
      <c r="N5" s="284"/>
      <c r="O5" s="284"/>
      <c r="P5" s="284"/>
      <c r="Q5" s="287"/>
      <c r="R5" s="301"/>
      <c r="S5" s="301"/>
      <c r="T5" s="301"/>
      <c r="U5" s="301"/>
      <c r="V5" s="301"/>
      <c r="W5" s="301"/>
      <c r="X5" s="301"/>
      <c r="Y5" s="301"/>
      <c r="Z5" s="301"/>
      <c r="AA5" s="290"/>
      <c r="AB5" s="291"/>
      <c r="AC5" s="291"/>
      <c r="AD5" s="291"/>
      <c r="AE5" s="291"/>
      <c r="AF5" s="291"/>
      <c r="AG5" s="291"/>
      <c r="AH5" s="291"/>
      <c r="AI5" s="291"/>
      <c r="AJ5" s="291"/>
      <c r="AK5" s="291"/>
      <c r="AL5" s="291"/>
      <c r="AM5" s="291"/>
      <c r="AN5" s="291"/>
      <c r="AO5" s="291"/>
      <c r="AP5" s="291"/>
      <c r="AQ5" s="291"/>
      <c r="AR5" s="291"/>
      <c r="AS5" s="291"/>
      <c r="AT5" s="291"/>
      <c r="AU5" s="291"/>
      <c r="AV5" s="291"/>
      <c r="AW5" s="291"/>
      <c r="AX5" s="291"/>
      <c r="AY5" s="291"/>
      <c r="AZ5" s="291"/>
      <c r="BA5" s="291"/>
      <c r="BB5" s="291"/>
      <c r="BC5" s="291"/>
      <c r="BD5" s="291"/>
      <c r="BE5" s="291"/>
      <c r="BF5" s="302"/>
      <c r="BG5" s="293"/>
      <c r="BH5" s="294"/>
      <c r="BI5" s="293"/>
      <c r="BJ5" s="293"/>
      <c r="BK5" s="295"/>
      <c r="BL5" s="296"/>
      <c r="BM5" s="293"/>
      <c r="BN5" s="293"/>
      <c r="BO5" s="293"/>
      <c r="BP5" s="293"/>
      <c r="BQ5" s="293"/>
      <c r="BR5" s="296"/>
      <c r="BS5" s="294"/>
      <c r="BT5" s="296"/>
      <c r="BU5" s="296"/>
      <c r="BV5" s="293"/>
      <c r="BW5" s="296"/>
      <c r="BX5" s="296"/>
      <c r="BY5" s="296"/>
      <c r="BZ5" s="296"/>
      <c r="CA5" s="296"/>
      <c r="CB5" s="287"/>
      <c r="CC5" s="296"/>
      <c r="CD5" s="296"/>
      <c r="CE5" s="296"/>
    </row>
    <row r="6" spans="1:83" s="297" customFormat="1" ht="15" customHeight="1">
      <c r="A6" s="283"/>
      <c r="B6" s="300"/>
      <c r="C6" s="303"/>
      <c r="D6" s="286"/>
      <c r="E6" s="286"/>
      <c r="F6" s="286"/>
      <c r="G6" s="286"/>
      <c r="H6" s="286"/>
      <c r="I6" s="286"/>
      <c r="J6" s="284"/>
      <c r="K6" s="284"/>
      <c r="L6" s="284"/>
      <c r="M6" s="284"/>
      <c r="N6" s="284"/>
      <c r="O6" s="284"/>
      <c r="P6" s="284"/>
      <c r="Q6" s="287"/>
      <c r="R6" s="301"/>
      <c r="S6" s="301"/>
      <c r="T6" s="301"/>
      <c r="U6" s="301"/>
      <c r="V6" s="301"/>
      <c r="W6" s="301"/>
      <c r="X6" s="301"/>
      <c r="Y6" s="301"/>
      <c r="Z6" s="301"/>
      <c r="AA6" s="290"/>
      <c r="AB6" s="291"/>
      <c r="AC6" s="291"/>
      <c r="AD6" s="291"/>
      <c r="AE6" s="291"/>
      <c r="AF6" s="291"/>
      <c r="AG6" s="291"/>
      <c r="AH6" s="291"/>
      <c r="AI6" s="291"/>
      <c r="AJ6" s="291"/>
      <c r="AK6" s="291"/>
      <c r="AL6" s="291"/>
      <c r="AM6" s="291"/>
      <c r="AN6" s="291"/>
      <c r="AO6" s="291"/>
      <c r="AP6" s="291"/>
      <c r="AQ6" s="291"/>
      <c r="AR6" s="291"/>
      <c r="AS6" s="291"/>
      <c r="AT6" s="291"/>
      <c r="AU6" s="291"/>
      <c r="AV6" s="291"/>
      <c r="AW6" s="291"/>
      <c r="AX6" s="291"/>
      <c r="AY6" s="291"/>
      <c r="AZ6" s="291"/>
      <c r="BA6" s="291"/>
      <c r="BB6" s="291"/>
      <c r="BC6" s="291"/>
      <c r="BD6" s="291"/>
      <c r="BE6" s="291"/>
      <c r="BF6" s="302"/>
      <c r="BG6" s="293"/>
      <c r="BH6" s="294"/>
      <c r="BI6" s="293"/>
      <c r="BJ6" s="293"/>
      <c r="BK6" s="295"/>
      <c r="BL6" s="296"/>
      <c r="BM6" s="293"/>
      <c r="BN6" s="293"/>
      <c r="BO6" s="293"/>
      <c r="BP6" s="293"/>
      <c r="BQ6" s="293"/>
      <c r="BR6" s="296"/>
      <c r="BS6" s="294"/>
      <c r="BT6" s="296"/>
      <c r="BU6" s="296"/>
      <c r="BV6" s="293"/>
      <c r="BW6" s="296"/>
      <c r="BX6" s="296"/>
      <c r="BY6" s="296"/>
      <c r="BZ6" s="296"/>
      <c r="CA6" s="296"/>
      <c r="CB6" s="287"/>
      <c r="CC6" s="296"/>
      <c r="CD6" s="296"/>
      <c r="CE6" s="296"/>
    </row>
    <row r="7" spans="1:83" s="297" customFormat="1" ht="15" customHeight="1" thickBot="1">
      <c r="A7" s="283"/>
      <c r="B7" s="300"/>
      <c r="C7" s="303"/>
      <c r="D7" s="286"/>
      <c r="E7" s="286"/>
      <c r="F7" s="286"/>
      <c r="G7" s="286"/>
      <c r="H7" s="286"/>
      <c r="I7" s="286"/>
      <c r="J7" s="284"/>
      <c r="K7" s="284"/>
      <c r="L7" s="284"/>
      <c r="M7" s="284"/>
      <c r="N7" s="284"/>
      <c r="O7" s="284"/>
      <c r="P7" s="284"/>
      <c r="Q7" s="287"/>
      <c r="R7" s="301"/>
      <c r="S7" s="301"/>
      <c r="T7" s="301"/>
      <c r="U7" s="301"/>
      <c r="V7" s="301"/>
      <c r="W7" s="301"/>
      <c r="X7" s="301"/>
      <c r="Y7" s="301"/>
      <c r="Z7" s="301"/>
      <c r="AA7" s="290"/>
      <c r="AB7" s="291"/>
      <c r="AC7" s="291"/>
      <c r="AD7" s="291"/>
      <c r="AE7" s="291"/>
      <c r="AF7" s="291"/>
      <c r="AG7" s="291"/>
      <c r="AH7" s="291"/>
      <c r="AI7" s="291"/>
      <c r="AJ7" s="291"/>
      <c r="AK7" s="291"/>
      <c r="AL7" s="291"/>
      <c r="AM7" s="291"/>
      <c r="AN7" s="291"/>
      <c r="AO7" s="291"/>
      <c r="AP7" s="291"/>
      <c r="AQ7" s="291"/>
      <c r="AR7" s="291"/>
      <c r="AS7" s="291"/>
      <c r="AT7" s="291"/>
      <c r="AU7" s="291"/>
      <c r="AV7" s="291"/>
      <c r="AW7" s="291"/>
      <c r="AX7" s="291"/>
      <c r="AY7" s="291"/>
      <c r="AZ7" s="291"/>
      <c r="BA7" s="291"/>
      <c r="BB7" s="291"/>
      <c r="BC7" s="291"/>
      <c r="BD7" s="291"/>
      <c r="BE7" s="291"/>
      <c r="BF7" s="302"/>
      <c r="BG7" s="293"/>
      <c r="BH7" s="294"/>
      <c r="BI7" s="293"/>
      <c r="BJ7" s="293"/>
      <c r="BK7" s="295"/>
      <c r="BL7" s="296"/>
      <c r="BM7" s="293"/>
      <c r="BN7" s="293"/>
      <c r="BO7" s="293"/>
      <c r="BP7" s="293"/>
      <c r="BQ7" s="293"/>
      <c r="BR7" s="296"/>
      <c r="BS7" s="294"/>
      <c r="BT7" s="296"/>
      <c r="BU7" s="296"/>
      <c r="BV7" s="293"/>
      <c r="BW7" s="296"/>
      <c r="BX7" s="296"/>
      <c r="BY7" s="296"/>
      <c r="BZ7" s="296"/>
      <c r="CA7" s="296"/>
      <c r="CB7" s="287"/>
      <c r="CC7" s="296"/>
      <c r="CD7" s="296"/>
      <c r="CE7" s="296"/>
    </row>
    <row r="8" spans="1:83" s="297" customFormat="1" ht="15" customHeight="1" thickBot="1">
      <c r="A8" s="304" t="s">
        <v>31</v>
      </c>
      <c r="B8" s="305"/>
      <c r="C8" s="306">
        <v>0</v>
      </c>
      <c r="D8" s="286"/>
      <c r="E8" s="286"/>
      <c r="F8" s="286"/>
      <c r="G8" s="286"/>
      <c r="H8" s="286"/>
      <c r="I8" s="286"/>
      <c r="J8" s="284"/>
      <c r="K8" s="284"/>
      <c r="L8" s="284"/>
      <c r="M8" s="284"/>
      <c r="N8" s="284"/>
      <c r="O8" s="284"/>
      <c r="P8" s="284"/>
      <c r="Q8" s="287"/>
      <c r="R8" s="301"/>
      <c r="S8" s="301"/>
      <c r="T8" s="301"/>
      <c r="U8" s="301"/>
      <c r="V8" s="301"/>
      <c r="W8" s="301"/>
      <c r="X8" s="301"/>
      <c r="Y8" s="301"/>
      <c r="Z8" s="301"/>
      <c r="AA8" s="290"/>
      <c r="AB8" s="291"/>
      <c r="AC8" s="291"/>
      <c r="AD8" s="291"/>
      <c r="AE8" s="291"/>
      <c r="AF8" s="291"/>
      <c r="AG8" s="291"/>
      <c r="AH8" s="291"/>
      <c r="AI8" s="291"/>
      <c r="AJ8" s="291"/>
      <c r="AK8" s="291"/>
      <c r="AL8" s="291"/>
      <c r="AM8" s="291"/>
      <c r="AN8" s="291"/>
      <c r="AO8" s="291"/>
      <c r="AP8" s="291"/>
      <c r="AQ8" s="291"/>
      <c r="AR8" s="291"/>
      <c r="AS8" s="291"/>
      <c r="AT8" s="291"/>
      <c r="AU8" s="291"/>
      <c r="AV8" s="291"/>
      <c r="AW8" s="291"/>
      <c r="AX8" s="291"/>
      <c r="AY8" s="291"/>
      <c r="AZ8" s="291"/>
      <c r="BA8" s="291"/>
      <c r="BB8" s="291"/>
      <c r="BC8" s="291"/>
      <c r="BD8" s="291"/>
      <c r="BE8" s="291"/>
      <c r="BF8" s="302"/>
      <c r="BG8" s="293"/>
      <c r="BH8" s="294"/>
      <c r="BI8" s="293"/>
      <c r="BJ8" s="293"/>
      <c r="BK8" s="295"/>
      <c r="BL8" s="296"/>
      <c r="BM8" s="293"/>
      <c r="BN8" s="293"/>
      <c r="BO8" s="293"/>
      <c r="BP8" s="293"/>
      <c r="BQ8" s="293"/>
      <c r="BR8" s="296"/>
      <c r="BS8" s="294"/>
      <c r="BT8" s="296"/>
      <c r="BU8" s="296"/>
      <c r="BV8" s="293"/>
      <c r="BW8" s="296"/>
      <c r="BX8" s="296"/>
      <c r="BY8" s="296"/>
      <c r="BZ8" s="296"/>
      <c r="CA8" s="296"/>
      <c r="CB8" s="287"/>
      <c r="CC8" s="296"/>
      <c r="CD8" s="296"/>
      <c r="CE8" s="296"/>
    </row>
    <row r="9" spans="1:83" s="297" customFormat="1" ht="15" customHeight="1">
      <c r="A9" s="287"/>
      <c r="B9" s="300"/>
      <c r="C9" s="301"/>
      <c r="D9" s="286"/>
      <c r="E9" s="286"/>
      <c r="F9" s="286"/>
      <c r="G9" s="286"/>
      <c r="H9" s="286"/>
      <c r="I9" s="286"/>
      <c r="J9" s="284"/>
      <c r="K9" s="284"/>
      <c r="L9" s="284"/>
      <c r="M9" s="284"/>
      <c r="N9" s="284"/>
      <c r="O9" s="284"/>
      <c r="P9" s="284"/>
      <c r="Q9" s="287"/>
      <c r="R9" s="307"/>
      <c r="S9" s="307"/>
      <c r="T9" s="307"/>
      <c r="U9" s="307"/>
      <c r="V9" s="307"/>
      <c r="W9" s="307"/>
      <c r="X9" s="307"/>
      <c r="Y9" s="301"/>
      <c r="Z9" s="301"/>
      <c r="AA9" s="290"/>
      <c r="AB9" s="291"/>
      <c r="AC9" s="291"/>
      <c r="AD9" s="291"/>
      <c r="AE9" s="291"/>
      <c r="AF9" s="291"/>
      <c r="AG9" s="291"/>
      <c r="AH9" s="291"/>
      <c r="AI9" s="291"/>
      <c r="AJ9" s="291"/>
      <c r="AK9" s="291"/>
      <c r="AL9" s="291"/>
      <c r="AM9" s="291"/>
      <c r="AN9" s="291"/>
      <c r="AO9" s="291"/>
      <c r="AP9" s="291"/>
      <c r="AQ9" s="291"/>
      <c r="AR9" s="291"/>
      <c r="AS9" s="291"/>
      <c r="AT9" s="291"/>
      <c r="AU9" s="291"/>
      <c r="AV9" s="291"/>
      <c r="AW9" s="291"/>
      <c r="AX9" s="291"/>
      <c r="AY9" s="291"/>
      <c r="AZ9" s="291"/>
      <c r="BA9" s="291"/>
      <c r="BB9" s="291"/>
      <c r="BC9" s="291"/>
      <c r="BD9" s="291"/>
      <c r="BE9" s="291"/>
      <c r="BF9" s="302"/>
      <c r="BG9" s="293"/>
      <c r="BH9" s="294"/>
      <c r="BI9" s="293"/>
      <c r="BJ9" s="293"/>
      <c r="BK9" s="295"/>
      <c r="BL9" s="296"/>
      <c r="BM9" s="293"/>
      <c r="BN9" s="293"/>
      <c r="BO9" s="293"/>
      <c r="BP9" s="293"/>
      <c r="BQ9" s="293"/>
      <c r="BR9" s="296"/>
      <c r="BS9" s="294"/>
      <c r="BT9" s="296"/>
      <c r="BU9" s="296"/>
      <c r="BV9" s="293"/>
      <c r="BW9" s="296"/>
      <c r="BX9" s="296"/>
      <c r="BY9" s="296"/>
      <c r="BZ9" s="296"/>
      <c r="CA9" s="296"/>
      <c r="CB9" s="287"/>
      <c r="CC9" s="296"/>
      <c r="CD9" s="296"/>
      <c r="CE9" s="296"/>
    </row>
    <row r="10" spans="1:83" s="297" customFormat="1" ht="15" customHeight="1">
      <c r="A10" s="287" t="s">
        <v>32</v>
      </c>
      <c r="B10" s="300"/>
      <c r="C10" s="301">
        <v>0</v>
      </c>
      <c r="D10" s="286"/>
      <c r="E10" s="286"/>
      <c r="F10" s="286"/>
      <c r="G10" s="286"/>
      <c r="H10" s="286"/>
      <c r="I10" s="286"/>
      <c r="J10" s="284"/>
      <c r="K10" s="284"/>
      <c r="L10" s="284"/>
      <c r="M10" s="284"/>
      <c r="N10" s="284"/>
      <c r="O10" s="284"/>
      <c r="P10" s="284"/>
      <c r="Q10" s="287"/>
      <c r="R10" s="308"/>
      <c r="S10" s="308"/>
      <c r="T10" s="308"/>
      <c r="U10" s="308"/>
      <c r="V10" s="308"/>
      <c r="W10" s="308"/>
      <c r="X10" s="307"/>
      <c r="Y10" s="301"/>
      <c r="Z10" s="301"/>
      <c r="AA10" s="290"/>
      <c r="AB10" s="291"/>
      <c r="AC10" s="291"/>
      <c r="AD10" s="291"/>
      <c r="AE10" s="291"/>
      <c r="AF10" s="291"/>
      <c r="AG10" s="291"/>
      <c r="AH10" s="291"/>
      <c r="AI10" s="291"/>
      <c r="AJ10" s="291"/>
      <c r="AK10" s="291"/>
      <c r="AL10" s="291"/>
      <c r="AM10" s="291"/>
      <c r="AN10" s="291"/>
      <c r="AO10" s="291"/>
      <c r="AP10" s="291"/>
      <c r="AQ10" s="291"/>
      <c r="AR10" s="291"/>
      <c r="AS10" s="291"/>
      <c r="AT10" s="291"/>
      <c r="AU10" s="291"/>
      <c r="AV10" s="291"/>
      <c r="AW10" s="291"/>
      <c r="AX10" s="291"/>
      <c r="AY10" s="291"/>
      <c r="AZ10" s="291"/>
      <c r="BA10" s="291"/>
      <c r="BB10" s="291"/>
      <c r="BC10" s="291"/>
      <c r="BD10" s="291"/>
      <c r="BE10" s="291"/>
      <c r="BF10" s="302"/>
      <c r="BG10" s="293"/>
      <c r="BH10" s="294"/>
      <c r="BI10" s="293"/>
      <c r="BJ10" s="293"/>
      <c r="BK10" s="295"/>
      <c r="BL10" s="296"/>
      <c r="BM10" s="293"/>
      <c r="BN10" s="293"/>
      <c r="BO10" s="293"/>
      <c r="BP10" s="293"/>
      <c r="BQ10" s="293"/>
      <c r="BR10" s="296"/>
      <c r="BS10" s="294"/>
      <c r="BT10" s="296"/>
      <c r="BU10" s="296"/>
      <c r="BV10" s="293"/>
      <c r="BW10" s="296"/>
      <c r="BX10" s="296"/>
      <c r="BY10" s="296"/>
      <c r="BZ10" s="296"/>
      <c r="CA10" s="296"/>
      <c r="CB10" s="287"/>
      <c r="CC10" s="296"/>
      <c r="CD10" s="296"/>
      <c r="CE10" s="296"/>
    </row>
    <row r="11" spans="1:83" s="297" customFormat="1" ht="15" customHeight="1">
      <c r="A11" s="287" t="s">
        <v>33</v>
      </c>
      <c r="B11" s="300"/>
      <c r="C11" s="301">
        <v>0</v>
      </c>
      <c r="D11" s="286"/>
      <c r="E11" s="286"/>
      <c r="F11" s="286"/>
      <c r="G11" s="286"/>
      <c r="H11" s="286"/>
      <c r="I11" s="286"/>
      <c r="J11" s="284"/>
      <c r="K11" s="284"/>
      <c r="L11" s="284"/>
      <c r="M11" s="284"/>
      <c r="N11" s="284"/>
      <c r="O11" s="284"/>
      <c r="P11" s="284"/>
      <c r="Q11" s="287"/>
      <c r="R11" s="308"/>
      <c r="S11" s="308"/>
      <c r="T11" s="308"/>
      <c r="U11" s="308"/>
      <c r="V11" s="308"/>
      <c r="W11" s="308"/>
      <c r="X11" s="307"/>
      <c r="Y11" s="301"/>
      <c r="Z11" s="301"/>
      <c r="AA11" s="290"/>
      <c r="AB11" s="291"/>
      <c r="AC11" s="291"/>
      <c r="AD11" s="291"/>
      <c r="AE11" s="291"/>
      <c r="AF11" s="291"/>
      <c r="AG11" s="291"/>
      <c r="AH11" s="291"/>
      <c r="AI11" s="291"/>
      <c r="AJ11" s="291"/>
      <c r="AK11" s="291"/>
      <c r="AL11" s="291"/>
      <c r="AM11" s="291"/>
      <c r="AN11" s="291"/>
      <c r="AO11" s="291"/>
      <c r="AP11" s="291"/>
      <c r="AQ11" s="291"/>
      <c r="AR11" s="291"/>
      <c r="AS11" s="291"/>
      <c r="AT11" s="291"/>
      <c r="AU11" s="291"/>
      <c r="AV11" s="291"/>
      <c r="AW11" s="291"/>
      <c r="AX11" s="291"/>
      <c r="AY11" s="291"/>
      <c r="AZ11" s="291"/>
      <c r="BA11" s="291"/>
      <c r="BB11" s="291"/>
      <c r="BC11" s="291"/>
      <c r="BD11" s="291"/>
      <c r="BE11" s="291"/>
      <c r="BF11" s="302"/>
      <c r="BG11" s="293"/>
      <c r="BH11" s="294"/>
      <c r="BI11" s="293"/>
      <c r="BJ11" s="293"/>
      <c r="BK11" s="295"/>
      <c r="BL11" s="296"/>
      <c r="BM11" s="293"/>
      <c r="BN11" s="293"/>
      <c r="BO11" s="293"/>
      <c r="BP11" s="293"/>
      <c r="BQ11" s="293"/>
      <c r="BR11" s="296"/>
      <c r="BS11" s="294"/>
      <c r="BT11" s="296"/>
      <c r="BU11" s="296"/>
      <c r="BV11" s="293"/>
      <c r="BW11" s="296"/>
      <c r="BX11" s="296"/>
      <c r="BY11" s="296"/>
      <c r="BZ11" s="296"/>
      <c r="CA11" s="296"/>
      <c r="CB11" s="287"/>
      <c r="CC11" s="296"/>
      <c r="CD11" s="296"/>
      <c r="CE11" s="296"/>
    </row>
    <row r="12" spans="1:83" s="297" customFormat="1" ht="15" customHeight="1">
      <c r="A12" s="287" t="s">
        <v>34</v>
      </c>
      <c r="B12" s="300"/>
      <c r="C12" s="301">
        <v>0</v>
      </c>
      <c r="D12" s="286"/>
      <c r="E12" s="286"/>
      <c r="F12" s="286"/>
      <c r="G12" s="286"/>
      <c r="H12" s="286"/>
      <c r="I12" s="286"/>
      <c r="J12" s="284"/>
      <c r="K12" s="284"/>
      <c r="L12" s="284"/>
      <c r="M12" s="284"/>
      <c r="N12" s="284"/>
      <c r="O12" s="284"/>
      <c r="P12" s="284"/>
      <c r="Q12" s="287"/>
      <c r="R12" s="307"/>
      <c r="S12" s="307"/>
      <c r="T12" s="307"/>
      <c r="U12" s="307"/>
      <c r="V12" s="307"/>
      <c r="W12" s="307"/>
      <c r="X12" s="307"/>
      <c r="Y12" s="301"/>
      <c r="Z12" s="301"/>
      <c r="AA12" s="290"/>
      <c r="AB12" s="291"/>
      <c r="AC12" s="291"/>
      <c r="AD12" s="291"/>
      <c r="AE12" s="291"/>
      <c r="AF12" s="291"/>
      <c r="AG12" s="291"/>
      <c r="AH12" s="291"/>
      <c r="AI12" s="291"/>
      <c r="AJ12" s="291"/>
      <c r="AK12" s="291"/>
      <c r="AL12" s="291"/>
      <c r="AM12" s="291"/>
      <c r="AN12" s="291"/>
      <c r="AO12" s="291"/>
      <c r="AP12" s="291"/>
      <c r="AQ12" s="291"/>
      <c r="AR12" s="291"/>
      <c r="AS12" s="291"/>
      <c r="AT12" s="291"/>
      <c r="AU12" s="291"/>
      <c r="AV12" s="291"/>
      <c r="AW12" s="291"/>
      <c r="AX12" s="291"/>
      <c r="AY12" s="291"/>
      <c r="AZ12" s="291"/>
      <c r="BA12" s="291"/>
      <c r="BB12" s="291"/>
      <c r="BC12" s="291"/>
      <c r="BD12" s="291"/>
      <c r="BE12" s="291"/>
      <c r="BF12" s="302"/>
      <c r="BG12" s="293"/>
      <c r="BH12" s="294"/>
      <c r="BI12" s="293"/>
      <c r="BJ12" s="293"/>
      <c r="BK12" s="295"/>
      <c r="BL12" s="296"/>
      <c r="BM12" s="293"/>
      <c r="BN12" s="293"/>
      <c r="BO12" s="293"/>
      <c r="BP12" s="293"/>
      <c r="BQ12" s="293"/>
      <c r="BR12" s="296"/>
      <c r="BS12" s="294"/>
      <c r="BT12" s="296"/>
      <c r="BU12" s="296"/>
      <c r="BV12" s="293"/>
      <c r="BW12" s="296"/>
      <c r="BX12" s="296"/>
      <c r="BY12" s="296"/>
      <c r="BZ12" s="296"/>
      <c r="CA12" s="296"/>
      <c r="CB12" s="287"/>
      <c r="CC12" s="296"/>
      <c r="CD12" s="296"/>
      <c r="CE12" s="296"/>
    </row>
    <row r="13" spans="1:83" s="297" customFormat="1" ht="15" customHeight="1">
      <c r="A13" s="287" t="s">
        <v>35</v>
      </c>
      <c r="B13" s="300"/>
      <c r="C13" s="301">
        <v>0</v>
      </c>
      <c r="D13" s="286"/>
      <c r="E13" s="286"/>
      <c r="F13" s="286"/>
      <c r="G13" s="286"/>
      <c r="H13" s="286"/>
      <c r="I13" s="286"/>
      <c r="J13" s="284"/>
      <c r="K13" s="284"/>
      <c r="L13" s="284"/>
      <c r="M13" s="284"/>
      <c r="N13" s="284"/>
      <c r="O13" s="284"/>
      <c r="P13" s="284"/>
      <c r="Q13" s="287"/>
      <c r="R13" s="301"/>
      <c r="S13" s="301"/>
      <c r="T13" s="301"/>
      <c r="U13" s="301"/>
      <c r="V13" s="301"/>
      <c r="W13" s="301"/>
      <c r="X13" s="301"/>
      <c r="Y13" s="301"/>
      <c r="Z13" s="301"/>
      <c r="AA13" s="290"/>
      <c r="AB13" s="291"/>
      <c r="AC13" s="291"/>
      <c r="AD13" s="291"/>
      <c r="AE13" s="291"/>
      <c r="AF13" s="291"/>
      <c r="AG13" s="291"/>
      <c r="AH13" s="291"/>
      <c r="AI13" s="291"/>
      <c r="AJ13" s="291"/>
      <c r="AK13" s="291"/>
      <c r="AL13" s="291"/>
      <c r="AM13" s="291"/>
      <c r="AN13" s="291"/>
      <c r="AO13" s="291"/>
      <c r="AP13" s="291"/>
      <c r="AQ13" s="291"/>
      <c r="AR13" s="291"/>
      <c r="AS13" s="291"/>
      <c r="AT13" s="291"/>
      <c r="AU13" s="291"/>
      <c r="AV13" s="291"/>
      <c r="AW13" s="291"/>
      <c r="AX13" s="291"/>
      <c r="AY13" s="291"/>
      <c r="AZ13" s="291"/>
      <c r="BA13" s="291"/>
      <c r="BB13" s="291"/>
      <c r="BC13" s="291"/>
      <c r="BD13" s="291"/>
      <c r="BE13" s="291"/>
      <c r="BF13" s="302"/>
      <c r="BG13" s="293"/>
      <c r="BH13" s="294"/>
      <c r="BI13" s="293"/>
      <c r="BJ13" s="293"/>
      <c r="BK13" s="295"/>
      <c r="BL13" s="296"/>
      <c r="BM13" s="293"/>
      <c r="BN13" s="293"/>
      <c r="BO13" s="293"/>
      <c r="BP13" s="293"/>
      <c r="BQ13" s="293"/>
      <c r="BR13" s="296"/>
      <c r="BS13" s="294"/>
      <c r="BT13" s="296"/>
      <c r="BU13" s="296"/>
      <c r="BV13" s="293"/>
      <c r="BW13" s="296"/>
      <c r="BX13" s="296"/>
      <c r="BY13" s="296"/>
      <c r="BZ13" s="296"/>
      <c r="CA13" s="296"/>
      <c r="CB13" s="287"/>
      <c r="CC13" s="296"/>
      <c r="CD13" s="296"/>
      <c r="CE13" s="296"/>
    </row>
    <row r="14" spans="1:83" s="297" customFormat="1" ht="15" customHeight="1">
      <c r="A14" s="287" t="s">
        <v>36</v>
      </c>
      <c r="B14" s="301"/>
      <c r="C14" s="301">
        <v>0</v>
      </c>
      <c r="D14" s="286"/>
      <c r="E14" s="286"/>
      <c r="F14" s="286"/>
      <c r="G14" s="286"/>
      <c r="H14" s="286"/>
      <c r="I14" s="286"/>
      <c r="J14" s="284"/>
      <c r="K14" s="284"/>
      <c r="L14" s="284"/>
      <c r="M14" s="284"/>
      <c r="N14" s="284"/>
      <c r="O14" s="284"/>
      <c r="P14" s="284"/>
      <c r="Q14" s="287"/>
      <c r="R14" s="301"/>
      <c r="S14" s="301"/>
      <c r="T14" s="301"/>
      <c r="U14" s="301"/>
      <c r="V14" s="301"/>
      <c r="W14" s="301"/>
      <c r="X14" s="301"/>
      <c r="Y14" s="301"/>
      <c r="Z14" s="301"/>
      <c r="AA14" s="290"/>
      <c r="AB14" s="291"/>
      <c r="AC14" s="291"/>
      <c r="AD14" s="291"/>
      <c r="AE14" s="291"/>
      <c r="AF14" s="291"/>
      <c r="AG14" s="291"/>
      <c r="AH14" s="291"/>
      <c r="AI14" s="291"/>
      <c r="AJ14" s="291"/>
      <c r="AK14" s="291"/>
      <c r="AL14" s="291"/>
      <c r="AM14" s="291"/>
      <c r="AN14" s="291"/>
      <c r="AO14" s="291"/>
      <c r="AP14" s="291"/>
      <c r="AQ14" s="291"/>
      <c r="AR14" s="291"/>
      <c r="AS14" s="291"/>
      <c r="AT14" s="291"/>
      <c r="AU14" s="291"/>
      <c r="AV14" s="291"/>
      <c r="AW14" s="291"/>
      <c r="AX14" s="291"/>
      <c r="AY14" s="291"/>
      <c r="AZ14" s="291"/>
      <c r="BA14" s="291"/>
      <c r="BB14" s="291"/>
      <c r="BC14" s="291"/>
      <c r="BD14" s="291"/>
      <c r="BE14" s="291"/>
      <c r="BF14" s="302"/>
      <c r="BG14" s="293"/>
      <c r="BH14" s="294"/>
      <c r="BI14" s="293"/>
      <c r="BJ14" s="293"/>
      <c r="BK14" s="295"/>
      <c r="BL14" s="296"/>
      <c r="BM14" s="293"/>
      <c r="BN14" s="293"/>
      <c r="BO14" s="293"/>
      <c r="BP14" s="293"/>
      <c r="BQ14" s="293"/>
      <c r="BR14" s="296"/>
      <c r="BS14" s="294"/>
      <c r="BT14" s="296"/>
      <c r="BU14" s="296"/>
      <c r="BV14" s="293"/>
      <c r="BW14" s="296"/>
      <c r="BX14" s="296"/>
      <c r="BY14" s="296"/>
      <c r="BZ14" s="296"/>
      <c r="CA14" s="296"/>
      <c r="CB14" s="287"/>
      <c r="CC14" s="296"/>
      <c r="CD14" s="296"/>
      <c r="CE14" s="296"/>
    </row>
    <row r="15" spans="1:83" s="297" customFormat="1" ht="15" customHeight="1">
      <c r="A15" s="287" t="s">
        <v>37</v>
      </c>
      <c r="B15" s="301"/>
      <c r="C15" s="301">
        <v>0</v>
      </c>
      <c r="D15" s="286"/>
      <c r="E15" s="286"/>
      <c r="F15" s="286"/>
      <c r="G15" s="286"/>
      <c r="H15" s="286"/>
      <c r="I15" s="286"/>
      <c r="J15" s="284"/>
      <c r="K15" s="284"/>
      <c r="L15" s="284"/>
      <c r="M15" s="284"/>
      <c r="N15" s="284"/>
      <c r="O15" s="284"/>
      <c r="P15" s="284"/>
      <c r="Q15" s="287"/>
      <c r="R15" s="301"/>
      <c r="S15" s="301"/>
      <c r="T15" s="301"/>
      <c r="U15" s="301"/>
      <c r="V15" s="301"/>
      <c r="W15" s="301"/>
      <c r="X15" s="301"/>
      <c r="Y15" s="301"/>
      <c r="Z15" s="301"/>
      <c r="AA15" s="290"/>
      <c r="AB15" s="291"/>
      <c r="AC15" s="291"/>
      <c r="AD15" s="291"/>
      <c r="AE15" s="291"/>
      <c r="AF15" s="291"/>
      <c r="AG15" s="291"/>
      <c r="AH15" s="291"/>
      <c r="AI15" s="291"/>
      <c r="AJ15" s="291"/>
      <c r="AK15" s="291"/>
      <c r="AL15" s="291"/>
      <c r="AM15" s="291"/>
      <c r="AN15" s="291"/>
      <c r="AO15" s="291"/>
      <c r="AP15" s="291"/>
      <c r="AQ15" s="291"/>
      <c r="AR15" s="291"/>
      <c r="AS15" s="291"/>
      <c r="AT15" s="291"/>
      <c r="AU15" s="291"/>
      <c r="AV15" s="291"/>
      <c r="AW15" s="291"/>
      <c r="AX15" s="291"/>
      <c r="AY15" s="291"/>
      <c r="AZ15" s="291"/>
      <c r="BA15" s="291"/>
      <c r="BB15" s="291"/>
      <c r="BC15" s="291"/>
      <c r="BD15" s="291"/>
      <c r="BE15" s="291"/>
      <c r="BF15" s="302"/>
      <c r="BG15" s="293"/>
      <c r="BH15" s="294"/>
      <c r="BI15" s="293"/>
      <c r="BJ15" s="293"/>
      <c r="BK15" s="295"/>
      <c r="BL15" s="296"/>
      <c r="BM15" s="293"/>
      <c r="BN15" s="293"/>
      <c r="BO15" s="293"/>
      <c r="BP15" s="293"/>
      <c r="BQ15" s="293"/>
      <c r="BR15" s="296"/>
      <c r="BS15" s="294"/>
      <c r="BT15" s="296"/>
      <c r="BU15" s="296"/>
      <c r="BV15" s="293"/>
      <c r="BW15" s="296"/>
      <c r="BX15" s="296"/>
      <c r="BY15" s="296"/>
      <c r="BZ15" s="296"/>
      <c r="CA15" s="296"/>
      <c r="CB15" s="287"/>
      <c r="CC15" s="296"/>
      <c r="CD15" s="296"/>
      <c r="CE15" s="296"/>
    </row>
    <row r="16" spans="1:83" s="297" customFormat="1" ht="15" customHeight="1">
      <c r="A16" s="287" t="s">
        <v>38</v>
      </c>
      <c r="B16" s="301"/>
      <c r="C16" s="301">
        <v>0</v>
      </c>
      <c r="D16" s="286"/>
      <c r="E16" s="286"/>
      <c r="F16" s="286"/>
      <c r="G16" s="286"/>
      <c r="H16" s="286"/>
      <c r="I16" s="286"/>
      <c r="J16" s="284"/>
      <c r="K16" s="284"/>
      <c r="L16" s="284"/>
      <c r="M16" s="284"/>
      <c r="N16" s="284"/>
      <c r="O16" s="284"/>
      <c r="P16" s="284"/>
      <c r="Q16" s="287"/>
      <c r="R16" s="301"/>
      <c r="S16" s="301"/>
      <c r="T16" s="301"/>
      <c r="U16" s="301"/>
      <c r="V16" s="301"/>
      <c r="W16" s="301"/>
      <c r="X16" s="301"/>
      <c r="Y16" s="301"/>
      <c r="Z16" s="301"/>
      <c r="AA16" s="290"/>
      <c r="AB16" s="291"/>
      <c r="AC16" s="291"/>
      <c r="AD16" s="291"/>
      <c r="AE16" s="291"/>
      <c r="AF16" s="291"/>
      <c r="AG16" s="291"/>
      <c r="AH16" s="291"/>
      <c r="AI16" s="291"/>
      <c r="AJ16" s="291"/>
      <c r="AK16" s="291"/>
      <c r="AL16" s="291"/>
      <c r="AM16" s="291"/>
      <c r="AN16" s="291"/>
      <c r="AO16" s="291"/>
      <c r="AP16" s="291"/>
      <c r="AQ16" s="291"/>
      <c r="AR16" s="291"/>
      <c r="AS16" s="291"/>
      <c r="AT16" s="291"/>
      <c r="AU16" s="291"/>
      <c r="AV16" s="291"/>
      <c r="AW16" s="291"/>
      <c r="AX16" s="291"/>
      <c r="AY16" s="291"/>
      <c r="AZ16" s="291"/>
      <c r="BA16" s="291"/>
      <c r="BB16" s="291"/>
      <c r="BC16" s="291"/>
      <c r="BD16" s="291"/>
      <c r="BE16" s="291"/>
      <c r="BF16" s="302"/>
      <c r="BG16" s="293"/>
      <c r="BH16" s="294"/>
      <c r="BI16" s="293"/>
      <c r="BJ16" s="293"/>
      <c r="BK16" s="295"/>
      <c r="BL16" s="296"/>
      <c r="BM16" s="293"/>
      <c r="BN16" s="293"/>
      <c r="BO16" s="293"/>
      <c r="BP16" s="293"/>
      <c r="BQ16" s="293"/>
      <c r="BR16" s="296"/>
      <c r="BS16" s="294"/>
      <c r="BT16" s="296"/>
      <c r="BU16" s="296"/>
      <c r="BV16" s="293"/>
      <c r="BW16" s="296"/>
      <c r="BX16" s="296"/>
      <c r="BY16" s="296"/>
      <c r="BZ16" s="296"/>
      <c r="CA16" s="296"/>
      <c r="CB16" s="287"/>
      <c r="CC16" s="296"/>
      <c r="CD16" s="296"/>
      <c r="CE16" s="296"/>
    </row>
    <row r="17" spans="1:89" s="297" customFormat="1" ht="15" customHeight="1">
      <c r="A17" s="287" t="s">
        <v>39</v>
      </c>
      <c r="B17" s="301"/>
      <c r="C17" s="301">
        <v>0</v>
      </c>
      <c r="D17" s="286"/>
      <c r="E17" s="286"/>
      <c r="F17" s="286"/>
      <c r="G17" s="286"/>
      <c r="H17" s="286"/>
      <c r="I17" s="286"/>
      <c r="J17" s="284"/>
      <c r="K17" s="284"/>
      <c r="L17" s="284"/>
      <c r="M17" s="284"/>
      <c r="N17" s="284"/>
      <c r="O17" s="284"/>
      <c r="P17" s="284"/>
      <c r="Q17" s="287"/>
      <c r="R17" s="301"/>
      <c r="S17" s="301"/>
      <c r="T17" s="301"/>
      <c r="U17" s="301"/>
      <c r="V17" s="301"/>
      <c r="W17" s="301"/>
      <c r="X17" s="301"/>
      <c r="Y17" s="301"/>
      <c r="Z17" s="301"/>
      <c r="AA17" s="290"/>
      <c r="AB17" s="291"/>
      <c r="AC17" s="291"/>
      <c r="AD17" s="291"/>
      <c r="AE17" s="291"/>
      <c r="AF17" s="291"/>
      <c r="AG17" s="291"/>
      <c r="AH17" s="291"/>
      <c r="AI17" s="291"/>
      <c r="AJ17" s="291"/>
      <c r="AK17" s="291"/>
      <c r="AL17" s="291"/>
      <c r="AM17" s="291"/>
      <c r="AN17" s="291"/>
      <c r="AO17" s="291"/>
      <c r="AP17" s="291"/>
      <c r="AQ17" s="291"/>
      <c r="AR17" s="291"/>
      <c r="AS17" s="291"/>
      <c r="AT17" s="291"/>
      <c r="AU17" s="291"/>
      <c r="AV17" s="291"/>
      <c r="AW17" s="291"/>
      <c r="AX17" s="291"/>
      <c r="AY17" s="291"/>
      <c r="AZ17" s="291"/>
      <c r="BA17" s="291"/>
      <c r="BB17" s="291"/>
      <c r="BC17" s="291"/>
      <c r="BD17" s="291"/>
      <c r="BE17" s="291"/>
      <c r="BF17" s="302"/>
      <c r="BG17" s="293"/>
      <c r="BH17" s="294"/>
      <c r="BI17" s="293"/>
      <c r="BJ17" s="293"/>
      <c r="BK17" s="295"/>
      <c r="BL17" s="296"/>
      <c r="BM17" s="293"/>
      <c r="BN17" s="293"/>
      <c r="BO17" s="293"/>
      <c r="BP17" s="293"/>
      <c r="BQ17" s="293"/>
      <c r="BR17" s="296"/>
      <c r="BS17" s="294"/>
      <c r="BT17" s="296"/>
      <c r="BU17" s="296"/>
      <c r="BV17" s="293"/>
      <c r="BW17" s="296"/>
      <c r="BX17" s="296"/>
      <c r="BY17" s="296"/>
      <c r="BZ17" s="296"/>
      <c r="CA17" s="296"/>
      <c r="CB17" s="287"/>
      <c r="CC17" s="296"/>
      <c r="CD17" s="296"/>
      <c r="CE17" s="296"/>
    </row>
    <row r="18" spans="1:89" s="297" customFormat="1" ht="15" customHeight="1">
      <c r="A18" s="287" t="s">
        <v>40</v>
      </c>
      <c r="B18" s="301"/>
      <c r="C18" s="301">
        <v>0</v>
      </c>
      <c r="D18" s="286"/>
      <c r="E18" s="286"/>
      <c r="F18" s="286"/>
      <c r="G18" s="286"/>
      <c r="H18" s="286"/>
      <c r="I18" s="286"/>
      <c r="J18" s="284"/>
      <c r="K18" s="284"/>
      <c r="L18" s="284"/>
      <c r="M18" s="284"/>
      <c r="N18" s="284"/>
      <c r="O18" s="284"/>
      <c r="P18" s="284"/>
      <c r="Q18" s="287"/>
      <c r="R18" s="301"/>
      <c r="S18" s="301"/>
      <c r="T18" s="301"/>
      <c r="U18" s="301"/>
      <c r="V18" s="301"/>
      <c r="W18" s="301"/>
      <c r="X18" s="301"/>
      <c r="Y18" s="301"/>
      <c r="Z18" s="301"/>
      <c r="AA18" s="290"/>
      <c r="AB18" s="291"/>
      <c r="AC18" s="291"/>
      <c r="AD18" s="291"/>
      <c r="AE18" s="291"/>
      <c r="AF18" s="291"/>
      <c r="AG18" s="291"/>
      <c r="AH18" s="291"/>
      <c r="AI18" s="291"/>
      <c r="AJ18" s="291"/>
      <c r="AK18" s="291"/>
      <c r="AL18" s="291"/>
      <c r="AM18" s="291"/>
      <c r="AN18" s="291"/>
      <c r="AO18" s="291"/>
      <c r="AP18" s="291"/>
      <c r="AQ18" s="291"/>
      <c r="AR18" s="291"/>
      <c r="AS18" s="291"/>
      <c r="AT18" s="291"/>
      <c r="AU18" s="291"/>
      <c r="AV18" s="291"/>
      <c r="AW18" s="291"/>
      <c r="AX18" s="291"/>
      <c r="AY18" s="291"/>
      <c r="AZ18" s="291"/>
      <c r="BA18" s="291"/>
      <c r="BB18" s="291"/>
      <c r="BC18" s="291"/>
      <c r="BD18" s="291"/>
      <c r="BE18" s="291"/>
      <c r="BF18" s="302"/>
      <c r="BG18" s="293"/>
      <c r="BH18" s="294"/>
      <c r="BI18" s="293"/>
      <c r="BJ18" s="293"/>
      <c r="BK18" s="295"/>
      <c r="BL18" s="296"/>
      <c r="BM18" s="293"/>
      <c r="BN18" s="293"/>
      <c r="BO18" s="293"/>
      <c r="BP18" s="293"/>
      <c r="BQ18" s="293"/>
      <c r="BR18" s="296"/>
      <c r="BS18" s="294"/>
      <c r="BT18" s="296"/>
      <c r="BU18" s="296"/>
      <c r="BV18" s="293"/>
      <c r="BW18" s="296"/>
      <c r="BX18" s="296"/>
      <c r="BY18" s="296"/>
      <c r="BZ18" s="296"/>
      <c r="CA18" s="296"/>
      <c r="CB18" s="287"/>
      <c r="CC18" s="296"/>
      <c r="CD18" s="296"/>
      <c r="CE18" s="296"/>
    </row>
    <row r="19" spans="1:89" s="297" customFormat="1" ht="15" customHeight="1">
      <c r="A19" s="287" t="s">
        <v>41</v>
      </c>
      <c r="B19" s="301"/>
      <c r="C19" s="301">
        <v>0</v>
      </c>
      <c r="D19" s="286"/>
      <c r="E19" s="286"/>
      <c r="F19" s="286"/>
      <c r="G19" s="286"/>
      <c r="H19" s="286"/>
      <c r="I19" s="286"/>
      <c r="J19" s="284"/>
      <c r="K19" s="284"/>
      <c r="L19" s="284"/>
      <c r="M19" s="284"/>
      <c r="N19" s="284"/>
      <c r="O19" s="284"/>
      <c r="P19" s="284"/>
      <c r="Q19" s="287"/>
      <c r="R19" s="301"/>
      <c r="S19" s="301"/>
      <c r="T19" s="301"/>
      <c r="U19" s="301"/>
      <c r="V19" s="301"/>
      <c r="W19" s="301"/>
      <c r="X19" s="301"/>
      <c r="Y19" s="301"/>
      <c r="Z19" s="301"/>
      <c r="AA19" s="290"/>
      <c r="AB19" s="291"/>
      <c r="AC19" s="291"/>
      <c r="AD19" s="291"/>
      <c r="AE19" s="291"/>
      <c r="AF19" s="291"/>
      <c r="AG19" s="291"/>
      <c r="AH19" s="291"/>
      <c r="AI19" s="291"/>
      <c r="AJ19" s="291"/>
      <c r="AK19" s="291"/>
      <c r="AL19" s="291"/>
      <c r="AM19" s="291"/>
      <c r="AN19" s="291"/>
      <c r="AO19" s="291"/>
      <c r="AP19" s="291"/>
      <c r="AQ19" s="291"/>
      <c r="AR19" s="291"/>
      <c r="AS19" s="291"/>
      <c r="AT19" s="291"/>
      <c r="AU19" s="291"/>
      <c r="AV19" s="291"/>
      <c r="AW19" s="291"/>
      <c r="AX19" s="291"/>
      <c r="AY19" s="291"/>
      <c r="AZ19" s="291"/>
      <c r="BA19" s="291"/>
      <c r="BB19" s="291"/>
      <c r="BC19" s="291"/>
      <c r="BD19" s="291"/>
      <c r="BE19" s="291"/>
      <c r="BF19" s="302"/>
      <c r="BG19" s="293"/>
      <c r="BH19" s="294"/>
      <c r="BI19" s="293"/>
      <c r="BJ19" s="293"/>
      <c r="BK19" s="295"/>
      <c r="BL19" s="296"/>
      <c r="BM19" s="293"/>
      <c r="BN19" s="293"/>
      <c r="BO19" s="293"/>
      <c r="BP19" s="293"/>
      <c r="BQ19" s="293"/>
      <c r="BR19" s="296"/>
      <c r="BS19" s="294"/>
      <c r="BT19" s="296"/>
      <c r="BU19" s="296"/>
      <c r="BV19" s="293"/>
      <c r="BW19" s="296"/>
      <c r="BX19" s="296"/>
      <c r="BY19" s="296"/>
      <c r="BZ19" s="296"/>
      <c r="CA19" s="296"/>
      <c r="CB19" s="287"/>
      <c r="CC19" s="296"/>
      <c r="CD19" s="296"/>
      <c r="CE19" s="296"/>
    </row>
    <row r="20" spans="1:89" s="297" customFormat="1" ht="15" customHeight="1">
      <c r="A20" s="287" t="s">
        <v>42</v>
      </c>
      <c r="B20" s="301"/>
      <c r="C20" s="301">
        <v>0</v>
      </c>
      <c r="D20" s="286"/>
      <c r="E20" s="286"/>
      <c r="F20" s="286"/>
      <c r="G20" s="286"/>
      <c r="H20" s="286"/>
      <c r="I20" s="286"/>
      <c r="J20" s="284"/>
      <c r="K20" s="284"/>
      <c r="L20" s="284"/>
      <c r="M20" s="284"/>
      <c r="N20" s="284"/>
      <c r="O20" s="284"/>
      <c r="P20" s="284"/>
      <c r="Q20" s="287"/>
      <c r="R20" s="301"/>
      <c r="S20" s="301"/>
      <c r="T20" s="301"/>
      <c r="U20" s="301"/>
      <c r="V20" s="301"/>
      <c r="W20" s="301"/>
      <c r="X20" s="301"/>
      <c r="Y20" s="301"/>
      <c r="Z20" s="301"/>
      <c r="AA20" s="290"/>
      <c r="AB20" s="291"/>
      <c r="AC20" s="291"/>
      <c r="AD20" s="291"/>
      <c r="AE20" s="291"/>
      <c r="AF20" s="291"/>
      <c r="AG20" s="291"/>
      <c r="AH20" s="291"/>
      <c r="AI20" s="291"/>
      <c r="AJ20" s="291"/>
      <c r="AK20" s="291"/>
      <c r="AL20" s="291"/>
      <c r="AM20" s="291"/>
      <c r="AN20" s="291"/>
      <c r="AO20" s="291"/>
      <c r="AP20" s="291"/>
      <c r="AQ20" s="291"/>
      <c r="AR20" s="291"/>
      <c r="AS20" s="291"/>
      <c r="AT20" s="291"/>
      <c r="AU20" s="291"/>
      <c r="AV20" s="291"/>
      <c r="AW20" s="291"/>
      <c r="AX20" s="291"/>
      <c r="AY20" s="291"/>
      <c r="AZ20" s="291"/>
      <c r="BA20" s="291"/>
      <c r="BB20" s="291"/>
      <c r="BC20" s="291"/>
      <c r="BD20" s="291"/>
      <c r="BE20" s="291"/>
      <c r="BF20" s="302"/>
      <c r="BG20" s="293"/>
      <c r="BH20" s="294"/>
      <c r="BI20" s="293"/>
      <c r="BJ20" s="293"/>
      <c r="BK20" s="295"/>
      <c r="BL20" s="296"/>
      <c r="BM20" s="293"/>
      <c r="BN20" s="293"/>
      <c r="BO20" s="293"/>
      <c r="BP20" s="293"/>
      <c r="BQ20" s="293"/>
      <c r="BR20" s="296"/>
      <c r="BS20" s="294"/>
      <c r="BT20" s="296"/>
      <c r="BU20" s="296"/>
      <c r="BV20" s="293"/>
      <c r="BW20" s="296"/>
      <c r="BX20" s="296"/>
      <c r="BY20" s="296"/>
      <c r="BZ20" s="296"/>
      <c r="CA20" s="296"/>
      <c r="CB20" s="287"/>
      <c r="CC20" s="296"/>
      <c r="CD20" s="296"/>
      <c r="CE20" s="296"/>
    </row>
    <row r="21" spans="1:89" s="297" customFormat="1" ht="15" customHeight="1">
      <c r="A21" s="283"/>
      <c r="B21" s="300"/>
      <c r="C21" s="303"/>
      <c r="D21" s="286"/>
      <c r="E21" s="286"/>
      <c r="F21" s="286"/>
      <c r="G21" s="286"/>
      <c r="H21" s="286"/>
      <c r="I21" s="286"/>
      <c r="J21" s="284"/>
      <c r="K21" s="284"/>
      <c r="L21" s="284"/>
      <c r="M21" s="284"/>
      <c r="N21" s="284"/>
      <c r="O21" s="284"/>
      <c r="P21" s="284"/>
      <c r="Q21" s="287"/>
      <c r="R21" s="301"/>
      <c r="S21" s="301"/>
      <c r="T21" s="301"/>
      <c r="U21" s="301"/>
      <c r="V21" s="301"/>
      <c r="W21" s="301"/>
      <c r="X21" s="301"/>
      <c r="Y21" s="301"/>
      <c r="Z21" s="301"/>
      <c r="AA21" s="290"/>
      <c r="AB21" s="291"/>
      <c r="AC21" s="291"/>
      <c r="AD21" s="291"/>
      <c r="AE21" s="291"/>
      <c r="AF21" s="291"/>
      <c r="AG21" s="291"/>
      <c r="AH21" s="291"/>
      <c r="AI21" s="291"/>
      <c r="AJ21" s="291"/>
      <c r="AK21" s="291"/>
      <c r="AL21" s="291"/>
      <c r="AM21" s="291"/>
      <c r="AN21" s="291"/>
      <c r="AO21" s="291"/>
      <c r="AP21" s="291"/>
      <c r="AQ21" s="291"/>
      <c r="AR21" s="291"/>
      <c r="AS21" s="291"/>
      <c r="AT21" s="291"/>
      <c r="AU21" s="291"/>
      <c r="AV21" s="291"/>
      <c r="AW21" s="291"/>
      <c r="AX21" s="291"/>
      <c r="AY21" s="291"/>
      <c r="AZ21" s="291"/>
      <c r="BA21" s="291"/>
      <c r="BB21" s="291"/>
      <c r="BC21" s="291"/>
      <c r="BD21" s="291"/>
      <c r="BE21" s="291"/>
      <c r="BF21" s="302"/>
      <c r="BG21" s="293"/>
      <c r="BH21" s="294"/>
      <c r="BI21" s="293"/>
      <c r="BJ21" s="293"/>
      <c r="BK21" s="295"/>
      <c r="BL21" s="296"/>
      <c r="BM21" s="293"/>
      <c r="BN21" s="293"/>
      <c r="BO21" s="293"/>
      <c r="BP21" s="293"/>
      <c r="BQ21" s="293"/>
      <c r="BR21" s="296"/>
      <c r="BS21" s="294"/>
      <c r="BT21" s="296"/>
      <c r="BU21" s="296"/>
      <c r="BV21" s="293"/>
      <c r="BW21" s="296"/>
      <c r="BX21" s="296"/>
      <c r="BY21" s="296"/>
      <c r="BZ21" s="296"/>
      <c r="CA21" s="296"/>
      <c r="CB21" s="287"/>
      <c r="CC21" s="296"/>
      <c r="CD21" s="296"/>
      <c r="CE21" s="296"/>
    </row>
    <row r="22" spans="1:89" s="297" customFormat="1" ht="15" customHeight="1" thickBot="1">
      <c r="A22" s="286"/>
      <c r="B22" s="286"/>
      <c r="C22" s="290"/>
      <c r="D22" s="286"/>
      <c r="E22" s="286"/>
      <c r="F22" s="286"/>
      <c r="G22" s="286"/>
      <c r="H22" s="286"/>
      <c r="I22" s="286"/>
      <c r="J22" s="284"/>
      <c r="K22" s="284"/>
      <c r="L22" s="284"/>
      <c r="M22" s="284"/>
      <c r="N22" s="284"/>
      <c r="O22" s="284"/>
      <c r="P22" s="284"/>
      <c r="Q22" s="301"/>
      <c r="R22" s="301"/>
      <c r="S22" s="301"/>
      <c r="T22" s="301"/>
      <c r="U22" s="301"/>
      <c r="V22" s="301"/>
      <c r="W22" s="301"/>
      <c r="X22" s="309"/>
      <c r="Y22" s="301"/>
      <c r="Z22" s="301"/>
      <c r="AA22" s="290"/>
      <c r="AB22" s="291"/>
      <c r="AC22" s="291"/>
      <c r="AD22" s="291"/>
      <c r="AE22" s="291"/>
      <c r="AF22" s="291"/>
      <c r="AG22" s="291"/>
      <c r="AH22" s="291"/>
      <c r="AI22" s="291"/>
      <c r="AJ22" s="291"/>
      <c r="AK22" s="291"/>
      <c r="AL22" s="291"/>
      <c r="AM22" s="291"/>
      <c r="AN22" s="291"/>
      <c r="AO22" s="291"/>
      <c r="AP22" s="291"/>
      <c r="AQ22" s="291"/>
      <c r="AR22" s="291"/>
      <c r="AS22" s="291"/>
      <c r="AT22" s="291"/>
      <c r="AU22" s="291"/>
      <c r="AV22" s="291"/>
      <c r="AW22" s="291"/>
      <c r="AX22" s="291"/>
      <c r="AY22" s="291"/>
      <c r="AZ22" s="291"/>
      <c r="BA22" s="291"/>
      <c r="BB22" s="291"/>
      <c r="BC22" s="291"/>
      <c r="BD22" s="291"/>
      <c r="BE22" s="291"/>
      <c r="BF22" s="292"/>
      <c r="BG22" s="293"/>
      <c r="BH22" s="294"/>
      <c r="BI22" s="293"/>
      <c r="BJ22" s="293"/>
      <c r="BK22" s="295"/>
      <c r="BL22" s="296"/>
      <c r="BM22" s="293"/>
      <c r="BN22" s="293"/>
      <c r="BO22" s="293"/>
      <c r="BP22" s="293"/>
      <c r="BQ22" s="293"/>
      <c r="BR22" s="296"/>
      <c r="BS22" s="294"/>
      <c r="BT22" s="296"/>
      <c r="BU22" s="296"/>
      <c r="BV22" s="293"/>
      <c r="BW22" s="296"/>
      <c r="BX22" s="296"/>
      <c r="BY22" s="296"/>
      <c r="BZ22" s="296"/>
      <c r="CA22" s="296"/>
      <c r="CB22" s="287"/>
      <c r="CC22" s="296"/>
      <c r="CD22" s="296"/>
      <c r="CE22" s="296"/>
    </row>
    <row r="23" spans="1:89" s="297" customFormat="1" ht="30" customHeight="1" thickBot="1">
      <c r="A23" s="310" t="s">
        <v>43</v>
      </c>
      <c r="B23" s="311" t="s">
        <v>44</v>
      </c>
      <c r="C23" s="312" t="s">
        <v>45</v>
      </c>
      <c r="D23" s="313" t="s">
        <v>46</v>
      </c>
      <c r="E23" s="313" t="s">
        <v>47</v>
      </c>
      <c r="F23" s="313" t="s">
        <v>48</v>
      </c>
      <c r="G23" s="313" t="s">
        <v>49</v>
      </c>
      <c r="H23" s="314" t="s">
        <v>50</v>
      </c>
      <c r="I23" s="314" t="s">
        <v>51</v>
      </c>
      <c r="J23" s="315" t="s">
        <v>52</v>
      </c>
      <c r="K23" s="315" t="s">
        <v>53</v>
      </c>
      <c r="L23" s="315" t="s">
        <v>54</v>
      </c>
      <c r="M23" s="315" t="s">
        <v>55</v>
      </c>
      <c r="N23" s="315" t="s">
        <v>56</v>
      </c>
      <c r="O23" s="315" t="s">
        <v>57</v>
      </c>
      <c r="P23" s="314" t="s">
        <v>58</v>
      </c>
      <c r="Q23" s="313" t="s">
        <v>59</v>
      </c>
      <c r="R23" s="316" t="s">
        <v>60</v>
      </c>
      <c r="S23" s="316" t="s">
        <v>61</v>
      </c>
      <c r="T23" s="316" t="s">
        <v>62</v>
      </c>
      <c r="U23" s="316" t="s">
        <v>63</v>
      </c>
      <c r="V23" s="316" t="s">
        <v>64</v>
      </c>
      <c r="W23" s="316" t="s">
        <v>65</v>
      </c>
      <c r="X23" s="317" t="s">
        <v>66</v>
      </c>
      <c r="Y23" s="318" t="s">
        <v>67</v>
      </c>
      <c r="Z23" s="314" t="s">
        <v>68</v>
      </c>
      <c r="AA23" s="314" t="s">
        <v>69</v>
      </c>
      <c r="AB23" s="318" t="s">
        <v>70</v>
      </c>
      <c r="AC23" s="318"/>
      <c r="AD23" s="318" t="s">
        <v>52</v>
      </c>
      <c r="AE23" s="318" t="s">
        <v>71</v>
      </c>
      <c r="AF23" s="318" t="s">
        <v>72</v>
      </c>
      <c r="AG23" s="318" t="s">
        <v>73</v>
      </c>
      <c r="AH23" s="318" t="s">
        <v>74</v>
      </c>
      <c r="AI23" s="319" t="s">
        <v>75</v>
      </c>
      <c r="AJ23" s="319" t="s">
        <v>76</v>
      </c>
      <c r="AK23" s="320" t="s">
        <v>77</v>
      </c>
      <c r="AL23" s="321" t="s">
        <v>78</v>
      </c>
      <c r="AM23" s="322" t="s">
        <v>79</v>
      </c>
      <c r="AN23" s="322" t="s">
        <v>79</v>
      </c>
      <c r="AO23" s="322" t="s">
        <v>80</v>
      </c>
      <c r="AP23" s="322" t="s">
        <v>80</v>
      </c>
      <c r="AQ23" s="322" t="s">
        <v>81</v>
      </c>
      <c r="AR23" s="322" t="s">
        <v>81</v>
      </c>
      <c r="AS23" s="322" t="s">
        <v>82</v>
      </c>
      <c r="AT23" s="322" t="s">
        <v>82</v>
      </c>
      <c r="AU23" s="322" t="s">
        <v>83</v>
      </c>
      <c r="AV23" s="322" t="s">
        <v>83</v>
      </c>
      <c r="AW23" s="322" t="s">
        <v>84</v>
      </c>
      <c r="AX23" s="322" t="s">
        <v>84</v>
      </c>
      <c r="AY23" s="322" t="s">
        <v>85</v>
      </c>
      <c r="AZ23" s="322" t="s">
        <v>86</v>
      </c>
      <c r="BA23" s="322" t="s">
        <v>87</v>
      </c>
      <c r="BB23" s="322" t="s">
        <v>87</v>
      </c>
      <c r="BC23" s="322" t="s">
        <v>79</v>
      </c>
      <c r="BD23" s="322" t="s">
        <v>79</v>
      </c>
      <c r="BE23" s="322" t="s">
        <v>79</v>
      </c>
      <c r="BF23" s="322" t="s">
        <v>79</v>
      </c>
      <c r="BG23" s="320" t="s">
        <v>88</v>
      </c>
      <c r="BH23" s="323" t="s">
        <v>89</v>
      </c>
      <c r="BI23" s="324" t="s">
        <v>90</v>
      </c>
      <c r="BJ23" s="322" t="s">
        <v>91</v>
      </c>
      <c r="BK23" s="325" t="s">
        <v>92</v>
      </c>
      <c r="BL23" s="325" t="s">
        <v>93</v>
      </c>
      <c r="BM23" s="326" t="s">
        <v>94</v>
      </c>
      <c r="BN23" s="327" t="s">
        <v>95</v>
      </c>
      <c r="BO23" s="326" t="s">
        <v>96</v>
      </c>
      <c r="BP23" s="326" t="s">
        <v>97</v>
      </c>
      <c r="BQ23" s="326" t="s">
        <v>98</v>
      </c>
      <c r="BR23" s="326" t="s">
        <v>99</v>
      </c>
      <c r="BS23" s="326" t="s">
        <v>100</v>
      </c>
      <c r="BT23" s="326" t="s">
        <v>8</v>
      </c>
      <c r="BU23" s="318" t="s">
        <v>101</v>
      </c>
      <c r="BV23" s="315" t="s">
        <v>102</v>
      </c>
      <c r="BW23" s="314" t="s">
        <v>103</v>
      </c>
      <c r="BX23" s="326" t="s">
        <v>104</v>
      </c>
      <c r="BY23" s="326" t="s">
        <v>105</v>
      </c>
      <c r="BZ23" s="314" t="s">
        <v>106</v>
      </c>
      <c r="CA23" s="314"/>
      <c r="CB23" s="314"/>
      <c r="CC23" s="318" t="s">
        <v>107</v>
      </c>
      <c r="CD23" s="314" t="s">
        <v>108</v>
      </c>
      <c r="CE23" s="318" t="s">
        <v>109</v>
      </c>
      <c r="CF23" s="328"/>
      <c r="CG23" s="329"/>
    </row>
    <row r="24" spans="1:89" s="345" customFormat="1" ht="15" customHeight="1">
      <c r="A24" s="330" t="s">
        <v>110</v>
      </c>
      <c r="B24" s="331" t="s">
        <v>111</v>
      </c>
      <c r="C24" s="332">
        <v>43191</v>
      </c>
      <c r="D24" s="333" t="s">
        <v>112</v>
      </c>
      <c r="E24" s="334" t="s">
        <v>113</v>
      </c>
      <c r="F24" s="334" t="s">
        <v>114</v>
      </c>
      <c r="G24" s="334" t="s">
        <v>115</v>
      </c>
      <c r="H24" s="334" t="s">
        <v>116</v>
      </c>
      <c r="I24" s="334" t="s">
        <v>117</v>
      </c>
      <c r="J24" s="335" t="s">
        <v>118</v>
      </c>
      <c r="K24" s="334"/>
      <c r="L24" s="335"/>
      <c r="M24" s="335"/>
      <c r="N24" s="334" t="s">
        <v>118</v>
      </c>
      <c r="O24" s="335" t="s">
        <v>119</v>
      </c>
      <c r="P24" s="335" t="s">
        <v>120</v>
      </c>
      <c r="Q24" s="336" t="s">
        <v>121</v>
      </c>
      <c r="R24" s="334"/>
      <c r="S24" s="334"/>
      <c r="T24" s="336"/>
      <c r="U24" s="336"/>
      <c r="V24" s="336"/>
      <c r="W24" s="336"/>
      <c r="X24" s="337" t="s">
        <v>122</v>
      </c>
      <c r="Y24" s="335">
        <v>275.17</v>
      </c>
      <c r="Z24" s="334" t="s">
        <v>123</v>
      </c>
      <c r="AA24" s="334">
        <v>1</v>
      </c>
      <c r="AB24" s="338">
        <v>2</v>
      </c>
      <c r="AC24" s="339"/>
      <c r="AD24" s="339">
        <v>0</v>
      </c>
      <c r="AE24" s="339">
        <v>0</v>
      </c>
      <c r="AF24" s="339">
        <v>0</v>
      </c>
      <c r="AG24" s="339">
        <v>0</v>
      </c>
      <c r="AH24" s="339">
        <v>0</v>
      </c>
      <c r="AI24" s="339">
        <v>0</v>
      </c>
      <c r="AJ24" s="339">
        <v>0</v>
      </c>
      <c r="AK24" s="339">
        <v>0</v>
      </c>
      <c r="AL24" s="339">
        <v>0</v>
      </c>
      <c r="AM24" s="339">
        <v>0</v>
      </c>
      <c r="AN24" s="339">
        <v>0</v>
      </c>
      <c r="AO24" s="339">
        <v>0</v>
      </c>
      <c r="AP24" s="339">
        <v>0</v>
      </c>
      <c r="AQ24" s="339">
        <v>0</v>
      </c>
      <c r="AR24" s="339">
        <v>0</v>
      </c>
      <c r="AS24" s="339">
        <v>0</v>
      </c>
      <c r="AT24" s="339">
        <v>0</v>
      </c>
      <c r="AU24" s="339">
        <v>0</v>
      </c>
      <c r="AV24" s="339">
        <v>0</v>
      </c>
      <c r="AW24" s="339">
        <v>0</v>
      </c>
      <c r="AX24" s="339">
        <v>0</v>
      </c>
      <c r="AY24" s="339">
        <v>0</v>
      </c>
      <c r="AZ24" s="339">
        <v>0</v>
      </c>
      <c r="BA24" s="339">
        <v>0</v>
      </c>
      <c r="BB24" s="339"/>
      <c r="BC24" s="339"/>
      <c r="BD24" s="339">
        <v>0</v>
      </c>
      <c r="BE24" s="339">
        <v>0</v>
      </c>
      <c r="BF24" s="339">
        <v>0</v>
      </c>
      <c r="BG24" s="339"/>
      <c r="BH24" s="340"/>
      <c r="BI24" s="341">
        <v>45633</v>
      </c>
      <c r="BJ24" s="342">
        <v>4.0199999999999996</v>
      </c>
      <c r="BK24" s="231"/>
      <c r="BL24" s="343"/>
      <c r="BM24" s="229"/>
      <c r="BN24" s="230" t="s">
        <v>124</v>
      </c>
      <c r="BO24" s="231"/>
      <c r="BP24" s="231"/>
      <c r="BQ24" s="231"/>
      <c r="BR24" s="232"/>
      <c r="BS24" s="231"/>
      <c r="BT24" s="231"/>
      <c r="BU24" s="344"/>
      <c r="BV24" s="233"/>
      <c r="BW24" s="234"/>
      <c r="BX24" s="231"/>
      <c r="BY24" s="231"/>
      <c r="BZ24" s="234"/>
      <c r="CA24" s="234"/>
      <c r="CB24" s="234"/>
      <c r="CC24" s="344">
        <f>+AB24-AD24-AE24-AF24-AG24-AH24-AI24-AJ24-AK24-AL24-AM24-AN24-AO24-AP24-AQ24-AR24-AS24-AT24-AU24-AV24-AW24-AX24-AY24-AZ24-BA24-BD24-BE24-BF24</f>
        <v>2</v>
      </c>
      <c r="CD24" s="235"/>
      <c r="CE24" s="236"/>
      <c r="CF24" s="237"/>
      <c r="CG24" s="237"/>
    </row>
    <row r="25" spans="1:89" s="270" customFormat="1" ht="15" customHeight="1">
      <c r="A25" s="245" t="s">
        <v>125</v>
      </c>
      <c r="B25" s="246" t="s">
        <v>111</v>
      </c>
      <c r="C25" s="247">
        <v>45992</v>
      </c>
      <c r="D25" s="248" t="s">
        <v>112</v>
      </c>
      <c r="E25" s="249" t="s">
        <v>113</v>
      </c>
      <c r="F25" s="249" t="s">
        <v>114</v>
      </c>
      <c r="G25" s="249"/>
      <c r="H25" s="249"/>
      <c r="I25" s="249"/>
      <c r="J25" s="249"/>
      <c r="K25" s="249"/>
      <c r="L25" s="249"/>
      <c r="M25" s="249"/>
      <c r="N25" s="249"/>
      <c r="O25" s="249"/>
      <c r="P25" s="249"/>
      <c r="Q25" s="249" t="s">
        <v>126</v>
      </c>
      <c r="R25" s="249"/>
      <c r="S25" s="249"/>
      <c r="T25" s="249"/>
      <c r="U25" s="249"/>
      <c r="V25" s="249"/>
      <c r="W25" s="249"/>
      <c r="X25" s="250" t="s">
        <v>127</v>
      </c>
      <c r="Y25" s="251"/>
      <c r="Z25" s="250"/>
      <c r="AA25" s="252">
        <v>1</v>
      </c>
      <c r="AB25" s="253">
        <v>5.47</v>
      </c>
      <c r="AC25" s="254"/>
      <c r="AD25" s="253">
        <v>0</v>
      </c>
      <c r="AE25" s="253">
        <v>0</v>
      </c>
      <c r="AF25" s="253">
        <v>0</v>
      </c>
      <c r="AG25" s="253">
        <v>0</v>
      </c>
      <c r="AH25" s="253">
        <v>0</v>
      </c>
      <c r="AI25" s="253">
        <v>0</v>
      </c>
      <c r="AJ25" s="253">
        <v>0</v>
      </c>
      <c r="AK25" s="253">
        <v>0</v>
      </c>
      <c r="AL25" s="253">
        <v>0</v>
      </c>
      <c r="AM25" s="253">
        <v>0</v>
      </c>
      <c r="AN25" s="253">
        <v>0</v>
      </c>
      <c r="AO25" s="253">
        <v>0</v>
      </c>
      <c r="AP25" s="253">
        <v>0</v>
      </c>
      <c r="AQ25" s="253">
        <v>0</v>
      </c>
      <c r="AR25" s="253">
        <v>0</v>
      </c>
      <c r="AS25" s="253">
        <v>0</v>
      </c>
      <c r="AT25" s="253">
        <v>0</v>
      </c>
      <c r="AU25" s="253">
        <v>0</v>
      </c>
      <c r="AV25" s="253">
        <v>0</v>
      </c>
      <c r="AW25" s="253">
        <v>0</v>
      </c>
      <c r="AX25" s="253">
        <v>0</v>
      </c>
      <c r="AY25" s="253">
        <v>0</v>
      </c>
      <c r="AZ25" s="253">
        <v>0</v>
      </c>
      <c r="BA25" s="253">
        <v>0</v>
      </c>
      <c r="BB25" s="253">
        <v>0</v>
      </c>
      <c r="BC25" s="253">
        <v>0</v>
      </c>
      <c r="BD25" s="253">
        <v>0</v>
      </c>
      <c r="BE25" s="253">
        <v>0</v>
      </c>
      <c r="BF25" s="253">
        <v>0</v>
      </c>
      <c r="BG25" s="255"/>
      <c r="BH25" s="256"/>
      <c r="BI25" s="257">
        <v>45998</v>
      </c>
      <c r="BJ25" s="258">
        <v>26.78</v>
      </c>
      <c r="BK25" s="259"/>
      <c r="BL25" s="259"/>
      <c r="BM25" s="260"/>
      <c r="BN25" s="261" t="s">
        <v>124</v>
      </c>
      <c r="BO25" s="262"/>
      <c r="BP25" s="262"/>
      <c r="BQ25" s="262"/>
      <c r="BR25" s="263"/>
      <c r="BS25" s="262"/>
      <c r="BT25" s="262"/>
      <c r="BU25" s="264"/>
      <c r="BV25" s="265"/>
      <c r="BW25" s="266"/>
      <c r="BX25" s="262"/>
      <c r="BY25" s="262"/>
      <c r="BZ25" s="266"/>
      <c r="CA25" s="266"/>
      <c r="CB25" s="266"/>
      <c r="CC25" s="264">
        <f>+AB25-AD25-AE25-AF25-AG25-AH25-AI25-AJ25-AK25-AL25-AM25-AN25-AO25-AP25-AQ25-AR25-AS25-AT25-AU25-AV25-AW25-AX25-AY25-AZ25-BA25-BB25-BC25-BD25-BE25-BF25</f>
        <v>5.47</v>
      </c>
      <c r="CD25" s="267"/>
      <c r="CE25" s="268"/>
      <c r="CF25" s="269"/>
      <c r="CG25" s="269"/>
    </row>
    <row r="26" spans="1:89" s="346" customFormat="1" ht="15" customHeight="1">
      <c r="A26" s="330" t="s">
        <v>128</v>
      </c>
      <c r="B26" s="331" t="s">
        <v>111</v>
      </c>
      <c r="C26" s="332">
        <v>42614.291666666664</v>
      </c>
      <c r="D26" s="333" t="s">
        <v>129</v>
      </c>
      <c r="E26" s="334" t="s">
        <v>113</v>
      </c>
      <c r="F26" s="334" t="s">
        <v>114</v>
      </c>
      <c r="G26" s="334" t="s">
        <v>130</v>
      </c>
      <c r="H26" s="334" t="s">
        <v>116</v>
      </c>
      <c r="I26" s="334" t="s">
        <v>116</v>
      </c>
      <c r="J26" s="335" t="s">
        <v>116</v>
      </c>
      <c r="K26" s="334" t="b">
        <v>0</v>
      </c>
      <c r="L26" s="335" t="s">
        <v>116</v>
      </c>
      <c r="M26" s="335" t="s">
        <v>116</v>
      </c>
      <c r="N26" s="334" t="s">
        <v>116</v>
      </c>
      <c r="O26" s="335" t="s">
        <v>118</v>
      </c>
      <c r="P26" s="335" t="s">
        <v>131</v>
      </c>
      <c r="Q26" s="336" t="s">
        <v>126</v>
      </c>
      <c r="R26" s="334" t="s">
        <v>116</v>
      </c>
      <c r="S26" s="334" t="s">
        <v>116</v>
      </c>
      <c r="T26" s="336" t="s">
        <v>116</v>
      </c>
      <c r="U26" s="336" t="s">
        <v>116</v>
      </c>
      <c r="V26" s="336" t="s">
        <v>116</v>
      </c>
      <c r="W26" s="336" t="s">
        <v>116</v>
      </c>
      <c r="X26" s="337" t="s">
        <v>132</v>
      </c>
      <c r="Y26" s="335">
        <v>0</v>
      </c>
      <c r="Z26" s="334" t="s">
        <v>123</v>
      </c>
      <c r="AA26" s="334">
        <v>1</v>
      </c>
      <c r="AB26" s="339">
        <v>2.85</v>
      </c>
      <c r="AC26" s="339">
        <v>0</v>
      </c>
      <c r="AD26" s="339">
        <v>0</v>
      </c>
      <c r="AE26" s="339">
        <v>0</v>
      </c>
      <c r="AF26" s="339">
        <v>0</v>
      </c>
      <c r="AG26" s="339">
        <v>0</v>
      </c>
      <c r="AH26" s="339">
        <v>0</v>
      </c>
      <c r="AI26" s="339">
        <v>0</v>
      </c>
      <c r="AJ26" s="339">
        <v>0</v>
      </c>
      <c r="AK26" s="339">
        <v>0</v>
      </c>
      <c r="AL26" s="339">
        <v>0</v>
      </c>
      <c r="AM26" s="339">
        <v>0</v>
      </c>
      <c r="AN26" s="339">
        <v>0</v>
      </c>
      <c r="AO26" s="339">
        <v>0</v>
      </c>
      <c r="AP26" s="339">
        <v>0</v>
      </c>
      <c r="AQ26" s="339">
        <v>0</v>
      </c>
      <c r="AR26" s="339">
        <v>0</v>
      </c>
      <c r="AS26" s="339">
        <v>0</v>
      </c>
      <c r="AT26" s="339">
        <v>0</v>
      </c>
      <c r="AU26" s="339">
        <v>0</v>
      </c>
      <c r="AV26" s="339">
        <v>0</v>
      </c>
      <c r="AW26" s="339">
        <v>0</v>
      </c>
      <c r="AX26" s="339">
        <v>0</v>
      </c>
      <c r="AY26" s="339">
        <v>0</v>
      </c>
      <c r="AZ26" s="339">
        <v>0</v>
      </c>
      <c r="BA26" s="339">
        <v>0</v>
      </c>
      <c r="BB26" s="339">
        <v>0</v>
      </c>
      <c r="BC26" s="339">
        <v>0</v>
      </c>
      <c r="BD26" s="339">
        <v>0</v>
      </c>
      <c r="BE26" s="339">
        <v>0</v>
      </c>
      <c r="BF26" s="339">
        <v>0</v>
      </c>
      <c r="BG26" s="339"/>
      <c r="BH26" s="340"/>
      <c r="BI26" s="341">
        <v>45773</v>
      </c>
      <c r="BJ26" s="342">
        <v>2.85</v>
      </c>
      <c r="BK26" s="231"/>
      <c r="BL26" s="343"/>
      <c r="BM26" s="229"/>
      <c r="BN26" s="230" t="s">
        <v>124</v>
      </c>
      <c r="BO26" s="231"/>
      <c r="BP26" s="231"/>
      <c r="BQ26" s="231"/>
      <c r="BR26" s="232"/>
      <c r="BS26" s="231"/>
      <c r="BT26" s="231"/>
      <c r="BU26" s="344"/>
      <c r="BV26" s="233"/>
      <c r="BW26" s="234"/>
      <c r="BX26" s="231"/>
      <c r="BY26" s="231"/>
      <c r="BZ26" s="234"/>
      <c r="CA26" s="234"/>
      <c r="CB26" s="234"/>
      <c r="CC26" s="344">
        <f>+AB26-AD26-AE26-AF26-AG26-AH26-AI26-AJ26-AK26-AL26-AM26-AN26-AO26-AP26-AQ26-AR26-AS26-AT26-AU26-AV26-AW26-AX26-AY26-AZ26-BA26-BB26-BC26-BD26-BE26-BF26</f>
        <v>2.85</v>
      </c>
      <c r="CD26" s="267" t="s">
        <v>133</v>
      </c>
      <c r="CE26" s="236"/>
      <c r="CF26" s="237"/>
      <c r="CG26" s="237"/>
      <c r="CH26" s="345"/>
      <c r="CI26" s="345"/>
      <c r="CJ26" s="345"/>
      <c r="CK26" s="345"/>
    </row>
    <row r="27" spans="1:89" s="345" customFormat="1" ht="15" customHeight="1" thickBot="1">
      <c r="A27" s="347" t="s">
        <v>134</v>
      </c>
      <c r="B27" s="348" t="s">
        <v>111</v>
      </c>
      <c r="C27" s="349">
        <v>44348</v>
      </c>
      <c r="D27" s="350" t="s">
        <v>112</v>
      </c>
      <c r="E27" s="351" t="s">
        <v>113</v>
      </c>
      <c r="F27" s="351" t="s">
        <v>114</v>
      </c>
      <c r="G27" s="351" t="s">
        <v>130</v>
      </c>
      <c r="H27" s="351"/>
      <c r="I27" s="351" t="s">
        <v>135</v>
      </c>
      <c r="J27" s="352" t="s">
        <v>118</v>
      </c>
      <c r="K27" s="351"/>
      <c r="L27" s="352"/>
      <c r="M27" s="352"/>
      <c r="N27" s="351"/>
      <c r="O27" s="352" t="s">
        <v>118</v>
      </c>
      <c r="P27" s="352" t="s">
        <v>136</v>
      </c>
      <c r="Q27" s="353" t="s">
        <v>137</v>
      </c>
      <c r="R27" s="351" t="s">
        <v>138</v>
      </c>
      <c r="S27" s="351"/>
      <c r="T27" s="353"/>
      <c r="U27" s="353"/>
      <c r="V27" s="353" t="s">
        <v>138</v>
      </c>
      <c r="W27" s="353"/>
      <c r="X27" s="354" t="s">
        <v>139</v>
      </c>
      <c r="Y27" s="352">
        <v>221.98</v>
      </c>
      <c r="Z27" s="351" t="s">
        <v>123</v>
      </c>
      <c r="AA27" s="351">
        <v>1</v>
      </c>
      <c r="AB27" s="355">
        <v>-17.78</v>
      </c>
      <c r="AC27" s="356"/>
      <c r="AD27" s="356">
        <v>-14.82</v>
      </c>
      <c r="AE27" s="356">
        <v>0</v>
      </c>
      <c r="AF27" s="356">
        <v>0</v>
      </c>
      <c r="AG27" s="356">
        <v>0</v>
      </c>
      <c r="AH27" s="356">
        <v>0</v>
      </c>
      <c r="AI27" s="356">
        <v>0</v>
      </c>
      <c r="AJ27" s="356">
        <v>-2.96</v>
      </c>
      <c r="AK27" s="356">
        <v>0</v>
      </c>
      <c r="AL27" s="356">
        <v>0</v>
      </c>
      <c r="AM27" s="356">
        <v>0</v>
      </c>
      <c r="AN27" s="356">
        <v>0</v>
      </c>
      <c r="AO27" s="356">
        <v>0</v>
      </c>
      <c r="AP27" s="356">
        <v>0</v>
      </c>
      <c r="AQ27" s="356">
        <v>0</v>
      </c>
      <c r="AR27" s="356">
        <v>0</v>
      </c>
      <c r="AS27" s="356">
        <v>0</v>
      </c>
      <c r="AT27" s="356">
        <v>0</v>
      </c>
      <c r="AU27" s="356">
        <v>0</v>
      </c>
      <c r="AV27" s="356">
        <v>0</v>
      </c>
      <c r="AW27" s="356">
        <v>0</v>
      </c>
      <c r="AX27" s="356">
        <v>0</v>
      </c>
      <c r="AY27" s="356">
        <v>0</v>
      </c>
      <c r="AZ27" s="356">
        <v>0</v>
      </c>
      <c r="BA27" s="356">
        <v>0</v>
      </c>
      <c r="BB27" s="356"/>
      <c r="BC27" s="356"/>
      <c r="BD27" s="356">
        <v>0</v>
      </c>
      <c r="BE27" s="356">
        <v>0</v>
      </c>
      <c r="BF27" s="356">
        <v>0</v>
      </c>
      <c r="BG27" s="356"/>
      <c r="BH27" s="357"/>
      <c r="BI27" s="358">
        <v>45178</v>
      </c>
      <c r="BJ27" s="359">
        <v>66.59</v>
      </c>
      <c r="BK27" s="360"/>
      <c r="BL27" s="360"/>
      <c r="BM27" s="361"/>
      <c r="BN27" s="362" t="s">
        <v>124</v>
      </c>
      <c r="BO27" s="360"/>
      <c r="BP27" s="360"/>
      <c r="BQ27" s="360"/>
      <c r="BR27" s="360"/>
      <c r="BS27" s="360"/>
      <c r="BT27" s="360"/>
      <c r="BU27" s="363"/>
      <c r="BV27" s="364"/>
      <c r="BW27" s="365"/>
      <c r="BX27" s="360"/>
      <c r="BY27" s="360"/>
      <c r="BZ27" s="365"/>
      <c r="CA27" s="365"/>
      <c r="CB27" s="365"/>
      <c r="CC27" s="363">
        <f>+AB27-AD27-AE27-AF27-AG27-AH27-AI27-AJ27-AK27-AL27-AM27-AN27-AO27-AP27-AQ27-AR27-AS27-AT27-AU27-AV27-AW27-AX27-AY27-AZ27-BA27-BD27-BE27-BF27</f>
        <v>-8.8817841970012523E-16</v>
      </c>
      <c r="CD27" s="366"/>
      <c r="CE27" s="367"/>
      <c r="CF27" s="368"/>
      <c r="CG27" s="368"/>
      <c r="CH27" s="238"/>
      <c r="CI27" s="238"/>
      <c r="CJ27" s="238"/>
      <c r="CK27" s="238"/>
    </row>
    <row r="28" spans="1:89" s="297" customFormat="1" ht="15" customHeight="1">
      <c r="A28" s="299"/>
      <c r="B28" s="369"/>
      <c r="C28" s="370"/>
      <c r="D28" s="299"/>
      <c r="E28" s="369"/>
      <c r="F28" s="299"/>
      <c r="G28" s="299"/>
      <c r="H28" s="299"/>
      <c r="I28" s="299"/>
      <c r="J28" s="371"/>
      <c r="K28" s="371"/>
      <c r="L28" s="371"/>
      <c r="M28" s="371"/>
      <c r="N28" s="371"/>
      <c r="O28" s="371"/>
      <c r="P28" s="299"/>
      <c r="Q28" s="299"/>
      <c r="R28" s="371"/>
      <c r="S28" s="371"/>
      <c r="T28" s="371"/>
      <c r="U28" s="371"/>
      <c r="V28" s="371"/>
      <c r="W28" s="371"/>
      <c r="X28" s="372"/>
      <c r="Y28" s="373"/>
      <c r="Z28" s="299"/>
      <c r="AA28" s="299"/>
      <c r="AB28" s="374"/>
      <c r="AC28" s="374"/>
      <c r="AD28" s="374"/>
      <c r="AE28" s="374"/>
      <c r="AF28" s="374"/>
      <c r="AG28" s="374"/>
      <c r="AH28" s="374"/>
      <c r="AI28" s="374"/>
      <c r="AJ28" s="374"/>
      <c r="AK28" s="374"/>
      <c r="AL28" s="374"/>
      <c r="AM28" s="374"/>
      <c r="AN28" s="374"/>
      <c r="AO28" s="374"/>
      <c r="AP28" s="374"/>
      <c r="AQ28" s="374"/>
      <c r="AR28" s="374"/>
      <c r="AS28" s="374"/>
      <c r="AT28" s="374"/>
      <c r="AU28" s="374"/>
      <c r="AV28" s="374"/>
      <c r="AW28" s="374"/>
      <c r="AX28" s="374"/>
      <c r="AY28" s="374"/>
      <c r="AZ28" s="374"/>
      <c r="BA28" s="374"/>
      <c r="BB28" s="374"/>
      <c r="BC28" s="374"/>
      <c r="BD28" s="374"/>
      <c r="BE28" s="374"/>
      <c r="BF28" s="375"/>
      <c r="BG28" s="376"/>
      <c r="BH28" s="373"/>
      <c r="BI28" s="370"/>
      <c r="BJ28" s="370"/>
      <c r="BK28" s="370"/>
      <c r="BL28" s="377"/>
      <c r="BM28" s="370"/>
      <c r="BN28" s="370"/>
      <c r="BO28" s="370"/>
      <c r="BP28" s="370"/>
      <c r="BQ28" s="370"/>
      <c r="BR28" s="370"/>
      <c r="BS28" s="373"/>
      <c r="BT28" s="371"/>
      <c r="BU28" s="299"/>
      <c r="BV28" s="370"/>
      <c r="BW28" s="370"/>
      <c r="BX28" s="299"/>
      <c r="BY28" s="299"/>
      <c r="BZ28" s="299"/>
      <c r="CA28" s="373"/>
      <c r="CB28" s="287"/>
      <c r="CC28" s="378"/>
      <c r="CD28" s="379"/>
      <c r="CE28" s="329"/>
    </row>
    <row r="29" spans="1:89" s="297" customFormat="1" ht="15" customHeight="1">
      <c r="A29" s="369"/>
      <c r="B29" s="369"/>
      <c r="C29" s="380"/>
      <c r="D29" s="369"/>
      <c r="E29" s="369"/>
      <c r="F29" s="369"/>
      <c r="G29" s="369"/>
      <c r="H29" s="369"/>
      <c r="I29" s="369"/>
      <c r="J29" s="369"/>
      <c r="K29" s="369"/>
      <c r="L29" s="369"/>
      <c r="M29" s="369"/>
      <c r="N29" s="369"/>
      <c r="O29" s="369"/>
      <c r="P29" s="369"/>
      <c r="Q29" s="381"/>
      <c r="R29" s="381"/>
      <c r="S29" s="381"/>
      <c r="T29" s="381"/>
      <c r="U29" s="381"/>
      <c r="V29" s="381"/>
      <c r="W29" s="381"/>
      <c r="X29" s="382" t="s">
        <v>140</v>
      </c>
      <c r="Y29" s="383"/>
      <c r="Z29" s="384"/>
      <c r="AA29" s="384">
        <f t="shared" ref="AA29:AH29" si="0">SUM(AA24:AA27)</f>
        <v>4</v>
      </c>
      <c r="AB29" s="385">
        <f t="shared" si="0"/>
        <v>-7.4600000000000009</v>
      </c>
      <c r="AC29" s="385">
        <f t="shared" si="0"/>
        <v>0</v>
      </c>
      <c r="AD29" s="385">
        <f t="shared" si="0"/>
        <v>-14.82</v>
      </c>
      <c r="AE29" s="385">
        <f t="shared" si="0"/>
        <v>0</v>
      </c>
      <c r="AF29" s="385">
        <f t="shared" si="0"/>
        <v>0</v>
      </c>
      <c r="AG29" s="385">
        <f t="shared" si="0"/>
        <v>0</v>
      </c>
      <c r="AH29" s="385">
        <f t="shared" si="0"/>
        <v>0</v>
      </c>
      <c r="AI29" s="385">
        <f t="shared" ref="AI29:BE29" si="1">SUM(AI24:AI28)</f>
        <v>0</v>
      </c>
      <c r="AJ29" s="385">
        <f t="shared" si="1"/>
        <v>-2.96</v>
      </c>
      <c r="AK29" s="385">
        <f t="shared" si="1"/>
        <v>0</v>
      </c>
      <c r="AL29" s="385">
        <f t="shared" si="1"/>
        <v>0</v>
      </c>
      <c r="AM29" s="385">
        <f t="shared" si="1"/>
        <v>0</v>
      </c>
      <c r="AN29" s="385">
        <f t="shared" si="1"/>
        <v>0</v>
      </c>
      <c r="AO29" s="385">
        <f t="shared" si="1"/>
        <v>0</v>
      </c>
      <c r="AP29" s="385">
        <f t="shared" si="1"/>
        <v>0</v>
      </c>
      <c r="AQ29" s="385">
        <f t="shared" si="1"/>
        <v>0</v>
      </c>
      <c r="AR29" s="385">
        <f t="shared" si="1"/>
        <v>0</v>
      </c>
      <c r="AS29" s="385">
        <f t="shared" si="1"/>
        <v>0</v>
      </c>
      <c r="AT29" s="385">
        <f t="shared" si="1"/>
        <v>0</v>
      </c>
      <c r="AU29" s="385">
        <f t="shared" si="1"/>
        <v>0</v>
      </c>
      <c r="AV29" s="385">
        <f t="shared" si="1"/>
        <v>0</v>
      </c>
      <c r="AW29" s="385">
        <f t="shared" si="1"/>
        <v>0</v>
      </c>
      <c r="AX29" s="385">
        <f t="shared" si="1"/>
        <v>0</v>
      </c>
      <c r="AY29" s="385">
        <f t="shared" si="1"/>
        <v>0</v>
      </c>
      <c r="AZ29" s="385">
        <f t="shared" si="1"/>
        <v>0</v>
      </c>
      <c r="BA29" s="385">
        <f t="shared" si="1"/>
        <v>0</v>
      </c>
      <c r="BB29" s="385">
        <f t="shared" si="1"/>
        <v>0</v>
      </c>
      <c r="BC29" s="385">
        <f t="shared" si="1"/>
        <v>0</v>
      </c>
      <c r="BD29" s="385">
        <f t="shared" si="1"/>
        <v>0</v>
      </c>
      <c r="BE29" s="385">
        <f t="shared" si="1"/>
        <v>0</v>
      </c>
      <c r="BF29" s="386"/>
      <c r="BG29" s="380"/>
      <c r="BH29" s="387"/>
      <c r="BI29" s="380"/>
      <c r="BJ29" s="380"/>
      <c r="BK29" s="369"/>
      <c r="BL29" s="388"/>
      <c r="BM29" s="380"/>
      <c r="BN29" s="380"/>
      <c r="BO29" s="380"/>
      <c r="BP29" s="380"/>
      <c r="BQ29" s="380"/>
      <c r="BR29" s="388"/>
      <c r="BS29" s="387"/>
      <c r="BT29" s="388"/>
      <c r="BU29" s="388"/>
      <c r="BV29" s="380"/>
      <c r="BW29" s="388"/>
      <c r="BX29" s="388"/>
      <c r="BY29" s="388"/>
      <c r="BZ29" s="388"/>
      <c r="CA29" s="389"/>
      <c r="CB29" s="287"/>
      <c r="CC29" s="388"/>
      <c r="CD29" s="388"/>
      <c r="CE29" s="388"/>
      <c r="CF29" s="388"/>
    </row>
    <row r="30" spans="1:89" s="297" customFormat="1" ht="15" customHeight="1">
      <c r="A30" s="299"/>
      <c r="B30" s="369"/>
      <c r="C30" s="370"/>
      <c r="D30" s="299"/>
      <c r="E30" s="369"/>
      <c r="F30" s="299"/>
      <c r="G30" s="299"/>
      <c r="H30" s="299"/>
      <c r="I30" s="299"/>
      <c r="J30" s="371"/>
      <c r="K30" s="371"/>
      <c r="L30" s="371"/>
      <c r="M30" s="371"/>
      <c r="N30" s="371"/>
      <c r="O30" s="371"/>
      <c r="P30" s="299"/>
      <c r="Q30" s="299"/>
      <c r="R30" s="371"/>
      <c r="S30" s="371"/>
      <c r="T30" s="371"/>
      <c r="U30" s="371"/>
      <c r="V30" s="371"/>
      <c r="W30" s="371"/>
      <c r="X30" s="372"/>
      <c r="Y30" s="373"/>
      <c r="Z30" s="299"/>
      <c r="AA30" s="299"/>
      <c r="AB30" s="374"/>
      <c r="AC30" s="374"/>
      <c r="AD30" s="374"/>
      <c r="AE30" s="374"/>
      <c r="AF30" s="374"/>
      <c r="AG30" s="374"/>
      <c r="AH30" s="374"/>
      <c r="AI30" s="374"/>
      <c r="AJ30" s="374"/>
      <c r="AK30" s="374"/>
      <c r="AL30" s="374"/>
      <c r="AM30" s="374"/>
      <c r="AN30" s="374"/>
      <c r="AO30" s="374"/>
      <c r="AP30" s="374"/>
      <c r="AQ30" s="374"/>
      <c r="AR30" s="374"/>
      <c r="AS30" s="374"/>
      <c r="AT30" s="374"/>
      <c r="AU30" s="374"/>
      <c r="AV30" s="374"/>
      <c r="AW30" s="374"/>
      <c r="AX30" s="374"/>
      <c r="AY30" s="374"/>
      <c r="AZ30" s="374"/>
      <c r="BA30" s="374"/>
      <c r="BB30" s="374"/>
      <c r="BC30" s="374"/>
      <c r="BD30" s="374"/>
      <c r="BE30" s="374"/>
      <c r="BF30" s="375"/>
      <c r="BG30" s="376"/>
      <c r="BH30" s="373"/>
      <c r="BI30" s="370"/>
      <c r="BJ30" s="370"/>
      <c r="BK30" s="370"/>
      <c r="BL30" s="377"/>
      <c r="BM30" s="370"/>
      <c r="BN30" s="370"/>
      <c r="BO30" s="370"/>
      <c r="BP30" s="370"/>
      <c r="BQ30" s="370"/>
      <c r="BR30" s="370"/>
      <c r="BS30" s="373"/>
      <c r="BT30" s="371"/>
      <c r="BU30" s="299"/>
      <c r="BV30" s="370"/>
      <c r="BW30" s="370"/>
      <c r="BX30" s="299"/>
      <c r="BY30" s="299"/>
      <c r="BZ30" s="299"/>
      <c r="CA30" s="373"/>
      <c r="CB30" s="287"/>
      <c r="CC30" s="378"/>
      <c r="CD30" s="379"/>
      <c r="CE30" s="329"/>
    </row>
    <row r="31" spans="1:89" s="297" customFormat="1" ht="15" customHeight="1">
      <c r="A31" s="299"/>
      <c r="B31" s="369"/>
      <c r="C31" s="370"/>
      <c r="D31" s="299"/>
      <c r="E31" s="369"/>
      <c r="F31" s="299"/>
      <c r="G31" s="299"/>
      <c r="H31" s="299"/>
      <c r="I31" s="299"/>
      <c r="J31" s="371"/>
      <c r="K31" s="371"/>
      <c r="L31" s="371"/>
      <c r="M31" s="371"/>
      <c r="N31" s="371"/>
      <c r="O31" s="371"/>
      <c r="P31" s="299"/>
      <c r="Q31" s="299"/>
      <c r="R31" s="371"/>
      <c r="S31" s="371"/>
      <c r="T31" s="371"/>
      <c r="U31" s="371"/>
      <c r="V31" s="371"/>
      <c r="W31" s="371"/>
      <c r="X31" s="372"/>
      <c r="Y31" s="373"/>
      <c r="Z31" s="299"/>
      <c r="AA31" s="299"/>
      <c r="AB31" s="374"/>
      <c r="AC31" s="374"/>
      <c r="AD31" s="374"/>
      <c r="AE31" s="374"/>
      <c r="AF31" s="374"/>
      <c r="AG31" s="374"/>
      <c r="AH31" s="374"/>
      <c r="AI31" s="374"/>
      <c r="AJ31" s="374"/>
      <c r="AK31" s="374"/>
      <c r="AL31" s="374"/>
      <c r="AM31" s="374"/>
      <c r="AN31" s="374"/>
      <c r="AO31" s="374"/>
      <c r="AP31" s="374"/>
      <c r="AQ31" s="374"/>
      <c r="AR31" s="374"/>
      <c r="AS31" s="374"/>
      <c r="AT31" s="374"/>
      <c r="AU31" s="374"/>
      <c r="AV31" s="374"/>
      <c r="AW31" s="374"/>
      <c r="AX31" s="374"/>
      <c r="AY31" s="374"/>
      <c r="AZ31" s="374"/>
      <c r="BA31" s="374"/>
      <c r="BB31" s="374"/>
      <c r="BC31" s="374"/>
      <c r="BD31" s="374"/>
      <c r="BE31" s="374"/>
      <c r="BF31" s="375"/>
      <c r="BG31" s="376"/>
      <c r="BH31" s="373"/>
      <c r="BI31" s="370"/>
      <c r="BJ31" s="370"/>
      <c r="BK31" s="370"/>
      <c r="BL31" s="377"/>
      <c r="BM31" s="370"/>
      <c r="BN31" s="370"/>
      <c r="BO31" s="370"/>
      <c r="BP31" s="370"/>
      <c r="BQ31" s="370"/>
      <c r="BR31" s="370"/>
      <c r="BS31" s="373"/>
      <c r="BT31" s="371"/>
      <c r="BU31" s="299"/>
      <c r="BV31" s="370"/>
      <c r="BW31" s="370"/>
      <c r="BX31" s="299"/>
      <c r="BY31" s="299"/>
      <c r="BZ31" s="299"/>
      <c r="CA31" s="373"/>
      <c r="CB31" s="287"/>
      <c r="CC31" s="378"/>
      <c r="CD31" s="379"/>
      <c r="CE31" s="329"/>
    </row>
    <row r="32" spans="1:89" s="297" customFormat="1" ht="15" customHeight="1">
      <c r="A32" s="299"/>
      <c r="B32" s="369"/>
      <c r="C32" s="370"/>
      <c r="D32" s="299"/>
      <c r="E32" s="369"/>
      <c r="F32" s="299"/>
      <c r="G32" s="299"/>
      <c r="H32" s="299"/>
      <c r="I32" s="299"/>
      <c r="J32" s="371"/>
      <c r="K32" s="371"/>
      <c r="L32" s="371"/>
      <c r="M32" s="371"/>
      <c r="N32" s="371"/>
      <c r="O32" s="371"/>
      <c r="P32" s="299"/>
      <c r="Q32" s="299"/>
      <c r="R32" s="371"/>
      <c r="S32" s="371"/>
      <c r="T32" s="371"/>
      <c r="U32" s="371"/>
      <c r="V32" s="371"/>
      <c r="W32" s="371"/>
      <c r="X32" s="372"/>
      <c r="Y32" s="373"/>
      <c r="Z32" s="299"/>
      <c r="AA32" s="299"/>
      <c r="AB32" s="374"/>
      <c r="AC32" s="374"/>
      <c r="AD32" s="374"/>
      <c r="AE32" s="374"/>
      <c r="AF32" s="374"/>
      <c r="AG32" s="374"/>
      <c r="AH32" s="374"/>
      <c r="AI32" s="374"/>
      <c r="AJ32" s="374"/>
      <c r="AK32" s="374"/>
      <c r="AL32" s="374"/>
      <c r="AM32" s="374"/>
      <c r="AN32" s="374"/>
      <c r="AO32" s="374"/>
      <c r="AP32" s="374"/>
      <c r="AQ32" s="374"/>
      <c r="AR32" s="374"/>
      <c r="AS32" s="374"/>
      <c r="AT32" s="374"/>
      <c r="AU32" s="374"/>
      <c r="AV32" s="374"/>
      <c r="AW32" s="374"/>
      <c r="AX32" s="374"/>
      <c r="AY32" s="374"/>
      <c r="AZ32" s="374"/>
      <c r="BA32" s="374"/>
      <c r="BB32" s="374"/>
      <c r="BC32" s="374"/>
      <c r="BD32" s="374"/>
      <c r="BE32" s="374"/>
      <c r="BF32" s="375"/>
      <c r="BG32" s="376"/>
      <c r="BH32" s="373"/>
      <c r="BI32" s="370"/>
      <c r="BJ32" s="370"/>
      <c r="BK32" s="370"/>
      <c r="BL32" s="377"/>
      <c r="BM32" s="370"/>
      <c r="BN32" s="370"/>
      <c r="BO32" s="370"/>
      <c r="BP32" s="370"/>
      <c r="BQ32" s="370"/>
      <c r="BR32" s="370"/>
      <c r="BS32" s="373"/>
      <c r="BT32" s="371"/>
      <c r="BU32" s="299"/>
      <c r="BV32" s="370"/>
      <c r="BW32" s="370"/>
      <c r="BX32" s="299"/>
      <c r="BY32" s="299"/>
      <c r="BZ32" s="299"/>
      <c r="CA32" s="373"/>
      <c r="CB32" s="287"/>
      <c r="CC32" s="378"/>
      <c r="CD32" s="379"/>
      <c r="CE32" s="329"/>
    </row>
    <row r="33" spans="1:83" s="297" customFormat="1" ht="15" customHeight="1">
      <c r="A33" s="299"/>
      <c r="B33" s="369"/>
      <c r="C33" s="370"/>
      <c r="D33" s="299"/>
      <c r="E33" s="369"/>
      <c r="F33" s="299"/>
      <c r="G33" s="299"/>
      <c r="H33" s="299"/>
      <c r="I33" s="299"/>
      <c r="J33" s="371"/>
      <c r="K33" s="371"/>
      <c r="L33" s="371"/>
      <c r="M33" s="371"/>
      <c r="N33" s="371"/>
      <c r="O33" s="371"/>
      <c r="P33" s="299"/>
      <c r="Q33" s="299"/>
      <c r="R33" s="371"/>
      <c r="S33" s="371"/>
      <c r="T33" s="371"/>
      <c r="U33" s="371"/>
      <c r="V33" s="371"/>
      <c r="W33" s="371"/>
      <c r="X33" s="372"/>
      <c r="Y33" s="373"/>
      <c r="Z33" s="299"/>
      <c r="AA33" s="299"/>
      <c r="AB33" s="374"/>
      <c r="AC33" s="374"/>
      <c r="AD33" s="374"/>
      <c r="AE33" s="374"/>
      <c r="AF33" s="374"/>
      <c r="AG33" s="374"/>
      <c r="AH33" s="374"/>
      <c r="AI33" s="374"/>
      <c r="AJ33" s="374"/>
      <c r="AK33" s="374"/>
      <c r="AL33" s="374"/>
      <c r="AM33" s="374"/>
      <c r="AN33" s="374"/>
      <c r="AO33" s="374"/>
      <c r="AP33" s="374"/>
      <c r="AQ33" s="374"/>
      <c r="AR33" s="374"/>
      <c r="AS33" s="374"/>
      <c r="AT33" s="374"/>
      <c r="AU33" s="374"/>
      <c r="AV33" s="374"/>
      <c r="AW33" s="374"/>
      <c r="AX33" s="374"/>
      <c r="AY33" s="374"/>
      <c r="AZ33" s="374"/>
      <c r="BA33" s="374"/>
      <c r="BB33" s="374"/>
      <c r="BC33" s="374"/>
      <c r="BD33" s="374"/>
      <c r="BE33" s="374"/>
      <c r="BF33" s="375"/>
      <c r="BG33" s="376"/>
      <c r="BH33" s="373"/>
      <c r="BI33" s="370"/>
      <c r="BJ33" s="370"/>
      <c r="BK33" s="370"/>
      <c r="BL33" s="377"/>
      <c r="BM33" s="370"/>
      <c r="BN33" s="370"/>
      <c r="BO33" s="370"/>
      <c r="BP33" s="370"/>
      <c r="BQ33" s="370"/>
      <c r="BR33" s="370"/>
      <c r="BS33" s="373"/>
      <c r="BT33" s="371"/>
      <c r="BU33" s="299"/>
      <c r="BV33" s="370"/>
      <c r="BW33" s="370"/>
      <c r="BX33" s="299"/>
      <c r="BY33" s="299"/>
      <c r="BZ33" s="299"/>
      <c r="CA33" s="373"/>
      <c r="CB33" s="287"/>
      <c r="CC33" s="378"/>
      <c r="CD33" s="379"/>
      <c r="CE33" s="329"/>
    </row>
    <row r="34" spans="1:83" s="297" customFormat="1" ht="15" customHeight="1">
      <c r="A34" s="299"/>
      <c r="B34" s="369"/>
      <c r="C34" s="370"/>
      <c r="D34" s="299"/>
      <c r="E34" s="369"/>
      <c r="F34" s="299"/>
      <c r="G34" s="299"/>
      <c r="H34" s="299"/>
      <c r="I34" s="299"/>
      <c r="J34" s="371"/>
      <c r="K34" s="371"/>
      <c r="L34" s="371"/>
      <c r="M34" s="371"/>
      <c r="N34" s="371"/>
      <c r="O34" s="371"/>
      <c r="P34" s="299"/>
      <c r="Q34" s="299"/>
      <c r="R34" s="371"/>
      <c r="S34" s="371"/>
      <c r="T34" s="371"/>
      <c r="U34" s="371"/>
      <c r="V34" s="371"/>
      <c r="W34" s="371"/>
      <c r="X34" s="372"/>
      <c r="Y34" s="373"/>
      <c r="Z34" s="299"/>
      <c r="AA34" s="299"/>
      <c r="AB34" s="374"/>
      <c r="AC34" s="374"/>
      <c r="AD34" s="374"/>
      <c r="AE34" s="374"/>
      <c r="AF34" s="374"/>
      <c r="AG34" s="374"/>
      <c r="AH34" s="374"/>
      <c r="AI34" s="374"/>
      <c r="AJ34" s="374"/>
      <c r="AK34" s="374"/>
      <c r="AL34" s="374"/>
      <c r="AM34" s="374"/>
      <c r="AN34" s="374"/>
      <c r="AO34" s="374"/>
      <c r="AP34" s="374"/>
      <c r="AQ34" s="374"/>
      <c r="AR34" s="374"/>
      <c r="AS34" s="374"/>
      <c r="AT34" s="374"/>
      <c r="AU34" s="374"/>
      <c r="AV34" s="374"/>
      <c r="AW34" s="374"/>
      <c r="AX34" s="374"/>
      <c r="AY34" s="374"/>
      <c r="AZ34" s="374"/>
      <c r="BA34" s="374"/>
      <c r="BB34" s="374"/>
      <c r="BC34" s="374"/>
      <c r="BD34" s="374"/>
      <c r="BE34" s="374"/>
      <c r="BF34" s="375"/>
      <c r="BG34" s="376"/>
      <c r="BH34" s="373"/>
      <c r="BI34" s="370"/>
      <c r="BJ34" s="370"/>
      <c r="BK34" s="370"/>
      <c r="BL34" s="377"/>
      <c r="BM34" s="370"/>
      <c r="BN34" s="370"/>
      <c r="BO34" s="370"/>
      <c r="BP34" s="370"/>
      <c r="BQ34" s="370"/>
      <c r="BR34" s="370"/>
      <c r="BS34" s="373"/>
      <c r="BT34" s="371"/>
      <c r="BU34" s="299"/>
      <c r="BV34" s="370"/>
      <c r="BW34" s="370"/>
      <c r="BX34" s="299"/>
      <c r="BY34" s="299"/>
      <c r="BZ34" s="299"/>
      <c r="CA34" s="373"/>
      <c r="CB34" s="287"/>
      <c r="CC34" s="378"/>
      <c r="CD34" s="379"/>
      <c r="CE34" s="329"/>
    </row>
    <row r="35" spans="1:83" s="297" customFormat="1" ht="15.6">
      <c r="C35" s="390"/>
    </row>
    <row r="36" spans="1:83" s="297" customFormat="1" ht="15.6">
      <c r="C36" s="390"/>
    </row>
    <row r="37" spans="1:83" s="297" customFormat="1" ht="15.6">
      <c r="C37" s="390"/>
    </row>
    <row r="38" spans="1:83" s="297" customFormat="1" ht="15.6">
      <c r="C38" s="390"/>
    </row>
  </sheetData>
  <autoFilter ref="A23:CK23" xr:uid="{1C5E9479-EFC5-4DEA-951F-848420EC2CDF}">
    <sortState xmlns:xlrd2="http://schemas.microsoft.com/office/spreadsheetml/2017/richdata2" ref="A24:CK37">
      <sortCondition ref="A23"/>
    </sortState>
  </autoFilter>
  <printOptions horizontalCentered="1"/>
  <pageMargins left="0.5" right="0.5" top="0.5" bottom="0.5" header="0.3" footer="0.3"/>
  <pageSetup scale="25" fitToHeight="0" orientation="landscape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14DA4-C1FB-44B1-8E81-98EE130350A4}">
  <sheetPr>
    <tabColor rgb="FF9999FF"/>
    <pageSetUpPr fitToPage="1"/>
  </sheetPr>
  <dimension ref="A1:CG93"/>
  <sheetViews>
    <sheetView tabSelected="1" zoomScale="80" zoomScaleNormal="80" workbookViewId="0">
      <selection activeCell="AA28" sqref="AA28"/>
    </sheetView>
  </sheetViews>
  <sheetFormatPr defaultColWidth="8.85546875" defaultRowHeight="14.45"/>
  <cols>
    <col min="1" max="1" width="21.140625" style="42" customWidth="1"/>
    <col min="2" max="2" width="1.28515625" style="42" customWidth="1"/>
    <col min="3" max="3" width="14" style="130" customWidth="1"/>
    <col min="4" max="4" width="4" style="42" customWidth="1"/>
    <col min="5" max="5" width="1.28515625" style="42" customWidth="1"/>
    <col min="6" max="6" width="11.42578125" style="42" customWidth="1"/>
    <col min="7" max="7" width="16.28515625" style="42" bestFit="1" customWidth="1"/>
    <col min="8" max="9" width="1.28515625" style="42" customWidth="1"/>
    <col min="10" max="10" width="1.5703125" style="42" customWidth="1"/>
    <col min="11" max="14" width="1.28515625" style="42" customWidth="1"/>
    <col min="15" max="15" width="8.28515625" style="42" customWidth="1"/>
    <col min="16" max="16" width="24.5703125" style="42" bestFit="1" customWidth="1"/>
    <col min="17" max="17" width="22.42578125" style="42" bestFit="1" customWidth="1"/>
    <col min="18" max="23" width="0.5703125" style="42" customWidth="1"/>
    <col min="24" max="24" width="14" style="131" customWidth="1"/>
    <col min="25" max="26" width="1.28515625" style="42" customWidth="1"/>
    <col min="27" max="27" width="2.85546875" style="42" customWidth="1"/>
    <col min="28" max="28" width="11.7109375" style="25" customWidth="1"/>
    <col min="29" max="29" width="1.28515625" style="25" customWidth="1"/>
    <col min="30" max="30" width="10.28515625" style="25" customWidth="1"/>
    <col min="31" max="35" width="1.42578125" style="25" customWidth="1"/>
    <col min="36" max="36" width="10.85546875" style="25" customWidth="1"/>
    <col min="37" max="37" width="14.28515625" style="25" customWidth="1"/>
    <col min="38" max="59" width="1.28515625" style="25" customWidth="1"/>
    <col min="60" max="60" width="10.28515625" style="42" customWidth="1"/>
    <col min="61" max="61" width="14.42578125" style="42" bestFit="1" customWidth="1"/>
    <col min="62" max="62" width="11" style="25" bestFit="1" customWidth="1"/>
    <col min="63" max="63" width="0.85546875" style="42" customWidth="1"/>
    <col min="64" max="64" width="0.85546875" style="25" customWidth="1"/>
    <col min="65" max="65" width="15" style="42" bestFit="1" customWidth="1"/>
    <col min="66" max="66" width="3.85546875" style="42" customWidth="1"/>
    <col min="67" max="67" width="1.7109375" style="42" customWidth="1"/>
    <col min="68" max="68" width="8.28515625" style="42" customWidth="1"/>
    <col min="69" max="69" width="1.140625" style="42" customWidth="1"/>
    <col min="70" max="70" width="2.28515625" style="42" customWidth="1"/>
    <col min="71" max="74" width="0.7109375" style="42" customWidth="1"/>
    <col min="75" max="80" width="0.5703125" style="42" customWidth="1"/>
    <col min="81" max="81" width="9.42578125" style="42" customWidth="1"/>
    <col min="82" max="82" width="14.5703125" style="42" bestFit="1" customWidth="1"/>
    <col min="83" max="83" width="8.85546875" style="42"/>
    <col min="84" max="84" width="13.28515625" style="42" customWidth="1"/>
    <col min="85" max="16384" width="8.85546875" style="42"/>
  </cols>
  <sheetData>
    <row r="1" spans="1:85" ht="4.5" customHeight="1">
      <c r="A1" s="1"/>
      <c r="B1" s="1"/>
      <c r="C1" s="10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6"/>
      <c r="R1" s="6"/>
      <c r="S1" s="6"/>
      <c r="T1" s="6"/>
      <c r="U1" s="6"/>
      <c r="V1" s="6"/>
      <c r="W1" s="6"/>
      <c r="X1" s="23"/>
      <c r="Y1" s="6"/>
      <c r="Z1" s="6"/>
      <c r="AA1" s="2"/>
      <c r="AB1" s="24"/>
      <c r="AC1" s="24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7"/>
      <c r="BI1" s="3"/>
      <c r="BK1" s="3"/>
      <c r="BL1" s="40"/>
      <c r="BM1" s="4"/>
      <c r="BN1" s="5"/>
      <c r="BO1" s="3"/>
      <c r="BP1" s="3"/>
      <c r="BQ1" s="3"/>
      <c r="BR1" s="200"/>
      <c r="BS1" s="3"/>
      <c r="BT1" s="5"/>
      <c r="BU1" s="8"/>
      <c r="BV1" s="5"/>
      <c r="BW1" s="5"/>
      <c r="BX1" s="3"/>
      <c r="BY1" s="5"/>
      <c r="BZ1" s="5"/>
      <c r="CA1" s="5"/>
      <c r="CB1" s="5"/>
      <c r="CC1" s="5"/>
      <c r="CD1" s="4"/>
      <c r="CE1" s="5"/>
      <c r="CF1" s="5"/>
      <c r="CG1" s="5"/>
    </row>
    <row r="2" spans="1:85" ht="25.9">
      <c r="A2" s="484" t="s">
        <v>25</v>
      </c>
      <c r="B2" s="484"/>
      <c r="C2" s="484"/>
      <c r="D2" s="484"/>
      <c r="E2" s="484"/>
      <c r="F2" s="484"/>
      <c r="G2" s="1"/>
      <c r="H2" s="1"/>
      <c r="I2" s="1"/>
      <c r="J2" s="1"/>
      <c r="K2" s="1"/>
      <c r="L2" s="1"/>
      <c r="M2" s="1"/>
      <c r="N2" s="1"/>
      <c r="O2" s="1"/>
      <c r="P2" s="1"/>
      <c r="Q2" s="6"/>
      <c r="R2" s="6"/>
      <c r="S2" s="6"/>
      <c r="T2" s="6"/>
      <c r="U2" s="6"/>
      <c r="V2" s="6"/>
      <c r="W2" s="6"/>
      <c r="X2" s="23"/>
      <c r="Y2" s="6"/>
      <c r="Z2" s="6"/>
      <c r="AA2" s="2"/>
      <c r="AB2" s="24"/>
      <c r="AC2" s="24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7"/>
      <c r="BI2" s="3"/>
      <c r="BK2" s="3"/>
      <c r="BL2" s="40"/>
      <c r="BM2" s="4"/>
      <c r="BN2" s="5"/>
      <c r="BO2" s="3"/>
      <c r="BP2" s="3"/>
      <c r="BQ2" s="3"/>
      <c r="BR2" s="200"/>
      <c r="BS2" s="3"/>
      <c r="BT2" s="5"/>
      <c r="BU2" s="8"/>
      <c r="BV2" s="5"/>
      <c r="BW2" s="5"/>
      <c r="BX2" s="3"/>
      <c r="BY2" s="5"/>
      <c r="BZ2" s="5"/>
      <c r="CA2" s="5"/>
      <c r="CB2" s="5"/>
      <c r="CC2" s="5"/>
      <c r="CD2" s="4"/>
      <c r="CE2" s="5"/>
      <c r="CF2" s="5"/>
      <c r="CG2" s="5"/>
    </row>
    <row r="3" spans="1:85" ht="4.5" customHeight="1">
      <c r="A3" s="43"/>
      <c r="B3" s="44"/>
      <c r="C3" s="45"/>
      <c r="D3" s="44"/>
      <c r="E3" s="44"/>
      <c r="F3" s="44"/>
      <c r="G3" s="1"/>
      <c r="H3" s="1"/>
      <c r="I3" s="1"/>
      <c r="J3" s="1"/>
      <c r="K3" s="1"/>
      <c r="L3" s="1"/>
      <c r="M3" s="1"/>
      <c r="N3" s="1"/>
      <c r="O3" s="1"/>
      <c r="P3" s="1"/>
      <c r="Q3" s="6"/>
      <c r="R3" s="6"/>
      <c r="S3" s="6"/>
      <c r="T3" s="6"/>
      <c r="U3" s="6"/>
      <c r="V3" s="6"/>
      <c r="W3" s="6"/>
      <c r="X3" s="23"/>
      <c r="Y3" s="6"/>
      <c r="Z3" s="6"/>
      <c r="AA3" s="2"/>
      <c r="AB3" s="24"/>
      <c r="AC3" s="24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7"/>
      <c r="BI3" s="3"/>
      <c r="BK3" s="3"/>
      <c r="BL3" s="40"/>
      <c r="BM3" s="4"/>
      <c r="BN3" s="5"/>
      <c r="BO3" s="3"/>
      <c r="BP3" s="3"/>
      <c r="BQ3" s="3"/>
      <c r="BR3" s="200"/>
      <c r="BS3" s="3"/>
      <c r="BT3" s="5"/>
      <c r="BU3" s="8"/>
      <c r="BV3" s="5"/>
      <c r="BW3" s="5"/>
      <c r="BX3" s="3"/>
      <c r="BY3" s="5"/>
      <c r="BZ3" s="5"/>
      <c r="CA3" s="5"/>
      <c r="CB3" s="5"/>
      <c r="CC3" s="5"/>
      <c r="CD3" s="4"/>
      <c r="CE3" s="5"/>
      <c r="CF3" s="5"/>
      <c r="CG3" s="5"/>
    </row>
    <row r="4" spans="1:85" ht="15.6">
      <c r="A4" s="43" t="s">
        <v>141</v>
      </c>
      <c r="B4" s="44"/>
      <c r="C4" s="46" t="s">
        <v>113</v>
      </c>
      <c r="D4" s="44"/>
      <c r="E4" s="44"/>
      <c r="F4" s="44"/>
      <c r="G4" s="1"/>
      <c r="H4" s="1"/>
      <c r="I4" s="1"/>
      <c r="J4" s="1"/>
      <c r="K4" s="1"/>
      <c r="L4" s="1"/>
      <c r="M4" s="1"/>
      <c r="N4" s="1"/>
      <c r="O4" s="1"/>
      <c r="P4" s="1"/>
      <c r="Q4" s="6"/>
      <c r="R4" s="6"/>
      <c r="S4" s="6"/>
      <c r="T4" s="6"/>
      <c r="U4" s="6"/>
      <c r="V4" s="6"/>
      <c r="W4" s="6"/>
      <c r="X4" s="23"/>
      <c r="Y4" s="6"/>
      <c r="Z4" s="6"/>
      <c r="AA4" s="2"/>
      <c r="AB4" s="24"/>
      <c r="AC4" s="24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7"/>
      <c r="BI4" s="3"/>
      <c r="BK4" s="3"/>
      <c r="BL4" s="40"/>
      <c r="BM4" s="4"/>
      <c r="BN4" s="5"/>
      <c r="BO4" s="3"/>
      <c r="BP4" s="3"/>
      <c r="BQ4" s="3"/>
      <c r="BR4" s="200"/>
      <c r="BS4" s="3"/>
      <c r="BT4" s="5"/>
      <c r="BU4" s="8"/>
      <c r="BV4" s="5"/>
      <c r="BW4" s="5"/>
      <c r="BX4" s="3"/>
      <c r="BY4" s="5"/>
      <c r="BZ4" s="5"/>
      <c r="CA4" s="5"/>
      <c r="CB4" s="5"/>
      <c r="CC4" s="5"/>
      <c r="CD4" s="4"/>
      <c r="CE4" s="5"/>
      <c r="CF4" s="5"/>
      <c r="CG4" s="5"/>
    </row>
    <row r="5" spans="1:85" ht="15.6">
      <c r="A5" s="47" t="s">
        <v>27</v>
      </c>
      <c r="B5" s="1"/>
      <c r="C5" s="46" t="s">
        <v>142</v>
      </c>
      <c r="D5" s="48"/>
      <c r="E5" s="48"/>
      <c r="F5" s="48"/>
      <c r="G5" s="1"/>
      <c r="H5" s="1"/>
      <c r="I5" s="1"/>
      <c r="J5" s="1"/>
      <c r="K5" s="1"/>
      <c r="L5" s="1"/>
      <c r="M5" s="1"/>
      <c r="N5" s="1"/>
      <c r="O5" s="1"/>
      <c r="P5" s="1"/>
      <c r="Q5" s="6"/>
      <c r="R5" s="6"/>
      <c r="S5" s="6"/>
      <c r="T5" s="6"/>
      <c r="U5" s="6"/>
      <c r="V5" s="6"/>
      <c r="W5" s="6"/>
      <c r="X5" s="23"/>
      <c r="Y5" s="6"/>
      <c r="Z5" s="6"/>
      <c r="AA5" s="2"/>
      <c r="AB5" s="24"/>
      <c r="AC5" s="24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7"/>
      <c r="BI5" s="3"/>
      <c r="BK5" s="3"/>
      <c r="BL5" s="40"/>
      <c r="BM5" s="4"/>
      <c r="BN5" s="5"/>
      <c r="BO5" s="3"/>
      <c r="BP5" s="3"/>
      <c r="BQ5" s="3"/>
      <c r="BR5" s="200"/>
      <c r="BS5" s="3"/>
      <c r="BT5" s="5"/>
      <c r="BU5" s="8"/>
      <c r="BV5" s="5"/>
      <c r="BW5" s="5"/>
      <c r="BX5" s="3"/>
      <c r="BY5" s="5"/>
      <c r="BZ5" s="5"/>
      <c r="CA5" s="5"/>
      <c r="CB5" s="5"/>
      <c r="CC5" s="5"/>
      <c r="CD5" s="4"/>
      <c r="CE5" s="5"/>
      <c r="CF5" s="5"/>
      <c r="CG5" s="5"/>
    </row>
    <row r="6" spans="1:85" ht="15.6">
      <c r="A6" s="43" t="s">
        <v>29</v>
      </c>
      <c r="B6" s="45"/>
      <c r="C6" s="46">
        <v>46022</v>
      </c>
      <c r="D6" s="1"/>
      <c r="E6" s="1"/>
      <c r="F6" s="1"/>
      <c r="G6" s="1"/>
      <c r="H6" s="1"/>
      <c r="I6" s="1"/>
      <c r="J6" s="44"/>
      <c r="K6" s="44"/>
      <c r="L6" s="44"/>
      <c r="M6" s="44"/>
      <c r="N6" s="44"/>
      <c r="O6" s="44"/>
      <c r="P6" s="44"/>
      <c r="Q6" s="49"/>
      <c r="R6" s="49"/>
      <c r="S6" s="49"/>
      <c r="T6" s="49"/>
      <c r="U6" s="49"/>
      <c r="V6" s="49"/>
      <c r="W6" s="49"/>
      <c r="X6" s="39"/>
      <c r="Y6" s="49"/>
      <c r="Z6" s="49"/>
      <c r="AA6" s="2"/>
      <c r="AB6" s="24"/>
      <c r="AC6" s="24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50" t="s">
        <v>143</v>
      </c>
      <c r="BI6" s="3"/>
      <c r="BK6" s="3"/>
      <c r="BL6" s="40"/>
      <c r="BM6" s="4"/>
      <c r="BN6" s="5"/>
      <c r="BO6" s="3"/>
      <c r="BP6" s="3"/>
      <c r="BQ6" s="3"/>
      <c r="BR6" s="200"/>
      <c r="BS6" s="3"/>
      <c r="BT6" s="5"/>
      <c r="BU6" s="8"/>
      <c r="BV6" s="5"/>
      <c r="BW6" s="5"/>
      <c r="BX6" s="3"/>
      <c r="BY6" s="5"/>
      <c r="BZ6" s="5"/>
      <c r="CA6" s="5"/>
      <c r="CB6" s="5"/>
      <c r="CC6" s="5"/>
      <c r="CD6" s="4"/>
      <c r="CE6" s="5"/>
      <c r="CF6" s="5"/>
      <c r="CG6" s="5"/>
    </row>
    <row r="7" spans="1:85" ht="15.6">
      <c r="A7" s="43"/>
      <c r="B7" s="45"/>
      <c r="C7" s="46"/>
      <c r="D7" s="1"/>
      <c r="E7" s="1"/>
      <c r="F7" s="1"/>
      <c r="G7" s="1"/>
      <c r="H7" s="1"/>
      <c r="I7" s="1"/>
      <c r="J7" s="51"/>
      <c r="K7" s="51"/>
      <c r="L7" s="51"/>
      <c r="M7" s="51"/>
      <c r="N7" s="51"/>
      <c r="O7" s="51"/>
      <c r="P7" s="51"/>
      <c r="Q7" s="52"/>
      <c r="R7" s="52"/>
      <c r="S7" s="52"/>
      <c r="T7" s="52"/>
      <c r="U7" s="52"/>
      <c r="V7" s="52"/>
      <c r="W7" s="52"/>
      <c r="X7" s="53"/>
      <c r="Y7" s="52"/>
      <c r="Z7" s="52"/>
      <c r="AA7" s="2"/>
      <c r="AB7" s="24"/>
      <c r="AC7" s="24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54" t="s">
        <v>144</v>
      </c>
      <c r="BI7" s="3"/>
      <c r="BK7" s="3"/>
      <c r="BL7" s="40"/>
      <c r="BM7" s="4"/>
      <c r="BN7" s="5"/>
      <c r="BO7" s="3"/>
      <c r="BP7" s="3"/>
      <c r="BQ7" s="3"/>
      <c r="BR7" s="200"/>
      <c r="BS7" s="3"/>
      <c r="BT7" s="5"/>
      <c r="BU7" s="8"/>
      <c r="BV7" s="5"/>
      <c r="BW7" s="5"/>
      <c r="BX7" s="3"/>
      <c r="BY7" s="5"/>
      <c r="BZ7" s="5"/>
      <c r="CA7" s="5"/>
      <c r="CB7" s="5"/>
      <c r="CC7" s="5"/>
      <c r="CD7" s="4"/>
      <c r="CE7" s="5"/>
      <c r="CF7" s="5"/>
      <c r="CG7" s="5"/>
    </row>
    <row r="8" spans="1:85" ht="9.75" customHeight="1" thickBot="1">
      <c r="A8" s="1"/>
      <c r="B8" s="1"/>
      <c r="C8" s="10"/>
      <c r="D8" s="1"/>
      <c r="E8" s="1"/>
      <c r="F8" s="1"/>
      <c r="G8" s="1"/>
      <c r="H8" s="1"/>
      <c r="I8" s="1"/>
      <c r="J8" s="51"/>
      <c r="K8" s="51"/>
      <c r="L8" s="51"/>
      <c r="M8" s="51"/>
      <c r="N8" s="51"/>
      <c r="O8" s="51"/>
      <c r="P8" s="51"/>
      <c r="Q8" s="52"/>
      <c r="R8" s="52"/>
      <c r="S8" s="52"/>
      <c r="T8" s="52"/>
      <c r="U8" s="52"/>
      <c r="V8" s="52"/>
      <c r="W8" s="52"/>
      <c r="X8" s="53"/>
      <c r="Y8" s="52"/>
      <c r="Z8" s="52"/>
      <c r="AA8" s="2"/>
      <c r="AB8" s="24"/>
      <c r="AC8" s="24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7"/>
      <c r="BI8" s="3"/>
      <c r="BK8" s="3"/>
      <c r="BL8" s="40"/>
      <c r="BM8" s="4"/>
      <c r="BN8" s="5"/>
      <c r="BO8" s="3"/>
      <c r="BP8" s="3"/>
      <c r="BQ8" s="3"/>
      <c r="BR8" s="200"/>
      <c r="BS8" s="3"/>
      <c r="BT8" s="5"/>
      <c r="BU8" s="8"/>
      <c r="BV8" s="5"/>
      <c r="BW8" s="5"/>
      <c r="BX8" s="3"/>
      <c r="BY8" s="5"/>
      <c r="BZ8" s="5"/>
      <c r="CA8" s="5"/>
      <c r="CB8" s="5"/>
      <c r="CC8" s="5"/>
      <c r="CD8" s="4"/>
      <c r="CE8" s="5"/>
      <c r="CF8" s="5"/>
      <c r="CG8" s="5"/>
    </row>
    <row r="9" spans="1:85" ht="15" customHeight="1">
      <c r="A9" s="485" t="str">
        <f>UPPER(C4)</f>
        <v>CIGNA LOYAL AMERICAN</v>
      </c>
      <c r="B9" s="486"/>
      <c r="C9" s="487"/>
      <c r="D9" s="486"/>
      <c r="E9" s="486"/>
      <c r="F9" s="486"/>
      <c r="G9" s="488"/>
      <c r="H9" s="486"/>
      <c r="I9" s="486"/>
      <c r="J9" s="486"/>
      <c r="K9" s="486"/>
      <c r="L9" s="486"/>
      <c r="M9" s="486"/>
      <c r="N9" s="486"/>
      <c r="O9" s="486"/>
      <c r="P9" s="485"/>
      <c r="Q9" s="486"/>
      <c r="R9" s="486"/>
      <c r="S9" s="486"/>
      <c r="T9" s="486"/>
      <c r="U9" s="486"/>
      <c r="V9" s="486"/>
      <c r="W9" s="486"/>
      <c r="X9" s="486"/>
      <c r="Y9" s="486"/>
      <c r="Z9" s="486"/>
      <c r="AA9" s="486"/>
      <c r="AB9" s="486"/>
      <c r="AC9" s="486"/>
      <c r="AD9" s="486"/>
      <c r="AE9" s="486"/>
      <c r="AF9" s="486"/>
      <c r="AG9" s="486"/>
      <c r="AH9" s="486"/>
      <c r="AI9" s="486"/>
      <c r="AJ9" s="486"/>
      <c r="AK9" s="486"/>
      <c r="AL9" s="486"/>
      <c r="AM9" s="486"/>
      <c r="AN9" s="486"/>
      <c r="AO9" s="486"/>
      <c r="AP9" s="486"/>
      <c r="AQ9" s="486"/>
      <c r="AR9" s="486"/>
      <c r="AS9" s="486"/>
      <c r="AT9" s="486"/>
      <c r="AU9" s="486"/>
      <c r="AV9" s="486"/>
      <c r="AW9" s="486"/>
      <c r="AX9" s="486"/>
      <c r="AY9" s="486"/>
      <c r="AZ9" s="486"/>
      <c r="BA9" s="486"/>
      <c r="BB9" s="486"/>
      <c r="BC9" s="486"/>
      <c r="BD9" s="486"/>
      <c r="BE9" s="486"/>
      <c r="BF9" s="486"/>
      <c r="BG9" s="486"/>
      <c r="BH9" s="487"/>
      <c r="BI9" s="55"/>
      <c r="BJ9" s="242"/>
      <c r="BK9" s="55"/>
      <c r="BL9" s="56"/>
      <c r="BM9" s="57"/>
      <c r="BN9" s="43"/>
      <c r="BO9" s="58"/>
      <c r="BP9" s="55"/>
      <c r="BQ9" s="55"/>
      <c r="BR9" s="201"/>
      <c r="BS9" s="55"/>
      <c r="BT9" s="59"/>
      <c r="BU9" s="60"/>
      <c r="BV9" s="59"/>
      <c r="BW9" s="59"/>
      <c r="BX9" s="55"/>
      <c r="BY9" s="59"/>
      <c r="BZ9" s="59"/>
      <c r="CA9" s="59"/>
      <c r="CB9" s="59"/>
      <c r="CC9" s="59"/>
      <c r="CD9" s="61"/>
      <c r="CE9" s="59"/>
      <c r="CF9" s="59"/>
      <c r="CG9" s="59"/>
    </row>
    <row r="10" spans="1:85" ht="15" customHeight="1" thickBot="1">
      <c r="A10" s="489"/>
      <c r="B10" s="490"/>
      <c r="C10" s="491"/>
      <c r="D10" s="490"/>
      <c r="E10" s="490"/>
      <c r="F10" s="490"/>
      <c r="G10" s="492"/>
      <c r="H10" s="490"/>
      <c r="I10" s="490"/>
      <c r="J10" s="490"/>
      <c r="K10" s="490"/>
      <c r="L10" s="490"/>
      <c r="M10" s="490"/>
      <c r="N10" s="490"/>
      <c r="O10" s="490"/>
      <c r="P10" s="489"/>
      <c r="Q10" s="490"/>
      <c r="R10" s="490"/>
      <c r="S10" s="490"/>
      <c r="T10" s="490"/>
      <c r="U10" s="490"/>
      <c r="V10" s="490"/>
      <c r="W10" s="490"/>
      <c r="X10" s="490"/>
      <c r="Y10" s="490"/>
      <c r="Z10" s="490"/>
      <c r="AA10" s="490"/>
      <c r="AB10" s="490"/>
      <c r="AC10" s="490"/>
      <c r="AD10" s="490"/>
      <c r="AE10" s="490"/>
      <c r="AF10" s="490"/>
      <c r="AG10" s="490"/>
      <c r="AH10" s="490"/>
      <c r="AI10" s="490"/>
      <c r="AJ10" s="490"/>
      <c r="AK10" s="490"/>
      <c r="AL10" s="490"/>
      <c r="AM10" s="490"/>
      <c r="AN10" s="490"/>
      <c r="AO10" s="490"/>
      <c r="AP10" s="490"/>
      <c r="AQ10" s="490"/>
      <c r="AR10" s="490"/>
      <c r="AS10" s="490"/>
      <c r="AT10" s="490"/>
      <c r="AU10" s="490"/>
      <c r="AV10" s="490"/>
      <c r="AW10" s="490"/>
      <c r="AX10" s="490"/>
      <c r="AY10" s="490"/>
      <c r="AZ10" s="490"/>
      <c r="BA10" s="490"/>
      <c r="BB10" s="490"/>
      <c r="BC10" s="490"/>
      <c r="BD10" s="490"/>
      <c r="BE10" s="490"/>
      <c r="BF10" s="490"/>
      <c r="BG10" s="490"/>
      <c r="BH10" s="491"/>
      <c r="BI10" s="55"/>
      <c r="BJ10" s="242"/>
      <c r="BK10" s="55"/>
      <c r="BL10" s="56"/>
      <c r="BM10" s="57"/>
      <c r="BN10" s="43"/>
      <c r="BO10" s="58"/>
      <c r="BP10" s="55"/>
      <c r="BQ10" s="55"/>
      <c r="BR10" s="201"/>
      <c r="BS10" s="55"/>
      <c r="BT10" s="59"/>
      <c r="BU10" s="60"/>
      <c r="BV10" s="59"/>
      <c r="BW10" s="59"/>
      <c r="BX10" s="55"/>
      <c r="BY10" s="59"/>
      <c r="BZ10" s="59"/>
      <c r="CA10" s="59"/>
      <c r="CB10" s="59"/>
      <c r="CC10" s="59"/>
      <c r="CD10" s="61"/>
      <c r="CE10" s="59"/>
      <c r="CF10" s="59"/>
      <c r="CG10" s="59"/>
    </row>
    <row r="11" spans="1:85" s="86" customFormat="1" ht="30" customHeight="1">
      <c r="A11" s="62" t="s">
        <v>43</v>
      </c>
      <c r="B11" s="63" t="s">
        <v>44</v>
      </c>
      <c r="C11" s="64" t="s">
        <v>45</v>
      </c>
      <c r="D11" s="65" t="s">
        <v>46</v>
      </c>
      <c r="E11" s="63" t="s">
        <v>47</v>
      </c>
      <c r="F11" s="65" t="s">
        <v>48</v>
      </c>
      <c r="G11" s="65" t="s">
        <v>49</v>
      </c>
      <c r="H11" s="65" t="s">
        <v>50</v>
      </c>
      <c r="I11" s="65" t="s">
        <v>51</v>
      </c>
      <c r="J11" s="66" t="s">
        <v>52</v>
      </c>
      <c r="K11" s="66" t="s">
        <v>53</v>
      </c>
      <c r="L11" s="66" t="s">
        <v>54</v>
      </c>
      <c r="M11" s="66" t="s">
        <v>55</v>
      </c>
      <c r="N11" s="66" t="s">
        <v>56</v>
      </c>
      <c r="O11" s="66" t="s">
        <v>57</v>
      </c>
      <c r="P11" s="67" t="s">
        <v>58</v>
      </c>
      <c r="Q11" s="65" t="s">
        <v>59</v>
      </c>
      <c r="R11" s="66" t="s">
        <v>60</v>
      </c>
      <c r="S11" s="66" t="s">
        <v>61</v>
      </c>
      <c r="T11" s="66" t="s">
        <v>62</v>
      </c>
      <c r="U11" s="66" t="s">
        <v>63</v>
      </c>
      <c r="V11" s="66" t="s">
        <v>64</v>
      </c>
      <c r="W11" s="66" t="s">
        <v>65</v>
      </c>
      <c r="X11" s="68" t="s">
        <v>66</v>
      </c>
      <c r="Y11" s="69" t="s">
        <v>67</v>
      </c>
      <c r="Z11" s="70" t="s">
        <v>68</v>
      </c>
      <c r="AA11" s="65"/>
      <c r="AB11" s="71" t="s">
        <v>70</v>
      </c>
      <c r="AC11" s="71"/>
      <c r="AD11" s="72" t="s">
        <v>52</v>
      </c>
      <c r="AE11" s="71" t="s">
        <v>71</v>
      </c>
      <c r="AF11" s="71" t="s">
        <v>72</v>
      </c>
      <c r="AG11" s="71" t="s">
        <v>73</v>
      </c>
      <c r="AH11" s="71" t="s">
        <v>74</v>
      </c>
      <c r="AI11" s="71" t="s">
        <v>75</v>
      </c>
      <c r="AJ11" s="71" t="s">
        <v>76</v>
      </c>
      <c r="AK11" s="72" t="s">
        <v>77</v>
      </c>
      <c r="AL11" s="73" t="s">
        <v>145</v>
      </c>
      <c r="AM11" s="72" t="s">
        <v>79</v>
      </c>
      <c r="AN11" s="72" t="s">
        <v>79</v>
      </c>
      <c r="AO11" s="72" t="s">
        <v>80</v>
      </c>
      <c r="AP11" s="72" t="s">
        <v>80</v>
      </c>
      <c r="AQ11" s="72" t="s">
        <v>81</v>
      </c>
      <c r="AR11" s="72" t="s">
        <v>81</v>
      </c>
      <c r="AS11" s="72" t="s">
        <v>82</v>
      </c>
      <c r="AT11" s="72" t="s">
        <v>82</v>
      </c>
      <c r="AU11" s="72" t="s">
        <v>83</v>
      </c>
      <c r="AV11" s="72" t="s">
        <v>83</v>
      </c>
      <c r="AW11" s="72" t="s">
        <v>84</v>
      </c>
      <c r="AX11" s="72" t="s">
        <v>84</v>
      </c>
      <c r="AY11" s="72" t="s">
        <v>85</v>
      </c>
      <c r="AZ11" s="72" t="s">
        <v>85</v>
      </c>
      <c r="BA11" s="72" t="s">
        <v>146</v>
      </c>
      <c r="BB11" s="72" t="s">
        <v>146</v>
      </c>
      <c r="BC11" s="72" t="s">
        <v>147</v>
      </c>
      <c r="BD11" s="72" t="s">
        <v>147</v>
      </c>
      <c r="BE11" s="72" t="s">
        <v>148</v>
      </c>
      <c r="BF11" s="72" t="s">
        <v>148</v>
      </c>
      <c r="BG11" s="72" t="s">
        <v>88</v>
      </c>
      <c r="BH11" s="74" t="s">
        <v>89</v>
      </c>
      <c r="BI11" s="75" t="s">
        <v>90</v>
      </c>
      <c r="BJ11" s="76" t="s">
        <v>91</v>
      </c>
      <c r="BK11" s="77" t="s">
        <v>92</v>
      </c>
      <c r="BL11" s="76" t="s">
        <v>93</v>
      </c>
      <c r="BM11" s="77" t="s">
        <v>94</v>
      </c>
      <c r="BN11" s="78" t="s">
        <v>95</v>
      </c>
      <c r="BO11" s="77" t="s">
        <v>96</v>
      </c>
      <c r="BP11" s="79" t="s">
        <v>97</v>
      </c>
      <c r="BQ11" s="77" t="s">
        <v>98</v>
      </c>
      <c r="BR11" s="202" t="s">
        <v>99</v>
      </c>
      <c r="BS11" s="77" t="s">
        <v>100</v>
      </c>
      <c r="BT11" s="77" t="s">
        <v>8</v>
      </c>
      <c r="BU11" s="80" t="s">
        <v>101</v>
      </c>
      <c r="BV11" s="81" t="s">
        <v>102</v>
      </c>
      <c r="BW11" s="82" t="s">
        <v>103</v>
      </c>
      <c r="BX11" s="77" t="s">
        <v>104</v>
      </c>
      <c r="BY11" s="77" t="s">
        <v>105</v>
      </c>
      <c r="BZ11" s="82" t="s">
        <v>106</v>
      </c>
      <c r="CA11" s="82"/>
      <c r="CB11" s="82"/>
      <c r="CC11" s="80" t="s">
        <v>107</v>
      </c>
      <c r="CD11" s="83" t="s">
        <v>149</v>
      </c>
      <c r="CE11" s="84" t="s">
        <v>150</v>
      </c>
      <c r="CF11" s="225" t="s">
        <v>151</v>
      </c>
      <c r="CG11" s="85"/>
    </row>
    <row r="12" spans="1:85" s="417" customFormat="1" ht="15" customHeight="1">
      <c r="A12" s="393" t="s">
        <v>152</v>
      </c>
      <c r="B12" s="394" t="s">
        <v>111</v>
      </c>
      <c r="C12" s="395">
        <v>45292</v>
      </c>
      <c r="D12" s="396" t="s">
        <v>112</v>
      </c>
      <c r="E12" s="397" t="s">
        <v>113</v>
      </c>
      <c r="F12" s="397" t="s">
        <v>114</v>
      </c>
      <c r="G12" s="397" t="s">
        <v>153</v>
      </c>
      <c r="H12" s="397" t="s">
        <v>116</v>
      </c>
      <c r="I12" s="397" t="s">
        <v>116</v>
      </c>
      <c r="J12" s="397" t="s">
        <v>116</v>
      </c>
      <c r="K12" s="397" t="b">
        <v>0</v>
      </c>
      <c r="L12" s="397" t="s">
        <v>116</v>
      </c>
      <c r="M12" s="397" t="s">
        <v>116</v>
      </c>
      <c r="N12" s="397" t="s">
        <v>116</v>
      </c>
      <c r="O12" s="397" t="s">
        <v>118</v>
      </c>
      <c r="P12" s="397" t="s">
        <v>154</v>
      </c>
      <c r="Q12" s="397" t="s">
        <v>154</v>
      </c>
      <c r="R12" s="397" t="s">
        <v>116</v>
      </c>
      <c r="S12" s="397" t="s">
        <v>116</v>
      </c>
      <c r="T12" s="397" t="s">
        <v>116</v>
      </c>
      <c r="U12" s="397" t="s">
        <v>116</v>
      </c>
      <c r="V12" s="397" t="s">
        <v>116</v>
      </c>
      <c r="W12" s="397" t="s">
        <v>116</v>
      </c>
      <c r="X12" s="398" t="s">
        <v>155</v>
      </c>
      <c r="Y12" s="399">
        <v>139.81</v>
      </c>
      <c r="Z12" s="398" t="s">
        <v>116</v>
      </c>
      <c r="AA12" s="400">
        <v>1</v>
      </c>
      <c r="AB12" s="401">
        <v>4.1900000000000004</v>
      </c>
      <c r="AC12" s="402"/>
      <c r="AD12" s="401">
        <v>2.79</v>
      </c>
      <c r="AE12" s="401">
        <v>0</v>
      </c>
      <c r="AF12" s="401">
        <v>0</v>
      </c>
      <c r="AG12" s="401">
        <v>0</v>
      </c>
      <c r="AH12" s="401">
        <v>0</v>
      </c>
      <c r="AI12" s="401">
        <v>0</v>
      </c>
      <c r="AJ12" s="401">
        <v>1.4</v>
      </c>
      <c r="AK12" s="401">
        <v>0</v>
      </c>
      <c r="AL12" s="401">
        <v>0</v>
      </c>
      <c r="AM12" s="401">
        <v>0</v>
      </c>
      <c r="AN12" s="401">
        <v>0</v>
      </c>
      <c r="AO12" s="401">
        <v>0</v>
      </c>
      <c r="AP12" s="401">
        <v>0</v>
      </c>
      <c r="AQ12" s="401">
        <v>0</v>
      </c>
      <c r="AR12" s="401">
        <v>0</v>
      </c>
      <c r="AS12" s="401">
        <v>0</v>
      </c>
      <c r="AT12" s="401">
        <v>0</v>
      </c>
      <c r="AU12" s="401">
        <v>0</v>
      </c>
      <c r="AV12" s="401">
        <v>0</v>
      </c>
      <c r="AW12" s="401">
        <v>0</v>
      </c>
      <c r="AX12" s="401">
        <v>0</v>
      </c>
      <c r="AY12" s="401">
        <v>0</v>
      </c>
      <c r="AZ12" s="401">
        <v>0</v>
      </c>
      <c r="BA12" s="401">
        <v>0</v>
      </c>
      <c r="BB12" s="401">
        <v>0</v>
      </c>
      <c r="BC12" s="401">
        <v>0</v>
      </c>
      <c r="BD12" s="401">
        <v>0</v>
      </c>
      <c r="BE12" s="401">
        <v>0</v>
      </c>
      <c r="BF12" s="401">
        <v>0</v>
      </c>
      <c r="BG12" s="402"/>
      <c r="BH12" s="403" t="s">
        <v>156</v>
      </c>
      <c r="BI12" s="404">
        <v>46004</v>
      </c>
      <c r="BJ12" s="405">
        <v>10.57</v>
      </c>
      <c r="BK12" s="406"/>
      <c r="BL12" s="406"/>
      <c r="BM12" s="407"/>
      <c r="BN12" s="408" t="s">
        <v>124</v>
      </c>
      <c r="BO12" s="409"/>
      <c r="BP12" s="409"/>
      <c r="BQ12" s="409"/>
      <c r="BR12" s="410"/>
      <c r="BS12" s="409"/>
      <c r="BT12" s="409"/>
      <c r="BU12" s="411"/>
      <c r="BV12" s="412"/>
      <c r="BW12" s="413"/>
      <c r="BX12" s="409"/>
      <c r="BY12" s="409"/>
      <c r="BZ12" s="413"/>
      <c r="CA12" s="413"/>
      <c r="CB12" s="413"/>
      <c r="CC12" s="411">
        <f t="shared" ref="CC12:CC43" si="0">+AB12-AD12-AE12-AF12-AG12-AH12-AI12-AJ12-AK12-AL12-AM12-AN12-AO12-AP12-AQ12-AR12-AS12-AT12-AU12-AV12-AW12-AX12-AY12-AZ12-BA12-BB12-BC12-BD12-BE12-BF12</f>
        <v>4.4408920985006262E-16</v>
      </c>
      <c r="CD12" s="414"/>
      <c r="CE12" s="415"/>
      <c r="CF12" s="416" t="s">
        <v>157</v>
      </c>
      <c r="CG12" s="416"/>
    </row>
    <row r="13" spans="1:85" s="417" customFormat="1" ht="15" customHeight="1">
      <c r="A13" s="418" t="s">
        <v>158</v>
      </c>
      <c r="B13" s="397" t="s">
        <v>111</v>
      </c>
      <c r="C13" s="419">
        <v>45170.291666666664</v>
      </c>
      <c r="D13" s="420" t="s">
        <v>112</v>
      </c>
      <c r="E13" s="397" t="s">
        <v>113</v>
      </c>
      <c r="F13" s="420" t="s">
        <v>114</v>
      </c>
      <c r="G13" s="420" t="s">
        <v>115</v>
      </c>
      <c r="H13" s="420" t="s">
        <v>116</v>
      </c>
      <c r="I13" s="420" t="s">
        <v>116</v>
      </c>
      <c r="J13" s="421" t="s">
        <v>116</v>
      </c>
      <c r="K13" s="421" t="b">
        <v>0</v>
      </c>
      <c r="L13" s="421" t="s">
        <v>116</v>
      </c>
      <c r="M13" s="421" t="s">
        <v>116</v>
      </c>
      <c r="N13" s="421" t="s">
        <v>116</v>
      </c>
      <c r="O13" s="421" t="s">
        <v>118</v>
      </c>
      <c r="P13" s="420" t="s">
        <v>159</v>
      </c>
      <c r="Q13" s="420" t="s">
        <v>160</v>
      </c>
      <c r="R13" s="421" t="s">
        <v>116</v>
      </c>
      <c r="S13" s="421" t="s">
        <v>116</v>
      </c>
      <c r="T13" s="421" t="s">
        <v>116</v>
      </c>
      <c r="U13" s="421" t="s">
        <v>116</v>
      </c>
      <c r="V13" s="421" t="s">
        <v>116</v>
      </c>
      <c r="W13" s="421" t="s">
        <v>116</v>
      </c>
      <c r="X13" s="420" t="s">
        <v>161</v>
      </c>
      <c r="Y13" s="399">
        <v>270.17</v>
      </c>
      <c r="Z13" s="420" t="s">
        <v>123</v>
      </c>
      <c r="AA13" s="400">
        <v>1</v>
      </c>
      <c r="AB13" s="401">
        <v>7.46</v>
      </c>
      <c r="AC13" s="402"/>
      <c r="AD13" s="401">
        <v>6.22</v>
      </c>
      <c r="AE13" s="401">
        <v>0</v>
      </c>
      <c r="AF13" s="401">
        <v>0</v>
      </c>
      <c r="AG13" s="401">
        <v>0</v>
      </c>
      <c r="AH13" s="401">
        <v>0</v>
      </c>
      <c r="AI13" s="401">
        <v>0</v>
      </c>
      <c r="AJ13" s="401">
        <v>1.24</v>
      </c>
      <c r="AK13" s="401">
        <v>0</v>
      </c>
      <c r="AL13" s="401">
        <v>0</v>
      </c>
      <c r="AM13" s="401">
        <v>0</v>
      </c>
      <c r="AN13" s="401">
        <v>0</v>
      </c>
      <c r="AO13" s="401">
        <v>0</v>
      </c>
      <c r="AP13" s="401">
        <v>0</v>
      </c>
      <c r="AQ13" s="401">
        <v>0</v>
      </c>
      <c r="AR13" s="401">
        <v>0</v>
      </c>
      <c r="AS13" s="401">
        <v>0</v>
      </c>
      <c r="AT13" s="401">
        <v>0</v>
      </c>
      <c r="AU13" s="401">
        <v>0</v>
      </c>
      <c r="AV13" s="401">
        <v>0</v>
      </c>
      <c r="AW13" s="401">
        <v>0</v>
      </c>
      <c r="AX13" s="401">
        <v>0</v>
      </c>
      <c r="AY13" s="401">
        <v>0</v>
      </c>
      <c r="AZ13" s="401">
        <v>0</v>
      </c>
      <c r="BA13" s="401">
        <v>0</v>
      </c>
      <c r="BB13" s="401">
        <v>0</v>
      </c>
      <c r="BC13" s="401">
        <v>0</v>
      </c>
      <c r="BD13" s="401">
        <v>0</v>
      </c>
      <c r="BE13" s="401">
        <v>0</v>
      </c>
      <c r="BF13" s="401">
        <v>0</v>
      </c>
      <c r="BG13" s="402"/>
      <c r="BH13" s="403" t="s">
        <v>162</v>
      </c>
      <c r="BI13" s="404">
        <v>46004</v>
      </c>
      <c r="BJ13" s="405">
        <v>43.48</v>
      </c>
      <c r="BK13" s="406"/>
      <c r="BL13" s="406"/>
      <c r="BM13" s="407"/>
      <c r="BN13" s="408" t="s">
        <v>124</v>
      </c>
      <c r="BO13" s="409"/>
      <c r="BP13" s="409"/>
      <c r="BQ13" s="409"/>
      <c r="BR13" s="410"/>
      <c r="BS13" s="409"/>
      <c r="BT13" s="409"/>
      <c r="BU13" s="411"/>
      <c r="BV13" s="412"/>
      <c r="BW13" s="413"/>
      <c r="BX13" s="409"/>
      <c r="BY13" s="409"/>
      <c r="BZ13" s="413"/>
      <c r="CA13" s="413"/>
      <c r="CB13" s="413"/>
      <c r="CC13" s="411">
        <f t="shared" si="0"/>
        <v>2.2204460492503131E-16</v>
      </c>
      <c r="CD13" s="414"/>
      <c r="CE13" s="415"/>
      <c r="CF13" s="416" t="s">
        <v>157</v>
      </c>
      <c r="CG13" s="416"/>
    </row>
    <row r="14" spans="1:85" s="417" customFormat="1" ht="15" customHeight="1">
      <c r="A14" s="418" t="s">
        <v>163</v>
      </c>
      <c r="B14" s="397" t="s">
        <v>111</v>
      </c>
      <c r="C14" s="419">
        <v>45809</v>
      </c>
      <c r="D14" s="420" t="s">
        <v>112</v>
      </c>
      <c r="E14" s="397" t="s">
        <v>113</v>
      </c>
      <c r="F14" s="420" t="s">
        <v>114</v>
      </c>
      <c r="G14" s="420" t="s">
        <v>153</v>
      </c>
      <c r="H14" s="420" t="s">
        <v>116</v>
      </c>
      <c r="I14" s="420" t="s">
        <v>116</v>
      </c>
      <c r="J14" s="421" t="s">
        <v>116</v>
      </c>
      <c r="K14" s="421" t="b">
        <v>0</v>
      </c>
      <c r="L14" s="421" t="s">
        <v>116</v>
      </c>
      <c r="M14" s="421" t="s">
        <v>116</v>
      </c>
      <c r="N14" s="421" t="s">
        <v>116</v>
      </c>
      <c r="O14" s="421" t="s">
        <v>118</v>
      </c>
      <c r="P14" s="420" t="s">
        <v>159</v>
      </c>
      <c r="Q14" s="420" t="s">
        <v>160</v>
      </c>
      <c r="R14" s="421" t="s">
        <v>116</v>
      </c>
      <c r="S14" s="421" t="s">
        <v>116</v>
      </c>
      <c r="T14" s="421" t="s">
        <v>116</v>
      </c>
      <c r="U14" s="421" t="s">
        <v>116</v>
      </c>
      <c r="V14" s="421" t="s">
        <v>116</v>
      </c>
      <c r="W14" s="421" t="s">
        <v>116</v>
      </c>
      <c r="X14" s="420" t="s">
        <v>164</v>
      </c>
      <c r="Y14" s="399">
        <v>192.38</v>
      </c>
      <c r="Z14" s="420" t="s">
        <v>116</v>
      </c>
      <c r="AA14" s="400">
        <v>1</v>
      </c>
      <c r="AB14" s="401">
        <v>5.77</v>
      </c>
      <c r="AC14" s="422"/>
      <c r="AD14" s="401">
        <v>3.85</v>
      </c>
      <c r="AE14" s="401">
        <v>0</v>
      </c>
      <c r="AF14" s="401">
        <v>0</v>
      </c>
      <c r="AG14" s="401">
        <v>0</v>
      </c>
      <c r="AH14" s="401">
        <v>0</v>
      </c>
      <c r="AI14" s="401">
        <v>0</v>
      </c>
      <c r="AJ14" s="401">
        <v>1.92</v>
      </c>
      <c r="AK14" s="401">
        <v>0</v>
      </c>
      <c r="AL14" s="401">
        <v>0</v>
      </c>
      <c r="AM14" s="401">
        <v>0</v>
      </c>
      <c r="AN14" s="401">
        <v>0</v>
      </c>
      <c r="AO14" s="401">
        <v>0</v>
      </c>
      <c r="AP14" s="401">
        <v>0</v>
      </c>
      <c r="AQ14" s="401">
        <v>0</v>
      </c>
      <c r="AR14" s="401">
        <v>0</v>
      </c>
      <c r="AS14" s="401">
        <v>0</v>
      </c>
      <c r="AT14" s="401">
        <v>0</v>
      </c>
      <c r="AU14" s="401">
        <v>0</v>
      </c>
      <c r="AV14" s="401">
        <v>0</v>
      </c>
      <c r="AW14" s="401">
        <v>0</v>
      </c>
      <c r="AX14" s="401">
        <v>0</v>
      </c>
      <c r="AY14" s="401">
        <v>0</v>
      </c>
      <c r="AZ14" s="401">
        <v>0</v>
      </c>
      <c r="BA14" s="401">
        <v>0</v>
      </c>
      <c r="BB14" s="401">
        <v>0</v>
      </c>
      <c r="BC14" s="401">
        <v>0</v>
      </c>
      <c r="BD14" s="401">
        <v>0</v>
      </c>
      <c r="BE14" s="401">
        <v>0</v>
      </c>
      <c r="BF14" s="401">
        <v>0</v>
      </c>
      <c r="BG14" s="423"/>
      <c r="BH14" s="424" t="s">
        <v>165</v>
      </c>
      <c r="BI14" s="404">
        <v>46011</v>
      </c>
      <c r="BJ14" s="405">
        <v>33.81</v>
      </c>
      <c r="BK14" s="406"/>
      <c r="BL14" s="406"/>
      <c r="BM14" s="407"/>
      <c r="BN14" s="408" t="s">
        <v>124</v>
      </c>
      <c r="BO14" s="409"/>
      <c r="BP14" s="409"/>
      <c r="BQ14" s="409"/>
      <c r="BR14" s="410"/>
      <c r="BS14" s="409"/>
      <c r="BT14" s="409"/>
      <c r="BU14" s="411"/>
      <c r="BV14" s="412"/>
      <c r="BW14" s="413"/>
      <c r="BX14" s="409"/>
      <c r="BY14" s="409"/>
      <c r="BZ14" s="413"/>
      <c r="CA14" s="413"/>
      <c r="CB14" s="413"/>
      <c r="CC14" s="411">
        <f t="shared" si="0"/>
        <v>-4.4408920985006262E-16</v>
      </c>
      <c r="CD14" s="414"/>
      <c r="CE14" s="415"/>
      <c r="CF14" s="416" t="s">
        <v>166</v>
      </c>
      <c r="CG14" s="416"/>
    </row>
    <row r="15" spans="1:85" s="417" customFormat="1" ht="15" customHeight="1">
      <c r="A15" s="393" t="s">
        <v>167</v>
      </c>
      <c r="B15" s="394" t="s">
        <v>111</v>
      </c>
      <c r="C15" s="395">
        <v>45778</v>
      </c>
      <c r="D15" s="396" t="s">
        <v>168</v>
      </c>
      <c r="E15" s="397" t="s">
        <v>113</v>
      </c>
      <c r="F15" s="397" t="s">
        <v>114</v>
      </c>
      <c r="G15" s="397" t="s">
        <v>130</v>
      </c>
      <c r="H15" s="397" t="s">
        <v>116</v>
      </c>
      <c r="I15" s="397" t="s">
        <v>116</v>
      </c>
      <c r="J15" s="397" t="s">
        <v>116</v>
      </c>
      <c r="K15" s="397" t="b">
        <v>0</v>
      </c>
      <c r="L15" s="397" t="s">
        <v>116</v>
      </c>
      <c r="M15" s="397" t="s">
        <v>116</v>
      </c>
      <c r="N15" s="397" t="s">
        <v>116</v>
      </c>
      <c r="O15" s="397" t="s">
        <v>118</v>
      </c>
      <c r="P15" s="397" t="s">
        <v>159</v>
      </c>
      <c r="Q15" s="397" t="s">
        <v>160</v>
      </c>
      <c r="R15" s="397" t="s">
        <v>116</v>
      </c>
      <c r="S15" s="397" t="s">
        <v>116</v>
      </c>
      <c r="T15" s="397" t="s">
        <v>116</v>
      </c>
      <c r="U15" s="397" t="s">
        <v>116</v>
      </c>
      <c r="V15" s="397" t="s">
        <v>116</v>
      </c>
      <c r="W15" s="397" t="s">
        <v>116</v>
      </c>
      <c r="X15" s="398" t="s">
        <v>169</v>
      </c>
      <c r="Y15" s="399" t="s">
        <v>116</v>
      </c>
      <c r="Z15" s="398" t="s">
        <v>116</v>
      </c>
      <c r="AA15" s="400">
        <v>1</v>
      </c>
      <c r="AB15" s="401">
        <v>30.07</v>
      </c>
      <c r="AC15" s="422"/>
      <c r="AD15" s="401">
        <v>2.61</v>
      </c>
      <c r="AE15" s="401">
        <v>0</v>
      </c>
      <c r="AF15" s="401">
        <v>0</v>
      </c>
      <c r="AG15" s="401">
        <v>0</v>
      </c>
      <c r="AH15" s="401">
        <v>0</v>
      </c>
      <c r="AI15" s="401">
        <v>0</v>
      </c>
      <c r="AJ15" s="401">
        <v>1.31</v>
      </c>
      <c r="AK15" s="401">
        <v>26.15</v>
      </c>
      <c r="AL15" s="401">
        <v>0</v>
      </c>
      <c r="AM15" s="401">
        <v>0</v>
      </c>
      <c r="AN15" s="401">
        <v>0</v>
      </c>
      <c r="AO15" s="401">
        <v>0</v>
      </c>
      <c r="AP15" s="401">
        <v>0</v>
      </c>
      <c r="AQ15" s="401">
        <v>0</v>
      </c>
      <c r="AR15" s="401">
        <v>0</v>
      </c>
      <c r="AS15" s="401">
        <v>0</v>
      </c>
      <c r="AT15" s="401">
        <v>0</v>
      </c>
      <c r="AU15" s="401">
        <v>0</v>
      </c>
      <c r="AV15" s="401">
        <v>0</v>
      </c>
      <c r="AW15" s="401">
        <v>0</v>
      </c>
      <c r="AX15" s="401">
        <v>0</v>
      </c>
      <c r="AY15" s="401">
        <v>0</v>
      </c>
      <c r="AZ15" s="401">
        <v>0</v>
      </c>
      <c r="BA15" s="401">
        <v>0</v>
      </c>
      <c r="BB15" s="401">
        <v>0</v>
      </c>
      <c r="BC15" s="401">
        <v>0</v>
      </c>
      <c r="BD15" s="401">
        <v>0</v>
      </c>
      <c r="BE15" s="401">
        <v>0</v>
      </c>
      <c r="BF15" s="401">
        <v>0</v>
      </c>
      <c r="BG15" s="423"/>
      <c r="BH15" s="424" t="s">
        <v>170</v>
      </c>
      <c r="BI15" s="404">
        <v>45998</v>
      </c>
      <c r="BJ15" s="405">
        <v>233.1</v>
      </c>
      <c r="BK15" s="425"/>
      <c r="BL15" s="406"/>
      <c r="BM15" s="407"/>
      <c r="BN15" s="408" t="s">
        <v>124</v>
      </c>
      <c r="BO15" s="409"/>
      <c r="BP15" s="409"/>
      <c r="BQ15" s="409"/>
      <c r="BR15" s="410"/>
      <c r="BS15" s="409"/>
      <c r="BT15" s="409"/>
      <c r="BU15" s="411"/>
      <c r="BV15" s="412"/>
      <c r="BW15" s="413"/>
      <c r="BX15" s="409"/>
      <c r="BY15" s="409"/>
      <c r="BZ15" s="413"/>
      <c r="CA15" s="413"/>
      <c r="CB15" s="413"/>
      <c r="CC15" s="411">
        <f t="shared" si="0"/>
        <v>3.5527136788005009E-15</v>
      </c>
      <c r="CD15" s="414"/>
      <c r="CE15" s="415"/>
      <c r="CF15" s="416" t="s">
        <v>166</v>
      </c>
      <c r="CG15" s="416"/>
    </row>
    <row r="16" spans="1:85" s="417" customFormat="1" ht="15" customHeight="1">
      <c r="A16" s="393" t="s">
        <v>171</v>
      </c>
      <c r="B16" s="394" t="s">
        <v>111</v>
      </c>
      <c r="C16" s="395">
        <v>45839</v>
      </c>
      <c r="D16" s="396" t="s">
        <v>172</v>
      </c>
      <c r="E16" s="397" t="s">
        <v>113</v>
      </c>
      <c r="F16" s="397" t="s">
        <v>114</v>
      </c>
      <c r="G16" s="397" t="s">
        <v>130</v>
      </c>
      <c r="H16" s="397" t="s">
        <v>116</v>
      </c>
      <c r="I16" s="397" t="s">
        <v>116</v>
      </c>
      <c r="J16" s="397" t="s">
        <v>116</v>
      </c>
      <c r="K16" s="397" t="b">
        <v>0</v>
      </c>
      <c r="L16" s="397" t="s">
        <v>116</v>
      </c>
      <c r="M16" s="397" t="s">
        <v>116</v>
      </c>
      <c r="N16" s="397" t="s">
        <v>116</v>
      </c>
      <c r="O16" s="397" t="s">
        <v>118</v>
      </c>
      <c r="P16" s="397" t="s">
        <v>159</v>
      </c>
      <c r="Q16" s="397" t="s">
        <v>160</v>
      </c>
      <c r="R16" s="397" t="s">
        <v>116</v>
      </c>
      <c r="S16" s="397" t="s">
        <v>116</v>
      </c>
      <c r="T16" s="397" t="s">
        <v>116</v>
      </c>
      <c r="U16" s="397" t="s">
        <v>116</v>
      </c>
      <c r="V16" s="397" t="s">
        <v>116</v>
      </c>
      <c r="W16" s="397" t="s">
        <v>116</v>
      </c>
      <c r="X16" s="398" t="s">
        <v>173</v>
      </c>
      <c r="Y16" s="399">
        <v>119.64</v>
      </c>
      <c r="Z16" s="398" t="s">
        <v>123</v>
      </c>
      <c r="AA16" s="400">
        <v>1</v>
      </c>
      <c r="AB16" s="401">
        <v>5.98</v>
      </c>
      <c r="AC16" s="422"/>
      <c r="AD16" s="401">
        <v>4.78</v>
      </c>
      <c r="AE16" s="401">
        <v>0</v>
      </c>
      <c r="AF16" s="401">
        <v>0</v>
      </c>
      <c r="AG16" s="401">
        <v>0</v>
      </c>
      <c r="AH16" s="401">
        <v>0</v>
      </c>
      <c r="AI16" s="401">
        <v>0</v>
      </c>
      <c r="AJ16" s="401">
        <v>1.2</v>
      </c>
      <c r="AK16" s="401">
        <v>0</v>
      </c>
      <c r="AL16" s="401">
        <v>0</v>
      </c>
      <c r="AM16" s="401">
        <v>0</v>
      </c>
      <c r="AN16" s="401">
        <v>0</v>
      </c>
      <c r="AO16" s="401">
        <v>0</v>
      </c>
      <c r="AP16" s="401">
        <v>0</v>
      </c>
      <c r="AQ16" s="401">
        <v>0</v>
      </c>
      <c r="AR16" s="401">
        <v>0</v>
      </c>
      <c r="AS16" s="401">
        <v>0</v>
      </c>
      <c r="AT16" s="401">
        <v>0</v>
      </c>
      <c r="AU16" s="401">
        <v>0</v>
      </c>
      <c r="AV16" s="401">
        <v>0</v>
      </c>
      <c r="AW16" s="401">
        <v>0</v>
      </c>
      <c r="AX16" s="401">
        <v>0</v>
      </c>
      <c r="AY16" s="401">
        <v>0</v>
      </c>
      <c r="AZ16" s="401">
        <v>0</v>
      </c>
      <c r="BA16" s="401">
        <v>0</v>
      </c>
      <c r="BB16" s="401">
        <v>0</v>
      </c>
      <c r="BC16" s="401">
        <v>0</v>
      </c>
      <c r="BD16" s="401">
        <v>0</v>
      </c>
      <c r="BE16" s="401">
        <v>0</v>
      </c>
      <c r="BF16" s="401">
        <v>0</v>
      </c>
      <c r="BG16" s="423"/>
      <c r="BH16" s="424" t="s">
        <v>174</v>
      </c>
      <c r="BI16" s="404">
        <v>46004</v>
      </c>
      <c r="BJ16" s="405">
        <v>16.600000000000001</v>
      </c>
      <c r="BK16" s="406"/>
      <c r="BL16" s="406"/>
      <c r="BM16" s="407"/>
      <c r="BN16" s="408" t="s">
        <v>124</v>
      </c>
      <c r="BO16" s="409"/>
      <c r="BP16" s="409"/>
      <c r="BQ16" s="409"/>
      <c r="BR16" s="410"/>
      <c r="BS16" s="409"/>
      <c r="BT16" s="409"/>
      <c r="BU16" s="411"/>
      <c r="BV16" s="412"/>
      <c r="BW16" s="413"/>
      <c r="BX16" s="409"/>
      <c r="BY16" s="409"/>
      <c r="BZ16" s="413"/>
      <c r="CA16" s="413"/>
      <c r="CB16" s="413"/>
      <c r="CC16" s="411">
        <f t="shared" si="0"/>
        <v>2.2204460492503131E-16</v>
      </c>
      <c r="CD16" s="414"/>
      <c r="CE16" s="415"/>
      <c r="CF16" s="416" t="s">
        <v>166</v>
      </c>
      <c r="CG16" s="416"/>
    </row>
    <row r="17" spans="1:85" s="417" customFormat="1" ht="15" customHeight="1">
      <c r="A17" s="418" t="s">
        <v>175</v>
      </c>
      <c r="B17" s="397" t="s">
        <v>111</v>
      </c>
      <c r="C17" s="419">
        <v>46023</v>
      </c>
      <c r="D17" s="420" t="s">
        <v>112</v>
      </c>
      <c r="E17" s="397" t="s">
        <v>113</v>
      </c>
      <c r="F17" s="420" t="s">
        <v>114</v>
      </c>
      <c r="G17" s="420" t="s">
        <v>115</v>
      </c>
      <c r="H17" s="420" t="s">
        <v>116</v>
      </c>
      <c r="I17" s="420" t="s">
        <v>116</v>
      </c>
      <c r="J17" s="421" t="s">
        <v>116</v>
      </c>
      <c r="K17" s="421" t="b">
        <v>0</v>
      </c>
      <c r="L17" s="421" t="s">
        <v>116</v>
      </c>
      <c r="M17" s="421" t="s">
        <v>116</v>
      </c>
      <c r="N17" s="421" t="s">
        <v>116</v>
      </c>
      <c r="O17" s="397" t="s">
        <v>118</v>
      </c>
      <c r="P17" s="397" t="s">
        <v>159</v>
      </c>
      <c r="Q17" s="420" t="s">
        <v>160</v>
      </c>
      <c r="R17" s="421" t="s">
        <v>116</v>
      </c>
      <c r="S17" s="421" t="s">
        <v>116</v>
      </c>
      <c r="T17" s="421" t="s">
        <v>116</v>
      </c>
      <c r="U17" s="421" t="s">
        <v>116</v>
      </c>
      <c r="V17" s="421" t="s">
        <v>116</v>
      </c>
      <c r="W17" s="421" t="s">
        <v>116</v>
      </c>
      <c r="X17" s="420" t="s">
        <v>176</v>
      </c>
      <c r="Y17" s="399">
        <v>300.23</v>
      </c>
      <c r="Z17" s="420" t="s">
        <v>123</v>
      </c>
      <c r="AA17" s="400">
        <v>1</v>
      </c>
      <c r="AB17" s="401">
        <v>8.3000000000000007</v>
      </c>
      <c r="AC17" s="422"/>
      <c r="AD17" s="401">
        <v>5.53</v>
      </c>
      <c r="AE17" s="401">
        <v>0</v>
      </c>
      <c r="AF17" s="401">
        <v>0</v>
      </c>
      <c r="AG17" s="401">
        <v>0</v>
      </c>
      <c r="AH17" s="401">
        <v>0</v>
      </c>
      <c r="AI17" s="401">
        <v>0</v>
      </c>
      <c r="AJ17" s="401">
        <v>2.77</v>
      </c>
      <c r="AK17" s="401">
        <v>0</v>
      </c>
      <c r="AL17" s="401">
        <v>0</v>
      </c>
      <c r="AM17" s="401">
        <v>0</v>
      </c>
      <c r="AN17" s="401">
        <v>0</v>
      </c>
      <c r="AO17" s="401">
        <v>0</v>
      </c>
      <c r="AP17" s="401">
        <v>0</v>
      </c>
      <c r="AQ17" s="401">
        <v>0</v>
      </c>
      <c r="AR17" s="401">
        <v>0</v>
      </c>
      <c r="AS17" s="401">
        <v>0</v>
      </c>
      <c r="AT17" s="401">
        <v>0</v>
      </c>
      <c r="AU17" s="401">
        <v>0</v>
      </c>
      <c r="AV17" s="401">
        <v>0</v>
      </c>
      <c r="AW17" s="401">
        <v>0</v>
      </c>
      <c r="AX17" s="401">
        <v>0</v>
      </c>
      <c r="AY17" s="401">
        <v>0</v>
      </c>
      <c r="AZ17" s="401">
        <v>0</v>
      </c>
      <c r="BA17" s="401">
        <v>0</v>
      </c>
      <c r="BB17" s="401">
        <v>0</v>
      </c>
      <c r="BC17" s="401">
        <v>0</v>
      </c>
      <c r="BD17" s="401">
        <v>0</v>
      </c>
      <c r="BE17" s="401">
        <v>0</v>
      </c>
      <c r="BF17" s="401">
        <v>0</v>
      </c>
      <c r="BG17" s="423"/>
      <c r="BH17" s="424" t="s">
        <v>177</v>
      </c>
      <c r="BI17" s="404">
        <v>46011</v>
      </c>
      <c r="BJ17" s="405">
        <v>33.81</v>
      </c>
      <c r="BK17" s="406"/>
      <c r="BL17" s="406"/>
      <c r="BM17" s="407"/>
      <c r="BN17" s="408" t="s">
        <v>124</v>
      </c>
      <c r="BO17" s="409"/>
      <c r="BP17" s="409"/>
      <c r="BQ17" s="409"/>
      <c r="BR17" s="410"/>
      <c r="BS17" s="409"/>
      <c r="BT17" s="409"/>
      <c r="BU17" s="411"/>
      <c r="BV17" s="412"/>
      <c r="BW17" s="413"/>
      <c r="BX17" s="409"/>
      <c r="BY17" s="409"/>
      <c r="BZ17" s="413"/>
      <c r="CA17" s="413"/>
      <c r="CB17" s="413"/>
      <c r="CC17" s="411">
        <f t="shared" si="0"/>
        <v>4.4408920985006262E-16</v>
      </c>
      <c r="CD17" s="414"/>
      <c r="CE17" s="415"/>
      <c r="CF17" s="416" t="s">
        <v>166</v>
      </c>
      <c r="CG17" s="416"/>
    </row>
    <row r="18" spans="1:85" s="417" customFormat="1" ht="15" customHeight="1">
      <c r="A18" s="393" t="s">
        <v>178</v>
      </c>
      <c r="B18" s="394" t="s">
        <v>111</v>
      </c>
      <c r="C18" s="395">
        <v>46023</v>
      </c>
      <c r="D18" s="396" t="s">
        <v>179</v>
      </c>
      <c r="E18" s="397" t="s">
        <v>113</v>
      </c>
      <c r="F18" s="397" t="s">
        <v>114</v>
      </c>
      <c r="G18" s="397" t="s">
        <v>130</v>
      </c>
      <c r="H18" s="397" t="s">
        <v>116</v>
      </c>
      <c r="I18" s="397" t="s">
        <v>116</v>
      </c>
      <c r="J18" s="397" t="s">
        <v>116</v>
      </c>
      <c r="K18" s="397" t="b">
        <v>0</v>
      </c>
      <c r="L18" s="397" t="s">
        <v>116</v>
      </c>
      <c r="M18" s="397" t="s">
        <v>116</v>
      </c>
      <c r="N18" s="397" t="s">
        <v>116</v>
      </c>
      <c r="O18" s="397" t="s">
        <v>118</v>
      </c>
      <c r="P18" s="397" t="s">
        <v>180</v>
      </c>
      <c r="Q18" s="397" t="s">
        <v>181</v>
      </c>
      <c r="R18" s="397" t="s">
        <v>116</v>
      </c>
      <c r="S18" s="397" t="s">
        <v>116</v>
      </c>
      <c r="T18" s="397" t="s">
        <v>116</v>
      </c>
      <c r="U18" s="397" t="s">
        <v>116</v>
      </c>
      <c r="V18" s="397" t="s">
        <v>116</v>
      </c>
      <c r="W18" s="397" t="s">
        <v>116</v>
      </c>
      <c r="X18" s="398" t="s">
        <v>182</v>
      </c>
      <c r="Y18" s="399">
        <v>149.69</v>
      </c>
      <c r="Z18" s="398" t="s">
        <v>123</v>
      </c>
      <c r="AA18" s="400">
        <v>1</v>
      </c>
      <c r="AB18" s="401">
        <v>4.49</v>
      </c>
      <c r="AC18" s="422"/>
      <c r="AD18" s="401">
        <v>2.99</v>
      </c>
      <c r="AE18" s="401">
        <v>0</v>
      </c>
      <c r="AF18" s="401">
        <v>0</v>
      </c>
      <c r="AG18" s="401">
        <v>0</v>
      </c>
      <c r="AH18" s="401">
        <v>0</v>
      </c>
      <c r="AI18" s="401">
        <v>0</v>
      </c>
      <c r="AJ18" s="401">
        <v>1.5</v>
      </c>
      <c r="AK18" s="401">
        <v>0</v>
      </c>
      <c r="AL18" s="401">
        <v>0</v>
      </c>
      <c r="AM18" s="401">
        <v>0</v>
      </c>
      <c r="AN18" s="401">
        <v>0</v>
      </c>
      <c r="AO18" s="401">
        <v>0</v>
      </c>
      <c r="AP18" s="401">
        <v>0</v>
      </c>
      <c r="AQ18" s="401">
        <v>0</v>
      </c>
      <c r="AR18" s="401">
        <v>0</v>
      </c>
      <c r="AS18" s="401">
        <v>0</v>
      </c>
      <c r="AT18" s="401">
        <v>0</v>
      </c>
      <c r="AU18" s="401">
        <v>0</v>
      </c>
      <c r="AV18" s="401">
        <v>0</v>
      </c>
      <c r="AW18" s="401">
        <v>0</v>
      </c>
      <c r="AX18" s="401">
        <v>0</v>
      </c>
      <c r="AY18" s="401">
        <v>0</v>
      </c>
      <c r="AZ18" s="401">
        <v>0</v>
      </c>
      <c r="BA18" s="401">
        <v>0</v>
      </c>
      <c r="BB18" s="401">
        <v>0</v>
      </c>
      <c r="BC18" s="401">
        <v>0</v>
      </c>
      <c r="BD18" s="401">
        <v>0</v>
      </c>
      <c r="BE18" s="401">
        <v>0</v>
      </c>
      <c r="BF18" s="401">
        <v>0</v>
      </c>
      <c r="BG18" s="423"/>
      <c r="BH18" s="424" t="s">
        <v>177</v>
      </c>
      <c r="BI18" s="404">
        <v>46011</v>
      </c>
      <c r="BJ18" s="405">
        <v>504.9</v>
      </c>
      <c r="BK18" s="425"/>
      <c r="BL18" s="406"/>
      <c r="BM18" s="407"/>
      <c r="BN18" s="408" t="s">
        <v>124</v>
      </c>
      <c r="BO18" s="409"/>
      <c r="BP18" s="409"/>
      <c r="BQ18" s="409"/>
      <c r="BR18" s="410"/>
      <c r="BS18" s="409"/>
      <c r="BT18" s="409"/>
      <c r="BU18" s="411"/>
      <c r="BV18" s="412"/>
      <c r="BW18" s="413"/>
      <c r="BX18" s="409"/>
      <c r="BY18" s="409"/>
      <c r="BZ18" s="413"/>
      <c r="CA18" s="413"/>
      <c r="CB18" s="413"/>
      <c r="CC18" s="411">
        <f t="shared" si="0"/>
        <v>0</v>
      </c>
      <c r="CD18" s="414"/>
      <c r="CE18" s="415"/>
      <c r="CF18" s="416" t="s">
        <v>166</v>
      </c>
      <c r="CG18" s="416"/>
    </row>
    <row r="19" spans="1:85" s="417" customFormat="1" ht="15" customHeight="1">
      <c r="A19" s="393" t="s">
        <v>183</v>
      </c>
      <c r="B19" s="394" t="s">
        <v>111</v>
      </c>
      <c r="C19" s="395">
        <v>45809</v>
      </c>
      <c r="D19" s="396" t="s">
        <v>179</v>
      </c>
      <c r="E19" s="397" t="s">
        <v>113</v>
      </c>
      <c r="F19" s="397" t="s">
        <v>114</v>
      </c>
      <c r="G19" s="397" t="s">
        <v>153</v>
      </c>
      <c r="H19" s="397" t="s">
        <v>116</v>
      </c>
      <c r="I19" s="397" t="s">
        <v>116</v>
      </c>
      <c r="J19" s="397" t="s">
        <v>116</v>
      </c>
      <c r="K19" s="397" t="b">
        <v>0</v>
      </c>
      <c r="L19" s="397" t="s">
        <v>116</v>
      </c>
      <c r="M19" s="397" t="s">
        <v>116</v>
      </c>
      <c r="N19" s="397" t="s">
        <v>116</v>
      </c>
      <c r="O19" s="397" t="s">
        <v>118</v>
      </c>
      <c r="P19" s="397" t="s">
        <v>180</v>
      </c>
      <c r="Q19" s="397" t="s">
        <v>181</v>
      </c>
      <c r="R19" s="397" t="s">
        <v>116</v>
      </c>
      <c r="S19" s="397" t="s">
        <v>116</v>
      </c>
      <c r="T19" s="397" t="s">
        <v>116</v>
      </c>
      <c r="U19" s="397" t="s">
        <v>116</v>
      </c>
      <c r="V19" s="397" t="s">
        <v>116</v>
      </c>
      <c r="W19" s="397" t="s">
        <v>116</v>
      </c>
      <c r="X19" s="398" t="s">
        <v>184</v>
      </c>
      <c r="Y19" s="399">
        <v>99.7</v>
      </c>
      <c r="Z19" s="398" t="s">
        <v>123</v>
      </c>
      <c r="AA19" s="400">
        <v>1</v>
      </c>
      <c r="AB19" s="401">
        <v>2.99</v>
      </c>
      <c r="AC19" s="422"/>
      <c r="AD19" s="401">
        <v>1.99</v>
      </c>
      <c r="AE19" s="401">
        <v>0</v>
      </c>
      <c r="AF19" s="401">
        <v>0</v>
      </c>
      <c r="AG19" s="401">
        <v>0</v>
      </c>
      <c r="AH19" s="401">
        <v>0</v>
      </c>
      <c r="AI19" s="401">
        <v>0</v>
      </c>
      <c r="AJ19" s="401">
        <v>1</v>
      </c>
      <c r="AK19" s="401">
        <v>0</v>
      </c>
      <c r="AL19" s="401">
        <v>0</v>
      </c>
      <c r="AM19" s="401">
        <v>0</v>
      </c>
      <c r="AN19" s="401">
        <v>0</v>
      </c>
      <c r="AO19" s="401">
        <v>0</v>
      </c>
      <c r="AP19" s="401">
        <v>0</v>
      </c>
      <c r="AQ19" s="401">
        <v>0</v>
      </c>
      <c r="AR19" s="401">
        <v>0</v>
      </c>
      <c r="AS19" s="401">
        <v>0</v>
      </c>
      <c r="AT19" s="401">
        <v>0</v>
      </c>
      <c r="AU19" s="401">
        <v>0</v>
      </c>
      <c r="AV19" s="401">
        <v>0</v>
      </c>
      <c r="AW19" s="401">
        <v>0</v>
      </c>
      <c r="AX19" s="401">
        <v>0</v>
      </c>
      <c r="AY19" s="401">
        <v>0</v>
      </c>
      <c r="AZ19" s="401">
        <v>0</v>
      </c>
      <c r="BA19" s="401">
        <v>0</v>
      </c>
      <c r="BB19" s="401">
        <v>0</v>
      </c>
      <c r="BC19" s="401">
        <v>0</v>
      </c>
      <c r="BD19" s="401">
        <v>0</v>
      </c>
      <c r="BE19" s="401">
        <v>0</v>
      </c>
      <c r="BF19" s="401">
        <v>0</v>
      </c>
      <c r="BG19" s="423"/>
      <c r="BH19" s="424" t="s">
        <v>165</v>
      </c>
      <c r="BI19" s="404">
        <v>46011</v>
      </c>
      <c r="BJ19" s="405">
        <v>504.9</v>
      </c>
      <c r="BK19" s="425"/>
      <c r="BL19" s="406"/>
      <c r="BM19" s="407"/>
      <c r="BN19" s="408" t="s">
        <v>124</v>
      </c>
      <c r="BO19" s="409"/>
      <c r="BP19" s="409"/>
      <c r="BQ19" s="409"/>
      <c r="BR19" s="410"/>
      <c r="BS19" s="409"/>
      <c r="BT19" s="409"/>
      <c r="BU19" s="411"/>
      <c r="BV19" s="412"/>
      <c r="BW19" s="413"/>
      <c r="BX19" s="409"/>
      <c r="BY19" s="409"/>
      <c r="BZ19" s="413"/>
      <c r="CA19" s="413"/>
      <c r="CB19" s="413"/>
      <c r="CC19" s="411">
        <f t="shared" si="0"/>
        <v>2.2204460492503131E-16</v>
      </c>
      <c r="CD19" s="414"/>
      <c r="CE19" s="415"/>
      <c r="CF19" s="416" t="s">
        <v>166</v>
      </c>
      <c r="CG19" s="416"/>
    </row>
    <row r="20" spans="1:85" s="417" customFormat="1" ht="15" customHeight="1">
      <c r="A20" s="393" t="s">
        <v>185</v>
      </c>
      <c r="B20" s="394" t="s">
        <v>111</v>
      </c>
      <c r="C20" s="395">
        <v>46023</v>
      </c>
      <c r="D20" s="396" t="s">
        <v>179</v>
      </c>
      <c r="E20" s="397" t="s">
        <v>113</v>
      </c>
      <c r="F20" s="397" t="s">
        <v>114</v>
      </c>
      <c r="G20" s="397" t="s">
        <v>130</v>
      </c>
      <c r="H20" s="397" t="s">
        <v>116</v>
      </c>
      <c r="I20" s="397" t="s">
        <v>116</v>
      </c>
      <c r="J20" s="397" t="s">
        <v>116</v>
      </c>
      <c r="K20" s="397" t="b">
        <v>0</v>
      </c>
      <c r="L20" s="397" t="s">
        <v>116</v>
      </c>
      <c r="M20" s="397" t="s">
        <v>116</v>
      </c>
      <c r="N20" s="397" t="s">
        <v>116</v>
      </c>
      <c r="O20" s="397" t="s">
        <v>118</v>
      </c>
      <c r="P20" s="397" t="s">
        <v>180</v>
      </c>
      <c r="Q20" s="397" t="s">
        <v>181</v>
      </c>
      <c r="R20" s="397" t="s">
        <v>116</v>
      </c>
      <c r="S20" s="397" t="s">
        <v>116</v>
      </c>
      <c r="T20" s="397" t="s">
        <v>116</v>
      </c>
      <c r="U20" s="397" t="s">
        <v>116</v>
      </c>
      <c r="V20" s="397" t="s">
        <v>116</v>
      </c>
      <c r="W20" s="397" t="s">
        <v>116</v>
      </c>
      <c r="X20" s="398" t="s">
        <v>186</v>
      </c>
      <c r="Y20" s="399">
        <v>201.49</v>
      </c>
      <c r="Z20" s="398" t="s">
        <v>123</v>
      </c>
      <c r="AA20" s="400">
        <v>1</v>
      </c>
      <c r="AB20" s="401">
        <v>6.04</v>
      </c>
      <c r="AC20" s="422"/>
      <c r="AD20" s="401">
        <v>4.03</v>
      </c>
      <c r="AE20" s="401">
        <v>0</v>
      </c>
      <c r="AF20" s="401">
        <v>0</v>
      </c>
      <c r="AG20" s="401">
        <v>0</v>
      </c>
      <c r="AH20" s="401">
        <v>0</v>
      </c>
      <c r="AI20" s="401">
        <v>0</v>
      </c>
      <c r="AJ20" s="401">
        <v>2.0099999999999998</v>
      </c>
      <c r="AK20" s="401">
        <v>0</v>
      </c>
      <c r="AL20" s="401">
        <v>0</v>
      </c>
      <c r="AM20" s="401">
        <v>0</v>
      </c>
      <c r="AN20" s="401">
        <v>0</v>
      </c>
      <c r="AO20" s="401">
        <v>0</v>
      </c>
      <c r="AP20" s="401">
        <v>0</v>
      </c>
      <c r="AQ20" s="401">
        <v>0</v>
      </c>
      <c r="AR20" s="401">
        <v>0</v>
      </c>
      <c r="AS20" s="401">
        <v>0</v>
      </c>
      <c r="AT20" s="401">
        <v>0</v>
      </c>
      <c r="AU20" s="401">
        <v>0</v>
      </c>
      <c r="AV20" s="401">
        <v>0</v>
      </c>
      <c r="AW20" s="401">
        <v>0</v>
      </c>
      <c r="AX20" s="401">
        <v>0</v>
      </c>
      <c r="AY20" s="401">
        <v>0</v>
      </c>
      <c r="AZ20" s="401">
        <v>0</v>
      </c>
      <c r="BA20" s="401">
        <v>0</v>
      </c>
      <c r="BB20" s="401">
        <v>0</v>
      </c>
      <c r="BC20" s="401">
        <v>0</v>
      </c>
      <c r="BD20" s="401">
        <v>0</v>
      </c>
      <c r="BE20" s="401">
        <v>0</v>
      </c>
      <c r="BF20" s="401">
        <v>0</v>
      </c>
      <c r="BG20" s="423"/>
      <c r="BH20" s="424" t="s">
        <v>177</v>
      </c>
      <c r="BI20" s="404">
        <v>46011</v>
      </c>
      <c r="BJ20" s="405">
        <v>504.9</v>
      </c>
      <c r="BK20" s="425"/>
      <c r="BL20" s="406"/>
      <c r="BM20" s="407"/>
      <c r="BN20" s="408" t="s">
        <v>124</v>
      </c>
      <c r="BO20" s="409"/>
      <c r="BP20" s="409"/>
      <c r="BQ20" s="409"/>
      <c r="BR20" s="410"/>
      <c r="BS20" s="409"/>
      <c r="BT20" s="409"/>
      <c r="BU20" s="411"/>
      <c r="BV20" s="412"/>
      <c r="BW20" s="413"/>
      <c r="BX20" s="409"/>
      <c r="BY20" s="409"/>
      <c r="BZ20" s="413"/>
      <c r="CA20" s="413"/>
      <c r="CB20" s="413"/>
      <c r="CC20" s="411">
        <f t="shared" si="0"/>
        <v>0</v>
      </c>
      <c r="CD20" s="414"/>
      <c r="CE20" s="415"/>
      <c r="CF20" s="416" t="s">
        <v>166</v>
      </c>
      <c r="CG20" s="416"/>
    </row>
    <row r="21" spans="1:85" s="417" customFormat="1" ht="15" customHeight="1">
      <c r="A21" s="393" t="s">
        <v>187</v>
      </c>
      <c r="B21" s="394" t="s">
        <v>111</v>
      </c>
      <c r="C21" s="395">
        <v>45931</v>
      </c>
      <c r="D21" s="396" t="s">
        <v>179</v>
      </c>
      <c r="E21" s="397" t="s">
        <v>113</v>
      </c>
      <c r="F21" s="397" t="s">
        <v>114</v>
      </c>
      <c r="G21" s="397"/>
      <c r="H21" s="397"/>
      <c r="I21" s="397"/>
      <c r="J21" s="397"/>
      <c r="K21" s="397"/>
      <c r="L21" s="397"/>
      <c r="M21" s="397"/>
      <c r="N21" s="397"/>
      <c r="O21" s="397" t="s">
        <v>118</v>
      </c>
      <c r="P21" s="397" t="s">
        <v>180</v>
      </c>
      <c r="Q21" s="397" t="s">
        <v>181</v>
      </c>
      <c r="R21" s="397"/>
      <c r="S21" s="397"/>
      <c r="T21" s="397"/>
      <c r="U21" s="397"/>
      <c r="V21" s="397"/>
      <c r="W21" s="397"/>
      <c r="X21" s="398" t="s">
        <v>188</v>
      </c>
      <c r="Y21" s="399"/>
      <c r="Z21" s="398"/>
      <c r="AA21" s="400">
        <v>1</v>
      </c>
      <c r="AB21" s="401">
        <v>4.4000000000000004</v>
      </c>
      <c r="AC21" s="422"/>
      <c r="AD21" s="401">
        <v>2.93</v>
      </c>
      <c r="AE21" s="401">
        <v>0</v>
      </c>
      <c r="AF21" s="401">
        <v>0</v>
      </c>
      <c r="AG21" s="401">
        <v>0</v>
      </c>
      <c r="AH21" s="401">
        <v>0</v>
      </c>
      <c r="AI21" s="401">
        <v>0</v>
      </c>
      <c r="AJ21" s="401">
        <v>1.47</v>
      </c>
      <c r="AK21" s="401">
        <v>0</v>
      </c>
      <c r="AL21" s="401">
        <v>0</v>
      </c>
      <c r="AM21" s="401">
        <v>0</v>
      </c>
      <c r="AN21" s="401">
        <v>0</v>
      </c>
      <c r="AO21" s="401">
        <v>0</v>
      </c>
      <c r="AP21" s="401">
        <v>0</v>
      </c>
      <c r="AQ21" s="401">
        <v>0</v>
      </c>
      <c r="AR21" s="401">
        <v>0</v>
      </c>
      <c r="AS21" s="401">
        <v>0</v>
      </c>
      <c r="AT21" s="401">
        <v>0</v>
      </c>
      <c r="AU21" s="401">
        <v>0</v>
      </c>
      <c r="AV21" s="401">
        <v>0</v>
      </c>
      <c r="AW21" s="401">
        <v>0</v>
      </c>
      <c r="AX21" s="401">
        <v>0</v>
      </c>
      <c r="AY21" s="401">
        <v>0</v>
      </c>
      <c r="AZ21" s="401">
        <v>0</v>
      </c>
      <c r="BA21" s="401">
        <v>0</v>
      </c>
      <c r="BB21" s="401">
        <v>0</v>
      </c>
      <c r="BC21" s="401">
        <v>0</v>
      </c>
      <c r="BD21" s="401">
        <v>0</v>
      </c>
      <c r="BE21" s="401">
        <v>0</v>
      </c>
      <c r="BF21" s="401">
        <v>0</v>
      </c>
      <c r="BG21" s="423"/>
      <c r="BH21" s="424" t="s">
        <v>189</v>
      </c>
      <c r="BI21" s="404">
        <v>45998</v>
      </c>
      <c r="BJ21" s="405">
        <v>233.1</v>
      </c>
      <c r="BK21" s="425"/>
      <c r="BL21" s="406"/>
      <c r="BM21" s="407"/>
      <c r="BN21" s="408" t="s">
        <v>124</v>
      </c>
      <c r="BO21" s="409"/>
      <c r="BP21" s="409"/>
      <c r="BQ21" s="409"/>
      <c r="BR21" s="410"/>
      <c r="BS21" s="409"/>
      <c r="BT21" s="409"/>
      <c r="BU21" s="411"/>
      <c r="BV21" s="412"/>
      <c r="BW21" s="413"/>
      <c r="BX21" s="409"/>
      <c r="BY21" s="409"/>
      <c r="BZ21" s="413"/>
      <c r="CA21" s="413"/>
      <c r="CB21" s="413"/>
      <c r="CC21" s="411">
        <f t="shared" si="0"/>
        <v>2.2204460492503131E-16</v>
      </c>
      <c r="CD21" s="414"/>
      <c r="CE21" s="415"/>
      <c r="CF21" s="416" t="s">
        <v>166</v>
      </c>
      <c r="CG21" s="416"/>
    </row>
    <row r="22" spans="1:85" s="417" customFormat="1" ht="15" customHeight="1">
      <c r="A22" s="393" t="s">
        <v>190</v>
      </c>
      <c r="B22" s="394" t="s">
        <v>111</v>
      </c>
      <c r="C22" s="395">
        <v>45931</v>
      </c>
      <c r="D22" s="396" t="s">
        <v>179</v>
      </c>
      <c r="E22" s="397" t="s">
        <v>113</v>
      </c>
      <c r="F22" s="397" t="s">
        <v>114</v>
      </c>
      <c r="G22" s="397"/>
      <c r="H22" s="397"/>
      <c r="I22" s="397"/>
      <c r="J22" s="397"/>
      <c r="K22" s="397"/>
      <c r="L22" s="397"/>
      <c r="M22" s="397"/>
      <c r="N22" s="397"/>
      <c r="O22" s="397" t="s">
        <v>118</v>
      </c>
      <c r="P22" s="397" t="s">
        <v>180</v>
      </c>
      <c r="Q22" s="397" t="s">
        <v>181</v>
      </c>
      <c r="R22" s="397"/>
      <c r="S22" s="397"/>
      <c r="T22" s="397"/>
      <c r="U22" s="397"/>
      <c r="V22" s="397"/>
      <c r="W22" s="397"/>
      <c r="X22" s="398" t="s">
        <v>191</v>
      </c>
      <c r="Y22" s="399"/>
      <c r="Z22" s="398"/>
      <c r="AA22" s="400">
        <v>1</v>
      </c>
      <c r="AB22" s="401">
        <v>5.0599999999999996</v>
      </c>
      <c r="AC22" s="422"/>
      <c r="AD22" s="401">
        <v>3.37</v>
      </c>
      <c r="AE22" s="401">
        <v>0</v>
      </c>
      <c r="AF22" s="401">
        <v>0</v>
      </c>
      <c r="AG22" s="401">
        <v>0</v>
      </c>
      <c r="AH22" s="401">
        <v>0</v>
      </c>
      <c r="AI22" s="401">
        <v>0</v>
      </c>
      <c r="AJ22" s="401">
        <v>1.69</v>
      </c>
      <c r="AK22" s="401">
        <v>0</v>
      </c>
      <c r="AL22" s="401">
        <v>0</v>
      </c>
      <c r="AM22" s="401">
        <v>0</v>
      </c>
      <c r="AN22" s="401">
        <v>0</v>
      </c>
      <c r="AO22" s="401">
        <v>0</v>
      </c>
      <c r="AP22" s="401">
        <v>0</v>
      </c>
      <c r="AQ22" s="401">
        <v>0</v>
      </c>
      <c r="AR22" s="401">
        <v>0</v>
      </c>
      <c r="AS22" s="401">
        <v>0</v>
      </c>
      <c r="AT22" s="401">
        <v>0</v>
      </c>
      <c r="AU22" s="401">
        <v>0</v>
      </c>
      <c r="AV22" s="401">
        <v>0</v>
      </c>
      <c r="AW22" s="401">
        <v>0</v>
      </c>
      <c r="AX22" s="401">
        <v>0</v>
      </c>
      <c r="AY22" s="401">
        <v>0</v>
      </c>
      <c r="AZ22" s="401">
        <v>0</v>
      </c>
      <c r="BA22" s="401">
        <v>0</v>
      </c>
      <c r="BB22" s="401">
        <v>0</v>
      </c>
      <c r="BC22" s="401">
        <v>0</v>
      </c>
      <c r="BD22" s="401">
        <v>0</v>
      </c>
      <c r="BE22" s="401">
        <v>0</v>
      </c>
      <c r="BF22" s="401">
        <v>0</v>
      </c>
      <c r="BG22" s="423"/>
      <c r="BH22" s="424" t="s">
        <v>189</v>
      </c>
      <c r="BI22" s="404">
        <v>45998</v>
      </c>
      <c r="BJ22" s="405">
        <v>233.1</v>
      </c>
      <c r="BK22" s="425"/>
      <c r="BL22" s="406"/>
      <c r="BM22" s="407"/>
      <c r="BN22" s="408" t="s">
        <v>124</v>
      </c>
      <c r="BO22" s="409"/>
      <c r="BP22" s="409"/>
      <c r="BQ22" s="409"/>
      <c r="BR22" s="410"/>
      <c r="BS22" s="409"/>
      <c r="BT22" s="409"/>
      <c r="BU22" s="411"/>
      <c r="BV22" s="412"/>
      <c r="BW22" s="413"/>
      <c r="BX22" s="409"/>
      <c r="BY22" s="409"/>
      <c r="BZ22" s="413"/>
      <c r="CA22" s="413"/>
      <c r="CB22" s="413"/>
      <c r="CC22" s="411">
        <f t="shared" si="0"/>
        <v>-4.4408920985006262E-16</v>
      </c>
      <c r="CD22" s="414"/>
      <c r="CE22" s="415"/>
      <c r="CF22" s="416" t="s">
        <v>166</v>
      </c>
      <c r="CG22" s="416"/>
    </row>
    <row r="23" spans="1:85" s="417" customFormat="1" ht="15" customHeight="1">
      <c r="A23" s="393" t="s">
        <v>192</v>
      </c>
      <c r="B23" s="394" t="s">
        <v>111</v>
      </c>
      <c r="C23" s="395">
        <v>45597</v>
      </c>
      <c r="D23" s="396" t="s">
        <v>179</v>
      </c>
      <c r="E23" s="397" t="s">
        <v>113</v>
      </c>
      <c r="F23" s="397" t="s">
        <v>114</v>
      </c>
      <c r="G23" s="397" t="s">
        <v>153</v>
      </c>
      <c r="H23" s="397" t="s">
        <v>116</v>
      </c>
      <c r="I23" s="397" t="s">
        <v>116</v>
      </c>
      <c r="J23" s="397" t="s">
        <v>116</v>
      </c>
      <c r="K23" s="397" t="b">
        <v>0</v>
      </c>
      <c r="L23" s="397" t="s">
        <v>116</v>
      </c>
      <c r="M23" s="397" t="s">
        <v>116</v>
      </c>
      <c r="N23" s="397" t="s">
        <v>116</v>
      </c>
      <c r="O23" s="397" t="s">
        <v>118</v>
      </c>
      <c r="P23" s="397" t="s">
        <v>180</v>
      </c>
      <c r="Q23" s="397" t="s">
        <v>181</v>
      </c>
      <c r="R23" s="397" t="s">
        <v>116</v>
      </c>
      <c r="S23" s="397" t="s">
        <v>116</v>
      </c>
      <c r="T23" s="397" t="s">
        <v>116</v>
      </c>
      <c r="U23" s="397" t="s">
        <v>116</v>
      </c>
      <c r="V23" s="397" t="s">
        <v>116</v>
      </c>
      <c r="W23" s="397" t="s">
        <v>116</v>
      </c>
      <c r="X23" s="398" t="s">
        <v>193</v>
      </c>
      <c r="Y23" s="399" t="s">
        <v>116</v>
      </c>
      <c r="Z23" s="398" t="s">
        <v>116</v>
      </c>
      <c r="AA23" s="400">
        <v>1</v>
      </c>
      <c r="AB23" s="401">
        <v>3.3</v>
      </c>
      <c r="AC23" s="422"/>
      <c r="AD23" s="401">
        <v>2.75</v>
      </c>
      <c r="AE23" s="401">
        <v>0</v>
      </c>
      <c r="AF23" s="401">
        <v>0</v>
      </c>
      <c r="AG23" s="401">
        <v>0</v>
      </c>
      <c r="AH23" s="401">
        <v>0</v>
      </c>
      <c r="AI23" s="401">
        <v>0</v>
      </c>
      <c r="AJ23" s="401">
        <v>0.55000000000000004</v>
      </c>
      <c r="AK23" s="401">
        <v>0</v>
      </c>
      <c r="AL23" s="401">
        <v>0</v>
      </c>
      <c r="AM23" s="401">
        <v>0</v>
      </c>
      <c r="AN23" s="401">
        <v>0</v>
      </c>
      <c r="AO23" s="401">
        <v>0</v>
      </c>
      <c r="AP23" s="401">
        <v>0</v>
      </c>
      <c r="AQ23" s="401">
        <v>0</v>
      </c>
      <c r="AR23" s="401">
        <v>0</v>
      </c>
      <c r="AS23" s="401">
        <v>0</v>
      </c>
      <c r="AT23" s="401">
        <v>0</v>
      </c>
      <c r="AU23" s="401">
        <v>0</v>
      </c>
      <c r="AV23" s="401">
        <v>0</v>
      </c>
      <c r="AW23" s="401">
        <v>0</v>
      </c>
      <c r="AX23" s="401">
        <v>0</v>
      </c>
      <c r="AY23" s="401">
        <v>0</v>
      </c>
      <c r="AZ23" s="401">
        <v>0</v>
      </c>
      <c r="BA23" s="401">
        <v>0</v>
      </c>
      <c r="BB23" s="401">
        <v>0</v>
      </c>
      <c r="BC23" s="401">
        <v>0</v>
      </c>
      <c r="BD23" s="401">
        <v>0</v>
      </c>
      <c r="BE23" s="401">
        <v>0</v>
      </c>
      <c r="BF23" s="401">
        <v>0</v>
      </c>
      <c r="BG23" s="423"/>
      <c r="BH23" s="424" t="s">
        <v>194</v>
      </c>
      <c r="BI23" s="404">
        <v>45998</v>
      </c>
      <c r="BJ23" s="405">
        <v>233.1</v>
      </c>
      <c r="BK23" s="425"/>
      <c r="BL23" s="406"/>
      <c r="BM23" s="407"/>
      <c r="BN23" s="408" t="s">
        <v>124</v>
      </c>
      <c r="BO23" s="409"/>
      <c r="BP23" s="409"/>
      <c r="BQ23" s="409"/>
      <c r="BR23" s="410"/>
      <c r="BS23" s="409"/>
      <c r="BT23" s="409"/>
      <c r="BU23" s="411"/>
      <c r="BV23" s="412"/>
      <c r="BW23" s="413"/>
      <c r="BX23" s="409"/>
      <c r="BY23" s="409"/>
      <c r="BZ23" s="413"/>
      <c r="CA23" s="413"/>
      <c r="CB23" s="413"/>
      <c r="CC23" s="411">
        <f t="shared" si="0"/>
        <v>-2.2204460492503131E-16</v>
      </c>
      <c r="CD23" s="414"/>
      <c r="CE23" s="415"/>
      <c r="CF23" s="416" t="s">
        <v>166</v>
      </c>
      <c r="CG23" s="416"/>
    </row>
    <row r="24" spans="1:85" s="417" customFormat="1" ht="15" customHeight="1">
      <c r="A24" s="393" t="s">
        <v>195</v>
      </c>
      <c r="B24" s="394" t="s">
        <v>111</v>
      </c>
      <c r="C24" s="395">
        <v>45901</v>
      </c>
      <c r="D24" s="396" t="s">
        <v>179</v>
      </c>
      <c r="E24" s="397" t="s">
        <v>113</v>
      </c>
      <c r="F24" s="397" t="s">
        <v>114</v>
      </c>
      <c r="G24" s="397" t="s">
        <v>130</v>
      </c>
      <c r="H24" s="397" t="s">
        <v>116</v>
      </c>
      <c r="I24" s="397" t="s">
        <v>116</v>
      </c>
      <c r="J24" s="397" t="s">
        <v>116</v>
      </c>
      <c r="K24" s="397" t="b">
        <v>0</v>
      </c>
      <c r="L24" s="397" t="s">
        <v>116</v>
      </c>
      <c r="M24" s="397" t="s">
        <v>116</v>
      </c>
      <c r="N24" s="397" t="s">
        <v>116</v>
      </c>
      <c r="O24" s="397" t="s">
        <v>118</v>
      </c>
      <c r="P24" s="397" t="s">
        <v>180</v>
      </c>
      <c r="Q24" s="397" t="s">
        <v>181</v>
      </c>
      <c r="R24" s="397" t="s">
        <v>116</v>
      </c>
      <c r="S24" s="397" t="s">
        <v>116</v>
      </c>
      <c r="T24" s="397" t="s">
        <v>116</v>
      </c>
      <c r="U24" s="397" t="s">
        <v>116</v>
      </c>
      <c r="V24" s="397" t="s">
        <v>116</v>
      </c>
      <c r="W24" s="397" t="s">
        <v>116</v>
      </c>
      <c r="X24" s="398" t="s">
        <v>196</v>
      </c>
      <c r="Y24" s="399">
        <v>146.76</v>
      </c>
      <c r="Z24" s="398" t="s">
        <v>123</v>
      </c>
      <c r="AA24" s="400">
        <v>1</v>
      </c>
      <c r="AB24" s="401">
        <v>4.4000000000000004</v>
      </c>
      <c r="AC24" s="422"/>
      <c r="AD24" s="401">
        <v>2.93</v>
      </c>
      <c r="AE24" s="401">
        <v>0</v>
      </c>
      <c r="AF24" s="401">
        <v>0</v>
      </c>
      <c r="AG24" s="401">
        <v>0</v>
      </c>
      <c r="AH24" s="401">
        <v>0</v>
      </c>
      <c r="AI24" s="401">
        <v>0</v>
      </c>
      <c r="AJ24" s="401">
        <v>1.47</v>
      </c>
      <c r="AK24" s="401">
        <v>0</v>
      </c>
      <c r="AL24" s="401">
        <v>0</v>
      </c>
      <c r="AM24" s="401">
        <v>0</v>
      </c>
      <c r="AN24" s="401">
        <v>0</v>
      </c>
      <c r="AO24" s="401">
        <v>0</v>
      </c>
      <c r="AP24" s="401">
        <v>0</v>
      </c>
      <c r="AQ24" s="401">
        <v>0</v>
      </c>
      <c r="AR24" s="401">
        <v>0</v>
      </c>
      <c r="AS24" s="401">
        <v>0</v>
      </c>
      <c r="AT24" s="401">
        <v>0</v>
      </c>
      <c r="AU24" s="401">
        <v>0</v>
      </c>
      <c r="AV24" s="401">
        <v>0</v>
      </c>
      <c r="AW24" s="401">
        <v>0</v>
      </c>
      <c r="AX24" s="401">
        <v>0</v>
      </c>
      <c r="AY24" s="401">
        <v>0</v>
      </c>
      <c r="AZ24" s="401">
        <v>0</v>
      </c>
      <c r="BA24" s="401">
        <v>0</v>
      </c>
      <c r="BB24" s="401">
        <v>0</v>
      </c>
      <c r="BC24" s="401">
        <v>0</v>
      </c>
      <c r="BD24" s="401">
        <v>0</v>
      </c>
      <c r="BE24" s="401">
        <v>0</v>
      </c>
      <c r="BF24" s="401">
        <v>0</v>
      </c>
      <c r="BG24" s="423"/>
      <c r="BH24" s="424" t="s">
        <v>197</v>
      </c>
      <c r="BI24" s="404">
        <v>46011</v>
      </c>
      <c r="BJ24" s="405">
        <v>504.9</v>
      </c>
      <c r="BK24" s="425"/>
      <c r="BL24" s="406"/>
      <c r="BM24" s="407"/>
      <c r="BN24" s="408" t="s">
        <v>124</v>
      </c>
      <c r="BO24" s="409"/>
      <c r="BP24" s="409"/>
      <c r="BQ24" s="409"/>
      <c r="BR24" s="410"/>
      <c r="BS24" s="409"/>
      <c r="BT24" s="409"/>
      <c r="BU24" s="411"/>
      <c r="BV24" s="412"/>
      <c r="BW24" s="413"/>
      <c r="BX24" s="409"/>
      <c r="BY24" s="409"/>
      <c r="BZ24" s="413"/>
      <c r="CA24" s="413"/>
      <c r="CB24" s="413"/>
      <c r="CC24" s="411">
        <f t="shared" si="0"/>
        <v>2.2204460492503131E-16</v>
      </c>
      <c r="CD24" s="414"/>
      <c r="CE24" s="415"/>
      <c r="CF24" s="416" t="s">
        <v>166</v>
      </c>
      <c r="CG24" s="416"/>
    </row>
    <row r="25" spans="1:85" s="417" customFormat="1" ht="15" customHeight="1">
      <c r="A25" s="393" t="s">
        <v>198</v>
      </c>
      <c r="B25" s="394" t="s">
        <v>111</v>
      </c>
      <c r="C25" s="395">
        <v>45901</v>
      </c>
      <c r="D25" s="396" t="s">
        <v>179</v>
      </c>
      <c r="E25" s="397" t="s">
        <v>113</v>
      </c>
      <c r="F25" s="397" t="s">
        <v>114</v>
      </c>
      <c r="G25" s="397" t="s">
        <v>130</v>
      </c>
      <c r="H25" s="397" t="s">
        <v>116</v>
      </c>
      <c r="I25" s="397" t="s">
        <v>116</v>
      </c>
      <c r="J25" s="397" t="s">
        <v>116</v>
      </c>
      <c r="K25" s="397" t="b">
        <v>0</v>
      </c>
      <c r="L25" s="397" t="s">
        <v>116</v>
      </c>
      <c r="M25" s="397" t="s">
        <v>116</v>
      </c>
      <c r="N25" s="397" t="s">
        <v>116</v>
      </c>
      <c r="O25" s="397" t="s">
        <v>118</v>
      </c>
      <c r="P25" s="397" t="s">
        <v>180</v>
      </c>
      <c r="Q25" s="397" t="s">
        <v>181</v>
      </c>
      <c r="R25" s="397" t="s">
        <v>116</v>
      </c>
      <c r="S25" s="397" t="s">
        <v>116</v>
      </c>
      <c r="T25" s="397" t="s">
        <v>116</v>
      </c>
      <c r="U25" s="397" t="s">
        <v>116</v>
      </c>
      <c r="V25" s="397" t="s">
        <v>116</v>
      </c>
      <c r="W25" s="397" t="s">
        <v>116</v>
      </c>
      <c r="X25" s="398" t="s">
        <v>199</v>
      </c>
      <c r="Y25" s="399">
        <v>168.77</v>
      </c>
      <c r="Z25" s="398" t="s">
        <v>123</v>
      </c>
      <c r="AA25" s="400">
        <v>1</v>
      </c>
      <c r="AB25" s="401">
        <v>5.0599999999999996</v>
      </c>
      <c r="AC25" s="422"/>
      <c r="AD25" s="401">
        <v>3.37</v>
      </c>
      <c r="AE25" s="401">
        <v>0</v>
      </c>
      <c r="AF25" s="401">
        <v>0</v>
      </c>
      <c r="AG25" s="401">
        <v>0</v>
      </c>
      <c r="AH25" s="401">
        <v>0</v>
      </c>
      <c r="AI25" s="401">
        <v>0</v>
      </c>
      <c r="AJ25" s="401">
        <v>1.69</v>
      </c>
      <c r="AK25" s="401">
        <v>0</v>
      </c>
      <c r="AL25" s="401">
        <v>0</v>
      </c>
      <c r="AM25" s="401">
        <v>0</v>
      </c>
      <c r="AN25" s="401">
        <v>0</v>
      </c>
      <c r="AO25" s="401">
        <v>0</v>
      </c>
      <c r="AP25" s="401">
        <v>0</v>
      </c>
      <c r="AQ25" s="401">
        <v>0</v>
      </c>
      <c r="AR25" s="401">
        <v>0</v>
      </c>
      <c r="AS25" s="401">
        <v>0</v>
      </c>
      <c r="AT25" s="401">
        <v>0</v>
      </c>
      <c r="AU25" s="401">
        <v>0</v>
      </c>
      <c r="AV25" s="401">
        <v>0</v>
      </c>
      <c r="AW25" s="401">
        <v>0</v>
      </c>
      <c r="AX25" s="401">
        <v>0</v>
      </c>
      <c r="AY25" s="401">
        <v>0</v>
      </c>
      <c r="AZ25" s="401">
        <v>0</v>
      </c>
      <c r="BA25" s="401">
        <v>0</v>
      </c>
      <c r="BB25" s="401">
        <v>0</v>
      </c>
      <c r="BC25" s="401">
        <v>0</v>
      </c>
      <c r="BD25" s="401">
        <v>0</v>
      </c>
      <c r="BE25" s="401">
        <v>0</v>
      </c>
      <c r="BF25" s="401">
        <v>0</v>
      </c>
      <c r="BG25" s="423"/>
      <c r="BH25" s="424" t="s">
        <v>197</v>
      </c>
      <c r="BI25" s="404">
        <v>46011</v>
      </c>
      <c r="BJ25" s="405">
        <v>504.9</v>
      </c>
      <c r="BK25" s="425"/>
      <c r="BL25" s="406"/>
      <c r="BM25" s="407"/>
      <c r="BN25" s="408" t="s">
        <v>124</v>
      </c>
      <c r="BO25" s="409"/>
      <c r="BP25" s="409"/>
      <c r="BQ25" s="409"/>
      <c r="BR25" s="410"/>
      <c r="BS25" s="409"/>
      <c r="BT25" s="409"/>
      <c r="BU25" s="411"/>
      <c r="BV25" s="412"/>
      <c r="BW25" s="413"/>
      <c r="BX25" s="409"/>
      <c r="BY25" s="409"/>
      <c r="BZ25" s="413"/>
      <c r="CA25" s="413"/>
      <c r="CB25" s="413"/>
      <c r="CC25" s="411">
        <f t="shared" si="0"/>
        <v>-4.4408920985006262E-16</v>
      </c>
      <c r="CD25" s="414"/>
      <c r="CE25" s="415"/>
      <c r="CF25" s="416" t="s">
        <v>166</v>
      </c>
      <c r="CG25" s="416"/>
    </row>
    <row r="26" spans="1:85" s="417" customFormat="1" ht="15" customHeight="1">
      <c r="A26" s="393" t="s">
        <v>200</v>
      </c>
      <c r="B26" s="394" t="s">
        <v>111</v>
      </c>
      <c r="C26" s="395">
        <v>45931</v>
      </c>
      <c r="D26" s="396" t="s">
        <v>179</v>
      </c>
      <c r="E26" s="397" t="s">
        <v>113</v>
      </c>
      <c r="F26" s="397" t="s">
        <v>114</v>
      </c>
      <c r="G26" s="397"/>
      <c r="H26" s="397"/>
      <c r="I26" s="397"/>
      <c r="J26" s="397"/>
      <c r="K26" s="397"/>
      <c r="L26" s="397"/>
      <c r="M26" s="397"/>
      <c r="N26" s="397"/>
      <c r="O26" s="397" t="s">
        <v>118</v>
      </c>
      <c r="P26" s="397" t="s">
        <v>180</v>
      </c>
      <c r="Q26" s="397" t="s">
        <v>181</v>
      </c>
      <c r="R26" s="397"/>
      <c r="S26" s="397"/>
      <c r="T26" s="397"/>
      <c r="U26" s="397"/>
      <c r="V26" s="397"/>
      <c r="W26" s="397"/>
      <c r="X26" s="398" t="s">
        <v>201</v>
      </c>
      <c r="Y26" s="399"/>
      <c r="Z26" s="398"/>
      <c r="AA26" s="400">
        <v>1</v>
      </c>
      <c r="AB26" s="401">
        <v>4.7300000000000004</v>
      </c>
      <c r="AC26" s="422"/>
      <c r="AD26" s="401">
        <v>3.15</v>
      </c>
      <c r="AE26" s="401">
        <v>0</v>
      </c>
      <c r="AF26" s="401">
        <v>0</v>
      </c>
      <c r="AG26" s="401">
        <v>0</v>
      </c>
      <c r="AH26" s="401">
        <v>0</v>
      </c>
      <c r="AI26" s="401">
        <v>0</v>
      </c>
      <c r="AJ26" s="401">
        <v>1.58</v>
      </c>
      <c r="AK26" s="401">
        <v>0</v>
      </c>
      <c r="AL26" s="401">
        <v>0</v>
      </c>
      <c r="AM26" s="401">
        <v>0</v>
      </c>
      <c r="AN26" s="401">
        <v>0</v>
      </c>
      <c r="AO26" s="401">
        <v>0</v>
      </c>
      <c r="AP26" s="401">
        <v>0</v>
      </c>
      <c r="AQ26" s="401">
        <v>0</v>
      </c>
      <c r="AR26" s="401">
        <v>0</v>
      </c>
      <c r="AS26" s="401">
        <v>0</v>
      </c>
      <c r="AT26" s="401">
        <v>0</v>
      </c>
      <c r="AU26" s="401">
        <v>0</v>
      </c>
      <c r="AV26" s="401">
        <v>0</v>
      </c>
      <c r="AW26" s="401">
        <v>0</v>
      </c>
      <c r="AX26" s="401">
        <v>0</v>
      </c>
      <c r="AY26" s="401">
        <v>0</v>
      </c>
      <c r="AZ26" s="401">
        <v>0</v>
      </c>
      <c r="BA26" s="401">
        <v>0</v>
      </c>
      <c r="BB26" s="401">
        <v>0</v>
      </c>
      <c r="BC26" s="401">
        <v>0</v>
      </c>
      <c r="BD26" s="401">
        <v>0</v>
      </c>
      <c r="BE26" s="401">
        <v>0</v>
      </c>
      <c r="BF26" s="401">
        <v>0</v>
      </c>
      <c r="BG26" s="423"/>
      <c r="BH26" s="424" t="s">
        <v>202</v>
      </c>
      <c r="BI26" s="404">
        <v>45998</v>
      </c>
      <c r="BJ26" s="405">
        <v>233.1</v>
      </c>
      <c r="BK26" s="425"/>
      <c r="BL26" s="406"/>
      <c r="BM26" s="407"/>
      <c r="BN26" s="408" t="s">
        <v>124</v>
      </c>
      <c r="BO26" s="409"/>
      <c r="BP26" s="409"/>
      <c r="BQ26" s="409"/>
      <c r="BR26" s="410"/>
      <c r="BS26" s="409"/>
      <c r="BT26" s="409"/>
      <c r="BU26" s="411"/>
      <c r="BV26" s="412"/>
      <c r="BW26" s="413"/>
      <c r="BX26" s="409"/>
      <c r="BY26" s="409"/>
      <c r="BZ26" s="413"/>
      <c r="CA26" s="413"/>
      <c r="CB26" s="413"/>
      <c r="CC26" s="411">
        <f t="shared" si="0"/>
        <v>4.4408920985006262E-16</v>
      </c>
      <c r="CD26" s="414"/>
      <c r="CE26" s="415"/>
      <c r="CF26" s="416" t="s">
        <v>166</v>
      </c>
      <c r="CG26" s="416"/>
    </row>
    <row r="27" spans="1:85" s="417" customFormat="1" ht="15" customHeight="1">
      <c r="A27" s="418" t="s">
        <v>200</v>
      </c>
      <c r="B27" s="397" t="s">
        <v>111</v>
      </c>
      <c r="C27" s="419">
        <v>45931</v>
      </c>
      <c r="D27" s="420" t="s">
        <v>179</v>
      </c>
      <c r="E27" s="397" t="s">
        <v>113</v>
      </c>
      <c r="F27" s="420" t="s">
        <v>114</v>
      </c>
      <c r="G27" s="420"/>
      <c r="H27" s="420"/>
      <c r="I27" s="420"/>
      <c r="J27" s="421"/>
      <c r="K27" s="421"/>
      <c r="L27" s="421"/>
      <c r="M27" s="421"/>
      <c r="N27" s="421"/>
      <c r="O27" s="397" t="s">
        <v>118</v>
      </c>
      <c r="P27" s="397" t="s">
        <v>180</v>
      </c>
      <c r="Q27" s="420" t="s">
        <v>181</v>
      </c>
      <c r="R27" s="421"/>
      <c r="S27" s="421"/>
      <c r="T27" s="421"/>
      <c r="U27" s="421"/>
      <c r="V27" s="421"/>
      <c r="W27" s="421"/>
      <c r="X27" s="420" t="s">
        <v>201</v>
      </c>
      <c r="Y27" s="399"/>
      <c r="Z27" s="420"/>
      <c r="AA27" s="420">
        <v>1</v>
      </c>
      <c r="AB27" s="401">
        <v>4.7300000000000004</v>
      </c>
      <c r="AC27" s="422"/>
      <c r="AD27" s="401">
        <v>3.15</v>
      </c>
      <c r="AE27" s="401">
        <v>0</v>
      </c>
      <c r="AF27" s="401">
        <v>0</v>
      </c>
      <c r="AG27" s="401">
        <v>0</v>
      </c>
      <c r="AH27" s="401">
        <v>0</v>
      </c>
      <c r="AI27" s="401">
        <v>0</v>
      </c>
      <c r="AJ27" s="401">
        <v>1.58</v>
      </c>
      <c r="AK27" s="401">
        <v>0</v>
      </c>
      <c r="AL27" s="401">
        <v>0</v>
      </c>
      <c r="AM27" s="401">
        <v>0</v>
      </c>
      <c r="AN27" s="401">
        <v>0</v>
      </c>
      <c r="AO27" s="401">
        <v>0</v>
      </c>
      <c r="AP27" s="401">
        <v>0</v>
      </c>
      <c r="AQ27" s="401">
        <v>0</v>
      </c>
      <c r="AR27" s="401">
        <v>0</v>
      </c>
      <c r="AS27" s="401">
        <v>0</v>
      </c>
      <c r="AT27" s="401">
        <v>0</v>
      </c>
      <c r="AU27" s="401">
        <v>0</v>
      </c>
      <c r="AV27" s="401">
        <v>0</v>
      </c>
      <c r="AW27" s="401">
        <v>0</v>
      </c>
      <c r="AX27" s="401">
        <v>0</v>
      </c>
      <c r="AY27" s="401">
        <v>0</v>
      </c>
      <c r="AZ27" s="401">
        <v>0</v>
      </c>
      <c r="BA27" s="401">
        <v>0</v>
      </c>
      <c r="BB27" s="401">
        <v>0</v>
      </c>
      <c r="BC27" s="401">
        <v>0</v>
      </c>
      <c r="BD27" s="401">
        <v>0</v>
      </c>
      <c r="BE27" s="401">
        <v>0</v>
      </c>
      <c r="BF27" s="401">
        <v>0</v>
      </c>
      <c r="BG27" s="423"/>
      <c r="BH27" s="424" t="s">
        <v>189</v>
      </c>
      <c r="BI27" s="404">
        <v>46022</v>
      </c>
      <c r="BJ27" s="405">
        <v>-95.24</v>
      </c>
      <c r="BK27" s="406"/>
      <c r="BL27" s="406"/>
      <c r="BM27" s="407"/>
      <c r="BN27" s="408" t="s">
        <v>124</v>
      </c>
      <c r="BO27" s="409"/>
      <c r="BP27" s="409"/>
      <c r="BQ27" s="409"/>
      <c r="BR27" s="410"/>
      <c r="BS27" s="409"/>
      <c r="BT27" s="409"/>
      <c r="BU27" s="411"/>
      <c r="BV27" s="412"/>
      <c r="BW27" s="413"/>
      <c r="BX27" s="409"/>
      <c r="BY27" s="409"/>
      <c r="BZ27" s="413"/>
      <c r="CA27" s="413"/>
      <c r="CB27" s="413"/>
      <c r="CC27" s="411">
        <f t="shared" si="0"/>
        <v>4.4408920985006262E-16</v>
      </c>
      <c r="CD27" s="414"/>
      <c r="CE27" s="415"/>
      <c r="CF27" s="416" t="s">
        <v>166</v>
      </c>
      <c r="CG27" s="416"/>
    </row>
    <row r="28" spans="1:85" s="417" customFormat="1" ht="15" customHeight="1">
      <c r="A28" s="393" t="s">
        <v>203</v>
      </c>
      <c r="B28" s="394" t="s">
        <v>111</v>
      </c>
      <c r="C28" s="395">
        <v>45839</v>
      </c>
      <c r="D28" s="396" t="s">
        <v>179</v>
      </c>
      <c r="E28" s="397" t="s">
        <v>113</v>
      </c>
      <c r="F28" s="397" t="s">
        <v>114</v>
      </c>
      <c r="G28" s="397" t="s">
        <v>153</v>
      </c>
      <c r="H28" s="397" t="s">
        <v>116</v>
      </c>
      <c r="I28" s="397" t="s">
        <v>116</v>
      </c>
      <c r="J28" s="397" t="s">
        <v>116</v>
      </c>
      <c r="K28" s="397" t="b">
        <v>0</v>
      </c>
      <c r="L28" s="397" t="s">
        <v>116</v>
      </c>
      <c r="M28" s="397" t="s">
        <v>116</v>
      </c>
      <c r="N28" s="397" t="s">
        <v>116</v>
      </c>
      <c r="O28" s="397" t="s">
        <v>118</v>
      </c>
      <c r="P28" s="397" t="s">
        <v>180</v>
      </c>
      <c r="Q28" s="397" t="s">
        <v>181</v>
      </c>
      <c r="R28" s="397" t="s">
        <v>116</v>
      </c>
      <c r="S28" s="397" t="s">
        <v>116</v>
      </c>
      <c r="T28" s="397" t="s">
        <v>116</v>
      </c>
      <c r="U28" s="397" t="s">
        <v>116</v>
      </c>
      <c r="V28" s="397" t="s">
        <v>116</v>
      </c>
      <c r="W28" s="397" t="s">
        <v>116</v>
      </c>
      <c r="X28" s="398" t="s">
        <v>204</v>
      </c>
      <c r="Y28" s="399">
        <v>92.72</v>
      </c>
      <c r="Z28" s="398" t="s">
        <v>116</v>
      </c>
      <c r="AA28" s="400">
        <v>1</v>
      </c>
      <c r="AB28" s="401">
        <v>2.78</v>
      </c>
      <c r="AC28" s="422"/>
      <c r="AD28" s="401">
        <v>1.85</v>
      </c>
      <c r="AE28" s="401">
        <v>0</v>
      </c>
      <c r="AF28" s="401">
        <v>0</v>
      </c>
      <c r="AG28" s="401">
        <v>0</v>
      </c>
      <c r="AH28" s="401">
        <v>0</v>
      </c>
      <c r="AI28" s="401">
        <v>0</v>
      </c>
      <c r="AJ28" s="401">
        <v>0.93</v>
      </c>
      <c r="AK28" s="401">
        <v>0</v>
      </c>
      <c r="AL28" s="401">
        <v>0</v>
      </c>
      <c r="AM28" s="401">
        <v>0</v>
      </c>
      <c r="AN28" s="401">
        <v>0</v>
      </c>
      <c r="AO28" s="401">
        <v>0</v>
      </c>
      <c r="AP28" s="401">
        <v>0</v>
      </c>
      <c r="AQ28" s="401">
        <v>0</v>
      </c>
      <c r="AR28" s="401">
        <v>0</v>
      </c>
      <c r="AS28" s="401">
        <v>0</v>
      </c>
      <c r="AT28" s="401">
        <v>0</v>
      </c>
      <c r="AU28" s="401">
        <v>0</v>
      </c>
      <c r="AV28" s="401">
        <v>0</v>
      </c>
      <c r="AW28" s="401">
        <v>0</v>
      </c>
      <c r="AX28" s="401">
        <v>0</v>
      </c>
      <c r="AY28" s="401">
        <v>0</v>
      </c>
      <c r="AZ28" s="401">
        <v>0</v>
      </c>
      <c r="BA28" s="401">
        <v>0</v>
      </c>
      <c r="BB28" s="401">
        <v>0</v>
      </c>
      <c r="BC28" s="401">
        <v>0</v>
      </c>
      <c r="BD28" s="401">
        <v>0</v>
      </c>
      <c r="BE28" s="401">
        <v>0</v>
      </c>
      <c r="BF28" s="401">
        <v>0</v>
      </c>
      <c r="BG28" s="423"/>
      <c r="BH28" s="424" t="s">
        <v>174</v>
      </c>
      <c r="BI28" s="404">
        <v>45998</v>
      </c>
      <c r="BJ28" s="405">
        <v>233.1</v>
      </c>
      <c r="BK28" s="425"/>
      <c r="BL28" s="406"/>
      <c r="BM28" s="407"/>
      <c r="BN28" s="408" t="s">
        <v>124</v>
      </c>
      <c r="BO28" s="409"/>
      <c r="BP28" s="409"/>
      <c r="BQ28" s="409"/>
      <c r="BR28" s="410"/>
      <c r="BS28" s="409"/>
      <c r="BT28" s="409"/>
      <c r="BU28" s="411"/>
      <c r="BV28" s="412"/>
      <c r="BW28" s="413"/>
      <c r="BX28" s="409"/>
      <c r="BY28" s="409"/>
      <c r="BZ28" s="413"/>
      <c r="CA28" s="413"/>
      <c r="CB28" s="413"/>
      <c r="CC28" s="411">
        <f t="shared" si="0"/>
        <v>-3.3306690738754696E-16</v>
      </c>
      <c r="CD28" s="414"/>
      <c r="CE28" s="415"/>
      <c r="CF28" s="416" t="s">
        <v>166</v>
      </c>
      <c r="CG28" s="416"/>
    </row>
    <row r="29" spans="1:85" s="417" customFormat="1" ht="15" customHeight="1">
      <c r="A29" s="393" t="s">
        <v>205</v>
      </c>
      <c r="B29" s="394" t="s">
        <v>111</v>
      </c>
      <c r="C29" s="395">
        <v>45839</v>
      </c>
      <c r="D29" s="396" t="s">
        <v>179</v>
      </c>
      <c r="E29" s="397" t="s">
        <v>113</v>
      </c>
      <c r="F29" s="397" t="s">
        <v>114</v>
      </c>
      <c r="G29" s="397" t="s">
        <v>153</v>
      </c>
      <c r="H29" s="397" t="s">
        <v>116</v>
      </c>
      <c r="I29" s="397" t="s">
        <v>116</v>
      </c>
      <c r="J29" s="397" t="s">
        <v>116</v>
      </c>
      <c r="K29" s="397" t="b">
        <v>0</v>
      </c>
      <c r="L29" s="397" t="s">
        <v>116</v>
      </c>
      <c r="M29" s="397" t="s">
        <v>116</v>
      </c>
      <c r="N29" s="397" t="s">
        <v>116</v>
      </c>
      <c r="O29" s="397" t="s">
        <v>118</v>
      </c>
      <c r="P29" s="397" t="s">
        <v>180</v>
      </c>
      <c r="Q29" s="397" t="s">
        <v>181</v>
      </c>
      <c r="R29" s="397" t="s">
        <v>116</v>
      </c>
      <c r="S29" s="397" t="s">
        <v>116</v>
      </c>
      <c r="T29" s="397" t="s">
        <v>116</v>
      </c>
      <c r="U29" s="397" t="s">
        <v>116</v>
      </c>
      <c r="V29" s="397" t="s">
        <v>116</v>
      </c>
      <c r="W29" s="397" t="s">
        <v>116</v>
      </c>
      <c r="X29" s="398" t="s">
        <v>206</v>
      </c>
      <c r="Y29" s="399">
        <v>106.62</v>
      </c>
      <c r="Z29" s="398" t="s">
        <v>123</v>
      </c>
      <c r="AA29" s="400">
        <v>1</v>
      </c>
      <c r="AB29" s="401">
        <v>3.2</v>
      </c>
      <c r="AC29" s="422"/>
      <c r="AD29" s="401">
        <v>2.13</v>
      </c>
      <c r="AE29" s="401">
        <v>0</v>
      </c>
      <c r="AF29" s="401">
        <v>0</v>
      </c>
      <c r="AG29" s="401">
        <v>0</v>
      </c>
      <c r="AH29" s="401">
        <v>0</v>
      </c>
      <c r="AI29" s="401">
        <v>0</v>
      </c>
      <c r="AJ29" s="401">
        <v>1.07</v>
      </c>
      <c r="AK29" s="401">
        <v>0</v>
      </c>
      <c r="AL29" s="401">
        <v>0</v>
      </c>
      <c r="AM29" s="401">
        <v>0</v>
      </c>
      <c r="AN29" s="401">
        <v>0</v>
      </c>
      <c r="AO29" s="401">
        <v>0</v>
      </c>
      <c r="AP29" s="401">
        <v>0</v>
      </c>
      <c r="AQ29" s="401">
        <v>0</v>
      </c>
      <c r="AR29" s="401">
        <v>0</v>
      </c>
      <c r="AS29" s="401">
        <v>0</v>
      </c>
      <c r="AT29" s="401">
        <v>0</v>
      </c>
      <c r="AU29" s="401">
        <v>0</v>
      </c>
      <c r="AV29" s="401">
        <v>0</v>
      </c>
      <c r="AW29" s="401">
        <v>0</v>
      </c>
      <c r="AX29" s="401">
        <v>0</v>
      </c>
      <c r="AY29" s="401">
        <v>0</v>
      </c>
      <c r="AZ29" s="401">
        <v>0</v>
      </c>
      <c r="BA29" s="401">
        <v>0</v>
      </c>
      <c r="BB29" s="401">
        <v>0</v>
      </c>
      <c r="BC29" s="401">
        <v>0</v>
      </c>
      <c r="BD29" s="401">
        <v>0</v>
      </c>
      <c r="BE29" s="401">
        <v>0</v>
      </c>
      <c r="BF29" s="401">
        <v>0</v>
      </c>
      <c r="BG29" s="423"/>
      <c r="BH29" s="424" t="s">
        <v>174</v>
      </c>
      <c r="BI29" s="404">
        <v>45998</v>
      </c>
      <c r="BJ29" s="405">
        <v>233.1</v>
      </c>
      <c r="BK29" s="425"/>
      <c r="BL29" s="406"/>
      <c r="BM29" s="407"/>
      <c r="BN29" s="408" t="s">
        <v>124</v>
      </c>
      <c r="BO29" s="409"/>
      <c r="BP29" s="409"/>
      <c r="BQ29" s="409"/>
      <c r="BR29" s="410"/>
      <c r="BS29" s="409"/>
      <c r="BT29" s="409"/>
      <c r="BU29" s="411"/>
      <c r="BV29" s="412"/>
      <c r="BW29" s="413"/>
      <c r="BX29" s="409"/>
      <c r="BY29" s="409"/>
      <c r="BZ29" s="413"/>
      <c r="CA29" s="413"/>
      <c r="CB29" s="413"/>
      <c r="CC29" s="411">
        <f t="shared" si="0"/>
        <v>2.2204460492503131E-16</v>
      </c>
      <c r="CD29" s="414"/>
      <c r="CE29" s="415"/>
      <c r="CF29" s="416" t="s">
        <v>166</v>
      </c>
      <c r="CG29" s="416"/>
    </row>
    <row r="30" spans="1:85" s="417" customFormat="1" ht="15" customHeight="1">
      <c r="A30" s="393" t="s">
        <v>207</v>
      </c>
      <c r="B30" s="394" t="s">
        <v>111</v>
      </c>
      <c r="C30" s="395">
        <v>45931</v>
      </c>
      <c r="D30" s="396" t="s">
        <v>179</v>
      </c>
      <c r="E30" s="397" t="s">
        <v>113</v>
      </c>
      <c r="F30" s="397" t="s">
        <v>114</v>
      </c>
      <c r="G30" s="397"/>
      <c r="H30" s="397"/>
      <c r="I30" s="397"/>
      <c r="J30" s="397"/>
      <c r="K30" s="397"/>
      <c r="L30" s="397"/>
      <c r="M30" s="397"/>
      <c r="N30" s="397"/>
      <c r="O30" s="397" t="s">
        <v>118</v>
      </c>
      <c r="P30" s="397" t="s">
        <v>180</v>
      </c>
      <c r="Q30" s="397" t="s">
        <v>181</v>
      </c>
      <c r="R30" s="397"/>
      <c r="S30" s="397"/>
      <c r="T30" s="397"/>
      <c r="U30" s="397"/>
      <c r="V30" s="397"/>
      <c r="W30" s="397"/>
      <c r="X30" s="398" t="s">
        <v>208</v>
      </c>
      <c r="Y30" s="399"/>
      <c r="Z30" s="398"/>
      <c r="AA30" s="400">
        <v>1</v>
      </c>
      <c r="AB30" s="401">
        <v>5.09</v>
      </c>
      <c r="AC30" s="422"/>
      <c r="AD30" s="401">
        <v>3.39</v>
      </c>
      <c r="AE30" s="401">
        <v>0</v>
      </c>
      <c r="AF30" s="401">
        <v>0</v>
      </c>
      <c r="AG30" s="401">
        <v>0</v>
      </c>
      <c r="AH30" s="401">
        <v>0</v>
      </c>
      <c r="AI30" s="401">
        <v>0</v>
      </c>
      <c r="AJ30" s="401">
        <v>1.7</v>
      </c>
      <c r="AK30" s="401">
        <v>0</v>
      </c>
      <c r="AL30" s="401">
        <v>0</v>
      </c>
      <c r="AM30" s="401">
        <v>0</v>
      </c>
      <c r="AN30" s="401">
        <v>0</v>
      </c>
      <c r="AO30" s="401">
        <v>0</v>
      </c>
      <c r="AP30" s="401">
        <v>0</v>
      </c>
      <c r="AQ30" s="401">
        <v>0</v>
      </c>
      <c r="AR30" s="401">
        <v>0</v>
      </c>
      <c r="AS30" s="401">
        <v>0</v>
      </c>
      <c r="AT30" s="401">
        <v>0</v>
      </c>
      <c r="AU30" s="401">
        <v>0</v>
      </c>
      <c r="AV30" s="401">
        <v>0</v>
      </c>
      <c r="AW30" s="401">
        <v>0</v>
      </c>
      <c r="AX30" s="401">
        <v>0</v>
      </c>
      <c r="AY30" s="401">
        <v>0</v>
      </c>
      <c r="AZ30" s="401">
        <v>0</v>
      </c>
      <c r="BA30" s="401">
        <v>0</v>
      </c>
      <c r="BB30" s="401">
        <v>0</v>
      </c>
      <c r="BC30" s="401">
        <v>0</v>
      </c>
      <c r="BD30" s="401">
        <v>0</v>
      </c>
      <c r="BE30" s="401">
        <v>0</v>
      </c>
      <c r="BF30" s="401">
        <v>0</v>
      </c>
      <c r="BG30" s="423"/>
      <c r="BH30" s="424" t="s">
        <v>202</v>
      </c>
      <c r="BI30" s="404">
        <v>45998</v>
      </c>
      <c r="BJ30" s="405">
        <v>233.1</v>
      </c>
      <c r="BK30" s="425"/>
      <c r="BL30" s="406"/>
      <c r="BM30" s="407"/>
      <c r="BN30" s="408" t="s">
        <v>124</v>
      </c>
      <c r="BO30" s="409"/>
      <c r="BP30" s="409"/>
      <c r="BQ30" s="409"/>
      <c r="BR30" s="410"/>
      <c r="BS30" s="409"/>
      <c r="BT30" s="409"/>
      <c r="BU30" s="411"/>
      <c r="BV30" s="412"/>
      <c r="BW30" s="413"/>
      <c r="BX30" s="409"/>
      <c r="BY30" s="409"/>
      <c r="BZ30" s="413"/>
      <c r="CA30" s="413"/>
      <c r="CB30" s="413"/>
      <c r="CC30" s="411">
        <f t="shared" si="0"/>
        <v>-2.2204460492503131E-16</v>
      </c>
      <c r="CD30" s="414"/>
      <c r="CE30" s="415"/>
      <c r="CF30" s="416" t="s">
        <v>166</v>
      </c>
      <c r="CG30" s="416"/>
    </row>
    <row r="31" spans="1:85" s="417" customFormat="1" ht="15" customHeight="1">
      <c r="A31" s="418" t="s">
        <v>209</v>
      </c>
      <c r="B31" s="397" t="s">
        <v>111</v>
      </c>
      <c r="C31" s="419">
        <v>45261.333333333336</v>
      </c>
      <c r="D31" s="420" t="s">
        <v>112</v>
      </c>
      <c r="E31" s="397" t="s">
        <v>113</v>
      </c>
      <c r="F31" s="420" t="s">
        <v>114</v>
      </c>
      <c r="G31" s="420" t="s">
        <v>210</v>
      </c>
      <c r="H31" s="420" t="s">
        <v>116</v>
      </c>
      <c r="I31" s="420" t="s">
        <v>117</v>
      </c>
      <c r="J31" s="421" t="s">
        <v>116</v>
      </c>
      <c r="K31" s="421" t="b">
        <v>0</v>
      </c>
      <c r="L31" s="421" t="s">
        <v>116</v>
      </c>
      <c r="M31" s="421" t="s">
        <v>116</v>
      </c>
      <c r="N31" s="421" t="s">
        <v>118</v>
      </c>
      <c r="O31" s="421" t="s">
        <v>119</v>
      </c>
      <c r="P31" s="420" t="s">
        <v>120</v>
      </c>
      <c r="Q31" s="420" t="s">
        <v>121</v>
      </c>
      <c r="R31" s="421" t="s">
        <v>116</v>
      </c>
      <c r="S31" s="421" t="s">
        <v>116</v>
      </c>
      <c r="T31" s="421" t="s">
        <v>116</v>
      </c>
      <c r="U31" s="421" t="s">
        <v>116</v>
      </c>
      <c r="V31" s="421" t="s">
        <v>116</v>
      </c>
      <c r="W31" s="421" t="s">
        <v>116</v>
      </c>
      <c r="X31" s="420" t="s">
        <v>211</v>
      </c>
      <c r="Y31" s="399">
        <v>56.49</v>
      </c>
      <c r="Z31" s="420" t="s">
        <v>123</v>
      </c>
      <c r="AA31" s="400">
        <v>1</v>
      </c>
      <c r="AB31" s="401">
        <v>16.95</v>
      </c>
      <c r="AC31" s="422"/>
      <c r="AD31" s="401">
        <v>1.1299999999999999</v>
      </c>
      <c r="AE31" s="401">
        <v>0</v>
      </c>
      <c r="AF31" s="401">
        <v>0</v>
      </c>
      <c r="AG31" s="401">
        <v>0</v>
      </c>
      <c r="AH31" s="401">
        <v>0</v>
      </c>
      <c r="AI31" s="401">
        <v>0.28000000000000003</v>
      </c>
      <c r="AJ31" s="401">
        <v>0.28000000000000003</v>
      </c>
      <c r="AK31" s="401">
        <v>15.26</v>
      </c>
      <c r="AL31" s="401">
        <v>0</v>
      </c>
      <c r="AM31" s="401">
        <v>0</v>
      </c>
      <c r="AN31" s="401">
        <v>0</v>
      </c>
      <c r="AO31" s="401">
        <v>0</v>
      </c>
      <c r="AP31" s="401">
        <v>0</v>
      </c>
      <c r="AQ31" s="401">
        <v>0</v>
      </c>
      <c r="AR31" s="401">
        <v>0</v>
      </c>
      <c r="AS31" s="401">
        <v>0</v>
      </c>
      <c r="AT31" s="401">
        <v>0</v>
      </c>
      <c r="AU31" s="401">
        <v>0</v>
      </c>
      <c r="AV31" s="401">
        <v>0</v>
      </c>
      <c r="AW31" s="401">
        <v>0</v>
      </c>
      <c r="AX31" s="401">
        <v>0</v>
      </c>
      <c r="AY31" s="401">
        <v>0</v>
      </c>
      <c r="AZ31" s="401">
        <v>0</v>
      </c>
      <c r="BA31" s="401">
        <v>0</v>
      </c>
      <c r="BB31" s="401">
        <v>0</v>
      </c>
      <c r="BC31" s="401">
        <v>0</v>
      </c>
      <c r="BD31" s="401">
        <v>0</v>
      </c>
      <c r="BE31" s="401">
        <v>0</v>
      </c>
      <c r="BF31" s="401">
        <v>0</v>
      </c>
      <c r="BG31" s="423"/>
      <c r="BH31" s="424" t="s">
        <v>212</v>
      </c>
      <c r="BI31" s="404">
        <v>46004</v>
      </c>
      <c r="BJ31" s="405">
        <v>43.48</v>
      </c>
      <c r="BK31" s="406"/>
      <c r="BL31" s="406"/>
      <c r="BM31" s="407"/>
      <c r="BN31" s="408" t="s">
        <v>124</v>
      </c>
      <c r="BO31" s="409"/>
      <c r="BP31" s="409"/>
      <c r="BQ31" s="409"/>
      <c r="BR31" s="410"/>
      <c r="BS31" s="409"/>
      <c r="BT31" s="409"/>
      <c r="BU31" s="411"/>
      <c r="BV31" s="412"/>
      <c r="BW31" s="413"/>
      <c r="BX31" s="409"/>
      <c r="BY31" s="409"/>
      <c r="BZ31" s="413"/>
      <c r="CA31" s="413"/>
      <c r="CB31" s="413"/>
      <c r="CC31" s="411">
        <f t="shared" si="0"/>
        <v>1.7763568394002505E-15</v>
      </c>
      <c r="CD31" s="414"/>
      <c r="CE31" s="415"/>
      <c r="CF31" s="416" t="s">
        <v>157</v>
      </c>
      <c r="CG31" s="416"/>
    </row>
    <row r="32" spans="1:85" s="417" customFormat="1" ht="15" customHeight="1">
      <c r="A32" s="393" t="s">
        <v>213</v>
      </c>
      <c r="B32" s="394" t="s">
        <v>111</v>
      </c>
      <c r="C32" s="395">
        <v>44927</v>
      </c>
      <c r="D32" s="396" t="s">
        <v>112</v>
      </c>
      <c r="E32" s="397" t="s">
        <v>113</v>
      </c>
      <c r="F32" s="397" t="s">
        <v>114</v>
      </c>
      <c r="G32" s="397" t="s">
        <v>153</v>
      </c>
      <c r="H32" s="397" t="s">
        <v>116</v>
      </c>
      <c r="I32" s="397" t="s">
        <v>214</v>
      </c>
      <c r="J32" s="397" t="s">
        <v>116</v>
      </c>
      <c r="K32" s="397" t="b">
        <v>0</v>
      </c>
      <c r="L32" s="397" t="s">
        <v>116</v>
      </c>
      <c r="M32" s="397" t="s">
        <v>116</v>
      </c>
      <c r="N32" s="421" t="s">
        <v>118</v>
      </c>
      <c r="O32" s="421" t="s">
        <v>119</v>
      </c>
      <c r="P32" s="420" t="s">
        <v>120</v>
      </c>
      <c r="Q32" s="397" t="s">
        <v>121</v>
      </c>
      <c r="R32" s="397" t="s">
        <v>138</v>
      </c>
      <c r="S32" s="397" t="s">
        <v>116</v>
      </c>
      <c r="T32" s="397" t="s">
        <v>116</v>
      </c>
      <c r="U32" s="397" t="s">
        <v>116</v>
      </c>
      <c r="V32" s="397" t="s">
        <v>116</v>
      </c>
      <c r="W32" s="397" t="s">
        <v>116</v>
      </c>
      <c r="X32" s="398" t="s">
        <v>215</v>
      </c>
      <c r="Y32" s="399">
        <v>170.35</v>
      </c>
      <c r="Z32" s="398" t="s">
        <v>123</v>
      </c>
      <c r="AA32" s="400">
        <v>1</v>
      </c>
      <c r="AB32" s="401">
        <v>19.07</v>
      </c>
      <c r="AC32" s="422"/>
      <c r="AD32" s="401">
        <v>1.53</v>
      </c>
      <c r="AE32" s="401">
        <v>0</v>
      </c>
      <c r="AF32" s="401">
        <v>0</v>
      </c>
      <c r="AG32" s="401">
        <v>0</v>
      </c>
      <c r="AH32" s="401">
        <v>0</v>
      </c>
      <c r="AI32" s="401">
        <v>0.38</v>
      </c>
      <c r="AJ32" s="401">
        <v>0.38</v>
      </c>
      <c r="AK32" s="401">
        <v>16.78</v>
      </c>
      <c r="AL32" s="401">
        <v>0</v>
      </c>
      <c r="AM32" s="401">
        <v>0</v>
      </c>
      <c r="AN32" s="401">
        <v>0</v>
      </c>
      <c r="AO32" s="401">
        <v>0</v>
      </c>
      <c r="AP32" s="401">
        <v>0</v>
      </c>
      <c r="AQ32" s="401">
        <v>0</v>
      </c>
      <c r="AR32" s="401">
        <v>0</v>
      </c>
      <c r="AS32" s="401">
        <v>0</v>
      </c>
      <c r="AT32" s="401">
        <v>0</v>
      </c>
      <c r="AU32" s="401">
        <v>0</v>
      </c>
      <c r="AV32" s="401">
        <v>0</v>
      </c>
      <c r="AW32" s="401">
        <v>0</v>
      </c>
      <c r="AX32" s="401">
        <v>0</v>
      </c>
      <c r="AY32" s="401">
        <v>0</v>
      </c>
      <c r="AZ32" s="401">
        <v>0</v>
      </c>
      <c r="BA32" s="401">
        <v>0</v>
      </c>
      <c r="BB32" s="401">
        <v>0</v>
      </c>
      <c r="BC32" s="401">
        <v>0</v>
      </c>
      <c r="BD32" s="401">
        <v>0</v>
      </c>
      <c r="BE32" s="401">
        <v>0</v>
      </c>
      <c r="BF32" s="401">
        <v>0</v>
      </c>
      <c r="BG32" s="423"/>
      <c r="BH32" s="424" t="s">
        <v>216</v>
      </c>
      <c r="BI32" s="404">
        <v>46004</v>
      </c>
      <c r="BJ32" s="405">
        <v>43.48</v>
      </c>
      <c r="BK32" s="425"/>
      <c r="BL32" s="406"/>
      <c r="BM32" s="407"/>
      <c r="BN32" s="408" t="s">
        <v>124</v>
      </c>
      <c r="BO32" s="409"/>
      <c r="BP32" s="409"/>
      <c r="BQ32" s="409"/>
      <c r="BR32" s="410"/>
      <c r="BS32" s="409"/>
      <c r="BT32" s="409"/>
      <c r="BU32" s="411"/>
      <c r="BV32" s="412"/>
      <c r="BW32" s="413"/>
      <c r="BX32" s="409"/>
      <c r="BY32" s="409"/>
      <c r="BZ32" s="413"/>
      <c r="CA32" s="413"/>
      <c r="CB32" s="413"/>
      <c r="CC32" s="411">
        <f t="shared" si="0"/>
        <v>0</v>
      </c>
      <c r="CD32" s="414"/>
      <c r="CE32" s="415"/>
      <c r="CF32" s="416" t="s">
        <v>157</v>
      </c>
      <c r="CG32" s="416"/>
    </row>
    <row r="33" spans="1:85" s="417" customFormat="1" ht="15" customHeight="1">
      <c r="A33" s="393" t="s">
        <v>217</v>
      </c>
      <c r="B33" s="394" t="s">
        <v>111</v>
      </c>
      <c r="C33" s="395">
        <v>44927</v>
      </c>
      <c r="D33" s="396" t="s">
        <v>179</v>
      </c>
      <c r="E33" s="397" t="s">
        <v>113</v>
      </c>
      <c r="F33" s="397" t="s">
        <v>114</v>
      </c>
      <c r="G33" s="397" t="s">
        <v>153</v>
      </c>
      <c r="H33" s="397" t="s">
        <v>116</v>
      </c>
      <c r="I33" s="397" t="s">
        <v>214</v>
      </c>
      <c r="J33" s="397" t="s">
        <v>116</v>
      </c>
      <c r="K33" s="397" t="b">
        <v>0</v>
      </c>
      <c r="L33" s="397" t="s">
        <v>116</v>
      </c>
      <c r="M33" s="397" t="s">
        <v>116</v>
      </c>
      <c r="N33" s="397" t="s">
        <v>116</v>
      </c>
      <c r="O33" s="397" t="s">
        <v>118</v>
      </c>
      <c r="P33" s="397" t="s">
        <v>218</v>
      </c>
      <c r="Q33" s="397" t="s">
        <v>219</v>
      </c>
      <c r="R33" s="397" t="s">
        <v>138</v>
      </c>
      <c r="S33" s="397" t="s">
        <v>116</v>
      </c>
      <c r="T33" s="397" t="s">
        <v>116</v>
      </c>
      <c r="U33" s="397" t="s">
        <v>116</v>
      </c>
      <c r="V33" s="397" t="s">
        <v>116</v>
      </c>
      <c r="W33" s="397" t="s">
        <v>116</v>
      </c>
      <c r="X33" s="398" t="s">
        <v>220</v>
      </c>
      <c r="Y33" s="399">
        <v>206.44</v>
      </c>
      <c r="Z33" s="398" t="s">
        <v>116</v>
      </c>
      <c r="AA33" s="400">
        <v>1</v>
      </c>
      <c r="AB33" s="401">
        <v>2.88</v>
      </c>
      <c r="AC33" s="422"/>
      <c r="AD33" s="401">
        <v>2.88</v>
      </c>
      <c r="AE33" s="401">
        <v>0</v>
      </c>
      <c r="AF33" s="401">
        <v>0</v>
      </c>
      <c r="AG33" s="401">
        <v>0</v>
      </c>
      <c r="AH33" s="401">
        <v>0</v>
      </c>
      <c r="AI33" s="401">
        <v>0</v>
      </c>
      <c r="AJ33" s="401">
        <v>0</v>
      </c>
      <c r="AK33" s="401">
        <v>0</v>
      </c>
      <c r="AL33" s="401">
        <v>0</v>
      </c>
      <c r="AM33" s="401">
        <v>0</v>
      </c>
      <c r="AN33" s="401">
        <v>0</v>
      </c>
      <c r="AO33" s="401">
        <v>0</v>
      </c>
      <c r="AP33" s="401">
        <v>0</v>
      </c>
      <c r="AQ33" s="401">
        <v>0</v>
      </c>
      <c r="AR33" s="401">
        <v>0</v>
      </c>
      <c r="AS33" s="401">
        <v>0</v>
      </c>
      <c r="AT33" s="401">
        <v>0</v>
      </c>
      <c r="AU33" s="401">
        <v>0</v>
      </c>
      <c r="AV33" s="401">
        <v>0</v>
      </c>
      <c r="AW33" s="401">
        <v>0</v>
      </c>
      <c r="AX33" s="401">
        <v>0</v>
      </c>
      <c r="AY33" s="401">
        <v>0</v>
      </c>
      <c r="AZ33" s="401">
        <v>0</v>
      </c>
      <c r="BA33" s="401">
        <v>0</v>
      </c>
      <c r="BB33" s="401">
        <v>0</v>
      </c>
      <c r="BC33" s="401">
        <v>0</v>
      </c>
      <c r="BD33" s="401">
        <v>0</v>
      </c>
      <c r="BE33" s="401">
        <v>0</v>
      </c>
      <c r="BF33" s="401">
        <v>0</v>
      </c>
      <c r="BG33" s="423"/>
      <c r="BH33" s="424" t="s">
        <v>221</v>
      </c>
      <c r="BI33" s="404">
        <v>46018</v>
      </c>
      <c r="BJ33" s="405">
        <v>2.88</v>
      </c>
      <c r="BK33" s="425"/>
      <c r="BL33" s="406"/>
      <c r="BM33" s="407"/>
      <c r="BN33" s="408" t="s">
        <v>124</v>
      </c>
      <c r="BO33" s="409"/>
      <c r="BP33" s="409"/>
      <c r="BQ33" s="409"/>
      <c r="BR33" s="410"/>
      <c r="BS33" s="409"/>
      <c r="BT33" s="409"/>
      <c r="BU33" s="411"/>
      <c r="BV33" s="412"/>
      <c r="BW33" s="413"/>
      <c r="BX33" s="409"/>
      <c r="BY33" s="409"/>
      <c r="BZ33" s="413"/>
      <c r="CA33" s="413"/>
      <c r="CB33" s="413"/>
      <c r="CC33" s="411">
        <f t="shared" si="0"/>
        <v>0</v>
      </c>
      <c r="CD33" s="414"/>
      <c r="CE33" s="415"/>
      <c r="CF33" s="416" t="s">
        <v>157</v>
      </c>
      <c r="CG33" s="416"/>
    </row>
    <row r="34" spans="1:85" s="417" customFormat="1" ht="15" customHeight="1">
      <c r="A34" s="393" t="s">
        <v>222</v>
      </c>
      <c r="B34" s="394" t="s">
        <v>111</v>
      </c>
      <c r="C34" s="395">
        <v>45505</v>
      </c>
      <c r="D34" s="396" t="s">
        <v>179</v>
      </c>
      <c r="E34" s="397" t="s">
        <v>113</v>
      </c>
      <c r="F34" s="397" t="s">
        <v>114</v>
      </c>
      <c r="G34" s="397" t="s">
        <v>153</v>
      </c>
      <c r="H34" s="397" t="s">
        <v>116</v>
      </c>
      <c r="I34" s="397" t="s">
        <v>223</v>
      </c>
      <c r="J34" s="397" t="s">
        <v>116</v>
      </c>
      <c r="K34" s="397" t="b">
        <v>0</v>
      </c>
      <c r="L34" s="397" t="s">
        <v>116</v>
      </c>
      <c r="M34" s="397" t="s">
        <v>116</v>
      </c>
      <c r="N34" s="397" t="s">
        <v>116</v>
      </c>
      <c r="O34" s="397" t="s">
        <v>118</v>
      </c>
      <c r="P34" s="397" t="s">
        <v>224</v>
      </c>
      <c r="Q34" s="397" t="s">
        <v>225</v>
      </c>
      <c r="R34" s="397" t="s">
        <v>116</v>
      </c>
      <c r="S34" s="397" t="s">
        <v>116</v>
      </c>
      <c r="T34" s="397" t="s">
        <v>116</v>
      </c>
      <c r="U34" s="397" t="s">
        <v>116</v>
      </c>
      <c r="V34" s="397" t="s">
        <v>116</v>
      </c>
      <c r="W34" s="397" t="s">
        <v>116</v>
      </c>
      <c r="X34" s="398" t="s">
        <v>226</v>
      </c>
      <c r="Y34" s="399">
        <v>114.82</v>
      </c>
      <c r="Z34" s="398" t="s">
        <v>123</v>
      </c>
      <c r="AA34" s="400">
        <v>1</v>
      </c>
      <c r="AB34" s="401">
        <v>33.299999999999997</v>
      </c>
      <c r="AC34" s="402"/>
      <c r="AD34" s="401">
        <v>4.59</v>
      </c>
      <c r="AE34" s="401">
        <v>0</v>
      </c>
      <c r="AF34" s="401">
        <v>0</v>
      </c>
      <c r="AG34" s="401">
        <v>0</v>
      </c>
      <c r="AH34" s="401">
        <v>0</v>
      </c>
      <c r="AI34" s="401">
        <v>0</v>
      </c>
      <c r="AJ34" s="401">
        <v>1.1499999999999999</v>
      </c>
      <c r="AK34" s="401">
        <v>27.56</v>
      </c>
      <c r="AL34" s="401">
        <v>0</v>
      </c>
      <c r="AM34" s="401">
        <v>0</v>
      </c>
      <c r="AN34" s="401">
        <v>0</v>
      </c>
      <c r="AO34" s="401">
        <v>0</v>
      </c>
      <c r="AP34" s="401">
        <v>0</v>
      </c>
      <c r="AQ34" s="401">
        <v>0</v>
      </c>
      <c r="AR34" s="401">
        <v>0</v>
      </c>
      <c r="AS34" s="401">
        <v>0</v>
      </c>
      <c r="AT34" s="401">
        <v>0</v>
      </c>
      <c r="AU34" s="401">
        <v>0</v>
      </c>
      <c r="AV34" s="401">
        <v>0</v>
      </c>
      <c r="AW34" s="401">
        <v>0</v>
      </c>
      <c r="AX34" s="401">
        <v>0</v>
      </c>
      <c r="AY34" s="401">
        <v>0</v>
      </c>
      <c r="AZ34" s="401">
        <v>0</v>
      </c>
      <c r="BA34" s="401">
        <v>0</v>
      </c>
      <c r="BB34" s="401">
        <v>0</v>
      </c>
      <c r="BC34" s="401">
        <v>0</v>
      </c>
      <c r="BD34" s="401">
        <v>0</v>
      </c>
      <c r="BE34" s="401">
        <v>0</v>
      </c>
      <c r="BF34" s="401">
        <v>0</v>
      </c>
      <c r="BG34" s="426"/>
      <c r="BH34" s="403" t="s">
        <v>227</v>
      </c>
      <c r="BI34" s="404">
        <v>46011</v>
      </c>
      <c r="BJ34" s="405">
        <v>504.9</v>
      </c>
      <c r="BK34" s="425"/>
      <c r="BL34" s="406"/>
      <c r="BM34" s="407"/>
      <c r="BN34" s="408" t="s">
        <v>124</v>
      </c>
      <c r="BO34" s="409"/>
      <c r="BP34" s="409"/>
      <c r="BQ34" s="409"/>
      <c r="BR34" s="410"/>
      <c r="BS34" s="409"/>
      <c r="BT34" s="409"/>
      <c r="BU34" s="411"/>
      <c r="BV34" s="412"/>
      <c r="BW34" s="413"/>
      <c r="BX34" s="409"/>
      <c r="BY34" s="409"/>
      <c r="BZ34" s="413"/>
      <c r="CA34" s="413"/>
      <c r="CB34" s="413"/>
      <c r="CC34" s="411">
        <f t="shared" si="0"/>
        <v>0</v>
      </c>
      <c r="CD34" s="414"/>
      <c r="CE34" s="415"/>
      <c r="CF34" s="416" t="s">
        <v>157</v>
      </c>
      <c r="CG34" s="416"/>
    </row>
    <row r="35" spans="1:85" s="417" customFormat="1" ht="15" customHeight="1">
      <c r="A35" s="393" t="s">
        <v>228</v>
      </c>
      <c r="B35" s="394" t="s">
        <v>111</v>
      </c>
      <c r="C35" s="395">
        <v>45658</v>
      </c>
      <c r="D35" s="396" t="s">
        <v>179</v>
      </c>
      <c r="E35" s="397" t="s">
        <v>113</v>
      </c>
      <c r="F35" s="397" t="s">
        <v>114</v>
      </c>
      <c r="G35" s="397" t="s">
        <v>229</v>
      </c>
      <c r="H35" s="397" t="s">
        <v>116</v>
      </c>
      <c r="I35" s="397" t="s">
        <v>214</v>
      </c>
      <c r="J35" s="397" t="s">
        <v>116</v>
      </c>
      <c r="K35" s="397" t="b">
        <v>0</v>
      </c>
      <c r="L35" s="397" t="s">
        <v>116</v>
      </c>
      <c r="M35" s="397" t="s">
        <v>116</v>
      </c>
      <c r="N35" s="397" t="s">
        <v>116</v>
      </c>
      <c r="O35" s="397" t="s">
        <v>118</v>
      </c>
      <c r="P35" s="397" t="s">
        <v>224</v>
      </c>
      <c r="Q35" s="397" t="s">
        <v>225</v>
      </c>
      <c r="R35" s="397" t="s">
        <v>116</v>
      </c>
      <c r="S35" s="397" t="s">
        <v>116</v>
      </c>
      <c r="T35" s="397" t="s">
        <v>116</v>
      </c>
      <c r="U35" s="397" t="s">
        <v>116</v>
      </c>
      <c r="V35" s="397" t="s">
        <v>116</v>
      </c>
      <c r="W35" s="397" t="s">
        <v>116</v>
      </c>
      <c r="X35" s="398" t="s">
        <v>230</v>
      </c>
      <c r="Y35" s="399">
        <v>105.92</v>
      </c>
      <c r="Z35" s="398" t="s">
        <v>123</v>
      </c>
      <c r="AA35" s="400">
        <v>1</v>
      </c>
      <c r="AB35" s="401">
        <v>3.18</v>
      </c>
      <c r="AC35" s="402"/>
      <c r="AD35" s="401">
        <v>2.12</v>
      </c>
      <c r="AE35" s="401">
        <v>0</v>
      </c>
      <c r="AF35" s="401">
        <v>0</v>
      </c>
      <c r="AG35" s="401">
        <v>0</v>
      </c>
      <c r="AH35" s="401">
        <v>0</v>
      </c>
      <c r="AI35" s="401">
        <v>0</v>
      </c>
      <c r="AJ35" s="401">
        <v>1.06</v>
      </c>
      <c r="AK35" s="401">
        <v>0</v>
      </c>
      <c r="AL35" s="401">
        <v>0</v>
      </c>
      <c r="AM35" s="401">
        <v>0</v>
      </c>
      <c r="AN35" s="401">
        <v>0</v>
      </c>
      <c r="AO35" s="401">
        <v>0</v>
      </c>
      <c r="AP35" s="401">
        <v>0</v>
      </c>
      <c r="AQ35" s="401">
        <v>0</v>
      </c>
      <c r="AR35" s="401">
        <v>0</v>
      </c>
      <c r="AS35" s="401">
        <v>0</v>
      </c>
      <c r="AT35" s="401">
        <v>0</v>
      </c>
      <c r="AU35" s="401">
        <v>0</v>
      </c>
      <c r="AV35" s="401">
        <v>0</v>
      </c>
      <c r="AW35" s="401">
        <v>0</v>
      </c>
      <c r="AX35" s="401">
        <v>0</v>
      </c>
      <c r="AY35" s="401">
        <v>0</v>
      </c>
      <c r="AZ35" s="401">
        <v>0</v>
      </c>
      <c r="BA35" s="401">
        <v>0</v>
      </c>
      <c r="BB35" s="401">
        <v>0</v>
      </c>
      <c r="BC35" s="401">
        <v>0</v>
      </c>
      <c r="BD35" s="401">
        <v>0</v>
      </c>
      <c r="BE35" s="401">
        <v>0</v>
      </c>
      <c r="BF35" s="401">
        <v>0</v>
      </c>
      <c r="BG35" s="426"/>
      <c r="BH35" s="403" t="s">
        <v>231</v>
      </c>
      <c r="BI35" s="404">
        <v>45998</v>
      </c>
      <c r="BJ35" s="405">
        <v>233.1</v>
      </c>
      <c r="BK35" s="425"/>
      <c r="BL35" s="406"/>
      <c r="BM35" s="407"/>
      <c r="BN35" s="408" t="s">
        <v>124</v>
      </c>
      <c r="BO35" s="409"/>
      <c r="BP35" s="409"/>
      <c r="BQ35" s="409"/>
      <c r="BR35" s="410"/>
      <c r="BS35" s="409"/>
      <c r="BT35" s="409"/>
      <c r="BU35" s="411"/>
      <c r="BV35" s="412"/>
      <c r="BW35" s="413"/>
      <c r="BX35" s="409"/>
      <c r="BY35" s="409"/>
      <c r="BZ35" s="413"/>
      <c r="CA35" s="413"/>
      <c r="CB35" s="413"/>
      <c r="CC35" s="411">
        <f t="shared" si="0"/>
        <v>0</v>
      </c>
      <c r="CD35" s="414"/>
      <c r="CE35" s="415"/>
      <c r="CF35" s="416" t="s">
        <v>166</v>
      </c>
      <c r="CG35" s="416"/>
    </row>
    <row r="36" spans="1:85" s="417" customFormat="1" ht="15" customHeight="1">
      <c r="A36" s="418" t="s">
        <v>228</v>
      </c>
      <c r="B36" s="397" t="s">
        <v>111</v>
      </c>
      <c r="C36" s="419">
        <v>45658</v>
      </c>
      <c r="D36" s="420" t="s">
        <v>179</v>
      </c>
      <c r="E36" s="397" t="s">
        <v>113</v>
      </c>
      <c r="F36" s="420" t="s">
        <v>114</v>
      </c>
      <c r="G36" s="420" t="s">
        <v>229</v>
      </c>
      <c r="H36" s="420" t="s">
        <v>116</v>
      </c>
      <c r="I36" s="420" t="s">
        <v>214</v>
      </c>
      <c r="J36" s="421" t="s">
        <v>116</v>
      </c>
      <c r="K36" s="421" t="b">
        <v>0</v>
      </c>
      <c r="L36" s="421" t="s">
        <v>116</v>
      </c>
      <c r="M36" s="421" t="s">
        <v>116</v>
      </c>
      <c r="N36" s="421" t="s">
        <v>116</v>
      </c>
      <c r="O36" s="421" t="s">
        <v>118</v>
      </c>
      <c r="P36" s="420" t="s">
        <v>224</v>
      </c>
      <c r="Q36" s="420" t="s">
        <v>225</v>
      </c>
      <c r="R36" s="421" t="s">
        <v>116</v>
      </c>
      <c r="S36" s="421" t="s">
        <v>116</v>
      </c>
      <c r="T36" s="421" t="s">
        <v>116</v>
      </c>
      <c r="U36" s="421" t="s">
        <v>116</v>
      </c>
      <c r="V36" s="421" t="s">
        <v>116</v>
      </c>
      <c r="W36" s="421" t="s">
        <v>116</v>
      </c>
      <c r="X36" s="420" t="s">
        <v>230</v>
      </c>
      <c r="Y36" s="399">
        <v>105.92</v>
      </c>
      <c r="Z36" s="420" t="s">
        <v>123</v>
      </c>
      <c r="AA36" s="400">
        <v>1</v>
      </c>
      <c r="AB36" s="401">
        <v>3.18</v>
      </c>
      <c r="AC36" s="402"/>
      <c r="AD36" s="401">
        <v>2.12</v>
      </c>
      <c r="AE36" s="401">
        <v>0</v>
      </c>
      <c r="AF36" s="401">
        <v>0</v>
      </c>
      <c r="AG36" s="401">
        <v>0</v>
      </c>
      <c r="AH36" s="401">
        <v>0</v>
      </c>
      <c r="AI36" s="401">
        <v>0</v>
      </c>
      <c r="AJ36" s="401">
        <v>1.06</v>
      </c>
      <c r="AK36" s="401">
        <v>0</v>
      </c>
      <c r="AL36" s="401">
        <v>0</v>
      </c>
      <c r="AM36" s="401">
        <v>0</v>
      </c>
      <c r="AN36" s="401">
        <v>0</v>
      </c>
      <c r="AO36" s="401">
        <v>0</v>
      </c>
      <c r="AP36" s="401">
        <v>0</v>
      </c>
      <c r="AQ36" s="401">
        <v>0</v>
      </c>
      <c r="AR36" s="401">
        <v>0</v>
      </c>
      <c r="AS36" s="401">
        <v>0</v>
      </c>
      <c r="AT36" s="401">
        <v>0</v>
      </c>
      <c r="AU36" s="401">
        <v>0</v>
      </c>
      <c r="AV36" s="401">
        <v>0</v>
      </c>
      <c r="AW36" s="401">
        <v>0</v>
      </c>
      <c r="AX36" s="401">
        <v>0</v>
      </c>
      <c r="AY36" s="401">
        <v>0</v>
      </c>
      <c r="AZ36" s="401">
        <v>0</v>
      </c>
      <c r="BA36" s="401">
        <v>0</v>
      </c>
      <c r="BB36" s="401">
        <v>0</v>
      </c>
      <c r="BC36" s="401">
        <v>0</v>
      </c>
      <c r="BD36" s="401">
        <v>0</v>
      </c>
      <c r="BE36" s="401">
        <v>0</v>
      </c>
      <c r="BF36" s="401">
        <v>0</v>
      </c>
      <c r="BG36" s="426"/>
      <c r="BH36" s="403" t="s">
        <v>232</v>
      </c>
      <c r="BI36" s="404">
        <v>46022</v>
      </c>
      <c r="BJ36" s="405">
        <v>-95.24</v>
      </c>
      <c r="BK36" s="406"/>
      <c r="BL36" s="406"/>
      <c r="BM36" s="407"/>
      <c r="BN36" s="408" t="s">
        <v>124</v>
      </c>
      <c r="BO36" s="409"/>
      <c r="BP36" s="409"/>
      <c r="BQ36" s="409"/>
      <c r="BR36" s="410"/>
      <c r="BS36" s="409"/>
      <c r="BT36" s="409"/>
      <c r="BU36" s="411"/>
      <c r="BV36" s="412"/>
      <c r="BW36" s="413"/>
      <c r="BX36" s="409"/>
      <c r="BY36" s="409"/>
      <c r="BZ36" s="413"/>
      <c r="CA36" s="413"/>
      <c r="CB36" s="413"/>
      <c r="CC36" s="411">
        <f t="shared" si="0"/>
        <v>0</v>
      </c>
      <c r="CD36" s="414"/>
      <c r="CE36" s="415"/>
      <c r="CF36" s="416" t="s">
        <v>166</v>
      </c>
      <c r="CG36" s="416"/>
    </row>
    <row r="37" spans="1:85" s="417" customFormat="1" ht="15" customHeight="1">
      <c r="A37" s="393" t="s">
        <v>233</v>
      </c>
      <c r="B37" s="394" t="s">
        <v>111</v>
      </c>
      <c r="C37" s="395">
        <v>45658</v>
      </c>
      <c r="D37" s="396" t="s">
        <v>179</v>
      </c>
      <c r="E37" s="397" t="s">
        <v>113</v>
      </c>
      <c r="F37" s="397" t="s">
        <v>114</v>
      </c>
      <c r="G37" s="397" t="s">
        <v>229</v>
      </c>
      <c r="H37" s="397" t="s">
        <v>116</v>
      </c>
      <c r="I37" s="397" t="s">
        <v>214</v>
      </c>
      <c r="J37" s="397" t="s">
        <v>116</v>
      </c>
      <c r="K37" s="397" t="b">
        <v>0</v>
      </c>
      <c r="L37" s="397" t="s">
        <v>116</v>
      </c>
      <c r="M37" s="397" t="s">
        <v>116</v>
      </c>
      <c r="N37" s="397" t="s">
        <v>116</v>
      </c>
      <c r="O37" s="397" t="s">
        <v>118</v>
      </c>
      <c r="P37" s="397" t="s">
        <v>224</v>
      </c>
      <c r="Q37" s="397" t="s">
        <v>225</v>
      </c>
      <c r="R37" s="397" t="s">
        <v>116</v>
      </c>
      <c r="S37" s="397" t="s">
        <v>116</v>
      </c>
      <c r="T37" s="397" t="s">
        <v>116</v>
      </c>
      <c r="U37" s="397" t="s">
        <v>116</v>
      </c>
      <c r="V37" s="397" t="s">
        <v>116</v>
      </c>
      <c r="W37" s="397" t="s">
        <v>116</v>
      </c>
      <c r="X37" s="398" t="s">
        <v>234</v>
      </c>
      <c r="Y37" s="399">
        <v>121.81</v>
      </c>
      <c r="Z37" s="398" t="s">
        <v>123</v>
      </c>
      <c r="AA37" s="400">
        <v>1</v>
      </c>
      <c r="AB37" s="401">
        <v>3.65</v>
      </c>
      <c r="AC37" s="402"/>
      <c r="AD37" s="401">
        <v>2.4300000000000002</v>
      </c>
      <c r="AE37" s="401">
        <v>0</v>
      </c>
      <c r="AF37" s="401">
        <v>0</v>
      </c>
      <c r="AG37" s="401">
        <v>0</v>
      </c>
      <c r="AH37" s="401">
        <v>0</v>
      </c>
      <c r="AI37" s="401">
        <v>0</v>
      </c>
      <c r="AJ37" s="401">
        <v>1.22</v>
      </c>
      <c r="AK37" s="401">
        <v>0</v>
      </c>
      <c r="AL37" s="401">
        <v>0</v>
      </c>
      <c r="AM37" s="401">
        <v>0</v>
      </c>
      <c r="AN37" s="401">
        <v>0</v>
      </c>
      <c r="AO37" s="401">
        <v>0</v>
      </c>
      <c r="AP37" s="401">
        <v>0</v>
      </c>
      <c r="AQ37" s="401">
        <v>0</v>
      </c>
      <c r="AR37" s="401">
        <v>0</v>
      </c>
      <c r="AS37" s="401">
        <v>0</v>
      </c>
      <c r="AT37" s="401">
        <v>0</v>
      </c>
      <c r="AU37" s="401">
        <v>0</v>
      </c>
      <c r="AV37" s="401">
        <v>0</v>
      </c>
      <c r="AW37" s="401">
        <v>0</v>
      </c>
      <c r="AX37" s="401">
        <v>0</v>
      </c>
      <c r="AY37" s="401">
        <v>0</v>
      </c>
      <c r="AZ37" s="401">
        <v>0</v>
      </c>
      <c r="BA37" s="401">
        <v>0</v>
      </c>
      <c r="BB37" s="401">
        <v>0</v>
      </c>
      <c r="BC37" s="401">
        <v>0</v>
      </c>
      <c r="BD37" s="401">
        <v>0</v>
      </c>
      <c r="BE37" s="401">
        <v>0</v>
      </c>
      <c r="BF37" s="401">
        <v>0</v>
      </c>
      <c r="BG37" s="426"/>
      <c r="BH37" s="403" t="s">
        <v>232</v>
      </c>
      <c r="BI37" s="404">
        <v>45998</v>
      </c>
      <c r="BJ37" s="405">
        <v>233.1</v>
      </c>
      <c r="BK37" s="425"/>
      <c r="BL37" s="406"/>
      <c r="BM37" s="407"/>
      <c r="BN37" s="408" t="s">
        <v>124</v>
      </c>
      <c r="BO37" s="409"/>
      <c r="BP37" s="409"/>
      <c r="BQ37" s="409"/>
      <c r="BR37" s="410"/>
      <c r="BS37" s="409"/>
      <c r="BT37" s="409"/>
      <c r="BU37" s="411"/>
      <c r="BV37" s="412"/>
      <c r="BW37" s="413"/>
      <c r="BX37" s="409"/>
      <c r="BY37" s="409"/>
      <c r="BZ37" s="413"/>
      <c r="CA37" s="413"/>
      <c r="CB37" s="413"/>
      <c r="CC37" s="411">
        <f t="shared" si="0"/>
        <v>-2.2204460492503131E-16</v>
      </c>
      <c r="CD37" s="414"/>
      <c r="CE37" s="415"/>
      <c r="CF37" s="416" t="s">
        <v>166</v>
      </c>
      <c r="CG37" s="416"/>
    </row>
    <row r="38" spans="1:85" s="417" customFormat="1" ht="15" customHeight="1">
      <c r="A38" s="418" t="s">
        <v>233</v>
      </c>
      <c r="B38" s="397" t="s">
        <v>111</v>
      </c>
      <c r="C38" s="419">
        <v>45658</v>
      </c>
      <c r="D38" s="420" t="s">
        <v>179</v>
      </c>
      <c r="E38" s="397" t="s">
        <v>113</v>
      </c>
      <c r="F38" s="420" t="s">
        <v>114</v>
      </c>
      <c r="G38" s="420" t="s">
        <v>229</v>
      </c>
      <c r="H38" s="420" t="s">
        <v>116</v>
      </c>
      <c r="I38" s="420" t="s">
        <v>214</v>
      </c>
      <c r="J38" s="421" t="s">
        <v>116</v>
      </c>
      <c r="K38" s="421" t="b">
        <v>0</v>
      </c>
      <c r="L38" s="421" t="s">
        <v>116</v>
      </c>
      <c r="M38" s="421" t="s">
        <v>116</v>
      </c>
      <c r="N38" s="421" t="s">
        <v>116</v>
      </c>
      <c r="O38" s="421" t="s">
        <v>118</v>
      </c>
      <c r="P38" s="420" t="s">
        <v>224</v>
      </c>
      <c r="Q38" s="420" t="s">
        <v>225</v>
      </c>
      <c r="R38" s="421" t="s">
        <v>116</v>
      </c>
      <c r="S38" s="421" t="s">
        <v>116</v>
      </c>
      <c r="T38" s="421" t="s">
        <v>116</v>
      </c>
      <c r="U38" s="421" t="s">
        <v>116</v>
      </c>
      <c r="V38" s="421" t="s">
        <v>116</v>
      </c>
      <c r="W38" s="421" t="s">
        <v>116</v>
      </c>
      <c r="X38" s="420" t="s">
        <v>234</v>
      </c>
      <c r="Y38" s="399">
        <v>121.81</v>
      </c>
      <c r="Z38" s="420" t="s">
        <v>123</v>
      </c>
      <c r="AA38" s="400">
        <v>1</v>
      </c>
      <c r="AB38" s="401">
        <v>3.65</v>
      </c>
      <c r="AC38" s="402"/>
      <c r="AD38" s="401">
        <v>2.4300000000000002</v>
      </c>
      <c r="AE38" s="401">
        <v>0</v>
      </c>
      <c r="AF38" s="401">
        <v>0</v>
      </c>
      <c r="AG38" s="401">
        <v>0</v>
      </c>
      <c r="AH38" s="401">
        <v>0</v>
      </c>
      <c r="AI38" s="401">
        <v>0</v>
      </c>
      <c r="AJ38" s="401">
        <v>1.22</v>
      </c>
      <c r="AK38" s="401">
        <v>0</v>
      </c>
      <c r="AL38" s="401">
        <v>0</v>
      </c>
      <c r="AM38" s="401">
        <v>0</v>
      </c>
      <c r="AN38" s="401">
        <v>0</v>
      </c>
      <c r="AO38" s="401">
        <v>0</v>
      </c>
      <c r="AP38" s="401">
        <v>0</v>
      </c>
      <c r="AQ38" s="401">
        <v>0</v>
      </c>
      <c r="AR38" s="401">
        <v>0</v>
      </c>
      <c r="AS38" s="401">
        <v>0</v>
      </c>
      <c r="AT38" s="401">
        <v>0</v>
      </c>
      <c r="AU38" s="401">
        <v>0</v>
      </c>
      <c r="AV38" s="401">
        <v>0</v>
      </c>
      <c r="AW38" s="401">
        <v>0</v>
      </c>
      <c r="AX38" s="401">
        <v>0</v>
      </c>
      <c r="AY38" s="401">
        <v>0</v>
      </c>
      <c r="AZ38" s="401">
        <v>0</v>
      </c>
      <c r="BA38" s="401">
        <v>0</v>
      </c>
      <c r="BB38" s="401">
        <v>0</v>
      </c>
      <c r="BC38" s="401">
        <v>0</v>
      </c>
      <c r="BD38" s="401">
        <v>0</v>
      </c>
      <c r="BE38" s="401">
        <v>0</v>
      </c>
      <c r="BF38" s="401">
        <v>0</v>
      </c>
      <c r="BG38" s="426"/>
      <c r="BH38" s="403" t="s">
        <v>235</v>
      </c>
      <c r="BI38" s="404">
        <v>46022</v>
      </c>
      <c r="BJ38" s="405">
        <v>-95.24</v>
      </c>
      <c r="BK38" s="406"/>
      <c r="BL38" s="406"/>
      <c r="BM38" s="407"/>
      <c r="BN38" s="408" t="s">
        <v>124</v>
      </c>
      <c r="BO38" s="409"/>
      <c r="BP38" s="409"/>
      <c r="BQ38" s="409"/>
      <c r="BR38" s="410"/>
      <c r="BS38" s="409"/>
      <c r="BT38" s="409"/>
      <c r="BU38" s="411"/>
      <c r="BV38" s="412"/>
      <c r="BW38" s="413"/>
      <c r="BX38" s="409"/>
      <c r="BY38" s="409"/>
      <c r="BZ38" s="413"/>
      <c r="CA38" s="413"/>
      <c r="CB38" s="413"/>
      <c r="CC38" s="411">
        <f t="shared" si="0"/>
        <v>-2.2204460492503131E-16</v>
      </c>
      <c r="CD38" s="414"/>
      <c r="CE38" s="415"/>
      <c r="CF38" s="416" t="s">
        <v>166</v>
      </c>
      <c r="CG38" s="416"/>
    </row>
    <row r="39" spans="1:85" s="417" customFormat="1" ht="15" customHeight="1">
      <c r="A39" s="393" t="s">
        <v>236</v>
      </c>
      <c r="B39" s="394" t="s">
        <v>111</v>
      </c>
      <c r="C39" s="395">
        <v>45658</v>
      </c>
      <c r="D39" s="396" t="s">
        <v>179</v>
      </c>
      <c r="E39" s="397" t="s">
        <v>113</v>
      </c>
      <c r="F39" s="397" t="s">
        <v>114</v>
      </c>
      <c r="G39" s="397" t="s">
        <v>237</v>
      </c>
      <c r="H39" s="397" t="s">
        <v>116</v>
      </c>
      <c r="I39" s="397" t="s">
        <v>214</v>
      </c>
      <c r="J39" s="397" t="s">
        <v>116</v>
      </c>
      <c r="K39" s="397" t="b">
        <v>0</v>
      </c>
      <c r="L39" s="397" t="s">
        <v>116</v>
      </c>
      <c r="M39" s="397" t="s">
        <v>116</v>
      </c>
      <c r="N39" s="397" t="s">
        <v>116</v>
      </c>
      <c r="O39" s="397" t="s">
        <v>118</v>
      </c>
      <c r="P39" s="397" t="s">
        <v>224</v>
      </c>
      <c r="Q39" s="397" t="s">
        <v>225</v>
      </c>
      <c r="R39" s="397" t="s">
        <v>116</v>
      </c>
      <c r="S39" s="397" t="s">
        <v>116</v>
      </c>
      <c r="T39" s="397" t="s">
        <v>116</v>
      </c>
      <c r="U39" s="397" t="s">
        <v>116</v>
      </c>
      <c r="V39" s="397" t="s">
        <v>116</v>
      </c>
      <c r="W39" s="397" t="s">
        <v>116</v>
      </c>
      <c r="X39" s="398" t="s">
        <v>238</v>
      </c>
      <c r="Y39" s="399">
        <v>137.28</v>
      </c>
      <c r="Z39" s="398" t="s">
        <v>123</v>
      </c>
      <c r="AA39" s="400">
        <v>1</v>
      </c>
      <c r="AB39" s="401">
        <v>4.12</v>
      </c>
      <c r="AC39" s="402"/>
      <c r="AD39" s="401">
        <v>2.75</v>
      </c>
      <c r="AE39" s="401">
        <v>0</v>
      </c>
      <c r="AF39" s="401">
        <v>0</v>
      </c>
      <c r="AG39" s="401">
        <v>0</v>
      </c>
      <c r="AH39" s="401">
        <v>0</v>
      </c>
      <c r="AI39" s="401">
        <v>0</v>
      </c>
      <c r="AJ39" s="401">
        <v>1.37</v>
      </c>
      <c r="AK39" s="401">
        <v>0</v>
      </c>
      <c r="AL39" s="401">
        <v>0</v>
      </c>
      <c r="AM39" s="401">
        <v>0</v>
      </c>
      <c r="AN39" s="401">
        <v>0</v>
      </c>
      <c r="AO39" s="401">
        <v>0</v>
      </c>
      <c r="AP39" s="401">
        <v>0</v>
      </c>
      <c r="AQ39" s="401">
        <v>0</v>
      </c>
      <c r="AR39" s="401">
        <v>0</v>
      </c>
      <c r="AS39" s="401">
        <v>0</v>
      </c>
      <c r="AT39" s="401">
        <v>0</v>
      </c>
      <c r="AU39" s="401">
        <v>0</v>
      </c>
      <c r="AV39" s="401">
        <v>0</v>
      </c>
      <c r="AW39" s="401">
        <v>0</v>
      </c>
      <c r="AX39" s="401">
        <v>0</v>
      </c>
      <c r="AY39" s="401">
        <v>0</v>
      </c>
      <c r="AZ39" s="401">
        <v>0</v>
      </c>
      <c r="BA39" s="401">
        <v>0</v>
      </c>
      <c r="BB39" s="401">
        <v>0</v>
      </c>
      <c r="BC39" s="401">
        <v>0</v>
      </c>
      <c r="BD39" s="401">
        <v>0</v>
      </c>
      <c r="BE39" s="401">
        <v>0</v>
      </c>
      <c r="BF39" s="401">
        <v>0</v>
      </c>
      <c r="BG39" s="426"/>
      <c r="BH39" s="403" t="s">
        <v>232</v>
      </c>
      <c r="BI39" s="404">
        <v>46011</v>
      </c>
      <c r="BJ39" s="405">
        <v>504.9</v>
      </c>
      <c r="BK39" s="425"/>
      <c r="BL39" s="406"/>
      <c r="BM39" s="407"/>
      <c r="BN39" s="408" t="s">
        <v>124</v>
      </c>
      <c r="BO39" s="409"/>
      <c r="BP39" s="409"/>
      <c r="BQ39" s="409"/>
      <c r="BR39" s="410"/>
      <c r="BS39" s="409"/>
      <c r="BT39" s="409"/>
      <c r="BU39" s="411"/>
      <c r="BV39" s="412"/>
      <c r="BW39" s="413"/>
      <c r="BX39" s="409"/>
      <c r="BY39" s="409"/>
      <c r="BZ39" s="413"/>
      <c r="CA39" s="413"/>
      <c r="CB39" s="413"/>
      <c r="CC39" s="411">
        <f t="shared" si="0"/>
        <v>0</v>
      </c>
      <c r="CD39" s="414"/>
      <c r="CE39" s="415"/>
      <c r="CF39" s="416" t="s">
        <v>166</v>
      </c>
      <c r="CG39" s="416"/>
    </row>
    <row r="40" spans="1:85" s="417" customFormat="1" ht="15" customHeight="1">
      <c r="A40" s="393" t="s">
        <v>239</v>
      </c>
      <c r="B40" s="394" t="s">
        <v>111</v>
      </c>
      <c r="C40" s="395">
        <v>45658</v>
      </c>
      <c r="D40" s="396" t="s">
        <v>179</v>
      </c>
      <c r="E40" s="397" t="s">
        <v>113</v>
      </c>
      <c r="F40" s="397" t="s">
        <v>114</v>
      </c>
      <c r="G40" s="397" t="s">
        <v>237</v>
      </c>
      <c r="H40" s="397" t="s">
        <v>116</v>
      </c>
      <c r="I40" s="397" t="s">
        <v>214</v>
      </c>
      <c r="J40" s="397" t="s">
        <v>116</v>
      </c>
      <c r="K40" s="397" t="b">
        <v>0</v>
      </c>
      <c r="L40" s="397" t="s">
        <v>116</v>
      </c>
      <c r="M40" s="397" t="s">
        <v>116</v>
      </c>
      <c r="N40" s="397" t="s">
        <v>116</v>
      </c>
      <c r="O40" s="397" t="s">
        <v>118</v>
      </c>
      <c r="P40" s="397" t="s">
        <v>224</v>
      </c>
      <c r="Q40" s="397" t="s">
        <v>225</v>
      </c>
      <c r="R40" s="397" t="s">
        <v>116</v>
      </c>
      <c r="S40" s="397" t="s">
        <v>116</v>
      </c>
      <c r="T40" s="397" t="s">
        <v>116</v>
      </c>
      <c r="U40" s="397" t="s">
        <v>116</v>
      </c>
      <c r="V40" s="397" t="s">
        <v>116</v>
      </c>
      <c r="W40" s="397" t="s">
        <v>116</v>
      </c>
      <c r="X40" s="398" t="s">
        <v>240</v>
      </c>
      <c r="Y40" s="399">
        <v>161.03</v>
      </c>
      <c r="Z40" s="398" t="s">
        <v>123</v>
      </c>
      <c r="AA40" s="400">
        <v>1</v>
      </c>
      <c r="AB40" s="401">
        <v>4.83</v>
      </c>
      <c r="AC40" s="402"/>
      <c r="AD40" s="401">
        <v>3.22</v>
      </c>
      <c r="AE40" s="401">
        <v>0</v>
      </c>
      <c r="AF40" s="401">
        <v>0</v>
      </c>
      <c r="AG40" s="401">
        <v>0</v>
      </c>
      <c r="AH40" s="401">
        <v>0</v>
      </c>
      <c r="AI40" s="401">
        <v>0</v>
      </c>
      <c r="AJ40" s="401">
        <v>1.61</v>
      </c>
      <c r="AK40" s="401">
        <v>0</v>
      </c>
      <c r="AL40" s="401">
        <v>0</v>
      </c>
      <c r="AM40" s="401">
        <v>0</v>
      </c>
      <c r="AN40" s="401">
        <v>0</v>
      </c>
      <c r="AO40" s="401">
        <v>0</v>
      </c>
      <c r="AP40" s="401">
        <v>0</v>
      </c>
      <c r="AQ40" s="401">
        <v>0</v>
      </c>
      <c r="AR40" s="401">
        <v>0</v>
      </c>
      <c r="AS40" s="401">
        <v>0</v>
      </c>
      <c r="AT40" s="401">
        <v>0</v>
      </c>
      <c r="AU40" s="401">
        <v>0</v>
      </c>
      <c r="AV40" s="401">
        <v>0</v>
      </c>
      <c r="AW40" s="401">
        <v>0</v>
      </c>
      <c r="AX40" s="401">
        <v>0</v>
      </c>
      <c r="AY40" s="401">
        <v>0</v>
      </c>
      <c r="AZ40" s="401">
        <v>0</v>
      </c>
      <c r="BA40" s="401">
        <v>0</v>
      </c>
      <c r="BB40" s="401">
        <v>0</v>
      </c>
      <c r="BC40" s="401">
        <v>0</v>
      </c>
      <c r="BD40" s="401">
        <v>0</v>
      </c>
      <c r="BE40" s="401">
        <v>0</v>
      </c>
      <c r="BF40" s="401">
        <v>0</v>
      </c>
      <c r="BG40" s="426"/>
      <c r="BH40" s="403" t="s">
        <v>235</v>
      </c>
      <c r="BI40" s="404">
        <v>46011</v>
      </c>
      <c r="BJ40" s="405">
        <v>504.9</v>
      </c>
      <c r="BK40" s="425"/>
      <c r="BL40" s="406"/>
      <c r="BM40" s="407"/>
      <c r="BN40" s="408" t="s">
        <v>124</v>
      </c>
      <c r="BO40" s="409"/>
      <c r="BP40" s="409"/>
      <c r="BQ40" s="409"/>
      <c r="BR40" s="410"/>
      <c r="BS40" s="409"/>
      <c r="BT40" s="409"/>
      <c r="BU40" s="411"/>
      <c r="BV40" s="412"/>
      <c r="BW40" s="413"/>
      <c r="BX40" s="409"/>
      <c r="BY40" s="409"/>
      <c r="BZ40" s="413"/>
      <c r="CA40" s="413"/>
      <c r="CB40" s="413"/>
      <c r="CC40" s="411">
        <f t="shared" si="0"/>
        <v>-2.2204460492503131E-16</v>
      </c>
      <c r="CD40" s="414"/>
      <c r="CE40" s="415"/>
      <c r="CF40" s="416" t="s">
        <v>166</v>
      </c>
      <c r="CG40" s="416"/>
    </row>
    <row r="41" spans="1:85" s="417" customFormat="1" ht="15" customHeight="1">
      <c r="A41" s="393" t="s">
        <v>241</v>
      </c>
      <c r="B41" s="394" t="s">
        <v>111</v>
      </c>
      <c r="C41" s="395">
        <v>45505</v>
      </c>
      <c r="D41" s="396" t="s">
        <v>179</v>
      </c>
      <c r="E41" s="397" t="s">
        <v>113</v>
      </c>
      <c r="F41" s="397" t="s">
        <v>114</v>
      </c>
      <c r="G41" s="397" t="s">
        <v>153</v>
      </c>
      <c r="H41" s="397" t="s">
        <v>116</v>
      </c>
      <c r="I41" s="397" t="s">
        <v>223</v>
      </c>
      <c r="J41" s="397" t="s">
        <v>116</v>
      </c>
      <c r="K41" s="397" t="b">
        <v>0</v>
      </c>
      <c r="L41" s="397" t="s">
        <v>116</v>
      </c>
      <c r="M41" s="397" t="s">
        <v>116</v>
      </c>
      <c r="N41" s="397" t="s">
        <v>116</v>
      </c>
      <c r="O41" s="397" t="s">
        <v>118</v>
      </c>
      <c r="P41" s="397" t="s">
        <v>224</v>
      </c>
      <c r="Q41" s="397" t="s">
        <v>225</v>
      </c>
      <c r="R41" s="397" t="s">
        <v>116</v>
      </c>
      <c r="S41" s="397" t="s">
        <v>116</v>
      </c>
      <c r="T41" s="397" t="s">
        <v>116</v>
      </c>
      <c r="U41" s="397" t="s">
        <v>116</v>
      </c>
      <c r="V41" s="397" t="s">
        <v>116</v>
      </c>
      <c r="W41" s="397" t="s">
        <v>116</v>
      </c>
      <c r="X41" s="398" t="s">
        <v>242</v>
      </c>
      <c r="Y41" s="399">
        <v>90.01</v>
      </c>
      <c r="Z41" s="398" t="s">
        <v>123</v>
      </c>
      <c r="AA41" s="400">
        <v>1</v>
      </c>
      <c r="AB41" s="401">
        <v>26.11</v>
      </c>
      <c r="AC41" s="402"/>
      <c r="AD41" s="401">
        <v>3.6</v>
      </c>
      <c r="AE41" s="401">
        <v>0</v>
      </c>
      <c r="AF41" s="401">
        <v>0</v>
      </c>
      <c r="AG41" s="401">
        <v>0</v>
      </c>
      <c r="AH41" s="401">
        <v>0</v>
      </c>
      <c r="AI41" s="401">
        <v>0</v>
      </c>
      <c r="AJ41" s="401">
        <v>0.9</v>
      </c>
      <c r="AK41" s="401">
        <v>21.61</v>
      </c>
      <c r="AL41" s="401">
        <v>0</v>
      </c>
      <c r="AM41" s="401">
        <v>0</v>
      </c>
      <c r="AN41" s="401">
        <v>0</v>
      </c>
      <c r="AO41" s="401">
        <v>0</v>
      </c>
      <c r="AP41" s="401">
        <v>0</v>
      </c>
      <c r="AQ41" s="401">
        <v>0</v>
      </c>
      <c r="AR41" s="401">
        <v>0</v>
      </c>
      <c r="AS41" s="401">
        <v>0</v>
      </c>
      <c r="AT41" s="401">
        <v>0</v>
      </c>
      <c r="AU41" s="401">
        <v>0</v>
      </c>
      <c r="AV41" s="401">
        <v>0</v>
      </c>
      <c r="AW41" s="401">
        <v>0</v>
      </c>
      <c r="AX41" s="401">
        <v>0</v>
      </c>
      <c r="AY41" s="401">
        <v>0</v>
      </c>
      <c r="AZ41" s="401">
        <v>0</v>
      </c>
      <c r="BA41" s="401">
        <v>0</v>
      </c>
      <c r="BB41" s="401">
        <v>0</v>
      </c>
      <c r="BC41" s="401">
        <v>0</v>
      </c>
      <c r="BD41" s="401">
        <v>0</v>
      </c>
      <c r="BE41" s="401">
        <v>0</v>
      </c>
      <c r="BF41" s="401">
        <v>0</v>
      </c>
      <c r="BG41" s="426"/>
      <c r="BH41" s="403" t="s">
        <v>227</v>
      </c>
      <c r="BI41" s="404">
        <v>46011</v>
      </c>
      <c r="BJ41" s="405">
        <v>504.9</v>
      </c>
      <c r="BK41" s="425"/>
      <c r="BL41" s="406"/>
      <c r="BM41" s="407"/>
      <c r="BN41" s="408" t="s">
        <v>124</v>
      </c>
      <c r="BO41" s="409"/>
      <c r="BP41" s="409"/>
      <c r="BQ41" s="409"/>
      <c r="BR41" s="410"/>
      <c r="BS41" s="409"/>
      <c r="BT41" s="409"/>
      <c r="BU41" s="411"/>
      <c r="BV41" s="412"/>
      <c r="BW41" s="413"/>
      <c r="BX41" s="409"/>
      <c r="BY41" s="409"/>
      <c r="BZ41" s="413"/>
      <c r="CA41" s="413"/>
      <c r="CB41" s="413"/>
      <c r="CC41" s="411">
        <f t="shared" si="0"/>
        <v>0</v>
      </c>
      <c r="CD41" s="414"/>
      <c r="CE41" s="415"/>
      <c r="CF41" s="416" t="s">
        <v>157</v>
      </c>
      <c r="CG41" s="416"/>
    </row>
    <row r="42" spans="1:85" s="417" customFormat="1" ht="15" customHeight="1">
      <c r="A42" s="393" t="s">
        <v>243</v>
      </c>
      <c r="B42" s="394" t="s">
        <v>111</v>
      </c>
      <c r="C42" s="395">
        <v>45809</v>
      </c>
      <c r="D42" s="396" t="s">
        <v>179</v>
      </c>
      <c r="E42" s="397" t="s">
        <v>113</v>
      </c>
      <c r="F42" s="397" t="s">
        <v>114</v>
      </c>
      <c r="G42" s="397" t="s">
        <v>244</v>
      </c>
      <c r="H42" s="397" t="s">
        <v>116</v>
      </c>
      <c r="I42" s="397" t="s">
        <v>116</v>
      </c>
      <c r="J42" s="397" t="s">
        <v>116</v>
      </c>
      <c r="K42" s="397" t="b">
        <v>0</v>
      </c>
      <c r="L42" s="397" t="s">
        <v>116</v>
      </c>
      <c r="M42" s="397" t="s">
        <v>116</v>
      </c>
      <c r="N42" s="397" t="s">
        <v>116</v>
      </c>
      <c r="O42" s="397" t="s">
        <v>118</v>
      </c>
      <c r="P42" s="397" t="s">
        <v>224</v>
      </c>
      <c r="Q42" s="397" t="s">
        <v>245</v>
      </c>
      <c r="R42" s="397" t="s">
        <v>116</v>
      </c>
      <c r="S42" s="397" t="s">
        <v>116</v>
      </c>
      <c r="T42" s="397" t="s">
        <v>116</v>
      </c>
      <c r="U42" s="397" t="s">
        <v>116</v>
      </c>
      <c r="V42" s="397" t="s">
        <v>116</v>
      </c>
      <c r="W42" s="397" t="s">
        <v>116</v>
      </c>
      <c r="X42" s="398" t="s">
        <v>246</v>
      </c>
      <c r="Y42" s="399">
        <v>147.62</v>
      </c>
      <c r="Z42" s="398" t="s">
        <v>247</v>
      </c>
      <c r="AA42" s="400">
        <v>1</v>
      </c>
      <c r="AB42" s="401">
        <v>117.4</v>
      </c>
      <c r="AC42" s="402"/>
      <c r="AD42" s="401">
        <v>14.08</v>
      </c>
      <c r="AE42" s="401">
        <v>0</v>
      </c>
      <c r="AF42" s="401">
        <v>0</v>
      </c>
      <c r="AG42" s="401">
        <v>0</v>
      </c>
      <c r="AH42" s="401">
        <v>0</v>
      </c>
      <c r="AI42" s="401">
        <v>0</v>
      </c>
      <c r="AJ42" s="401">
        <v>4.7</v>
      </c>
      <c r="AK42" s="401">
        <v>98.62</v>
      </c>
      <c r="AL42" s="401">
        <v>0</v>
      </c>
      <c r="AM42" s="401">
        <v>0</v>
      </c>
      <c r="AN42" s="401">
        <v>0</v>
      </c>
      <c r="AO42" s="401">
        <v>0</v>
      </c>
      <c r="AP42" s="401">
        <v>0</v>
      </c>
      <c r="AQ42" s="401">
        <v>0</v>
      </c>
      <c r="AR42" s="401">
        <v>0</v>
      </c>
      <c r="AS42" s="401">
        <v>0</v>
      </c>
      <c r="AT42" s="401">
        <v>0</v>
      </c>
      <c r="AU42" s="401">
        <v>0</v>
      </c>
      <c r="AV42" s="401">
        <v>0</v>
      </c>
      <c r="AW42" s="401">
        <v>0</v>
      </c>
      <c r="AX42" s="401">
        <v>0</v>
      </c>
      <c r="AY42" s="401">
        <v>0</v>
      </c>
      <c r="AZ42" s="401">
        <v>0</v>
      </c>
      <c r="BA42" s="401">
        <v>0</v>
      </c>
      <c r="BB42" s="401">
        <v>0</v>
      </c>
      <c r="BC42" s="401">
        <v>0</v>
      </c>
      <c r="BD42" s="401">
        <v>0</v>
      </c>
      <c r="BE42" s="401">
        <v>0</v>
      </c>
      <c r="BF42" s="401">
        <v>0</v>
      </c>
      <c r="BG42" s="426"/>
      <c r="BH42" s="403" t="s">
        <v>248</v>
      </c>
      <c r="BI42" s="404">
        <v>46011</v>
      </c>
      <c r="BJ42" s="405">
        <v>504.9</v>
      </c>
      <c r="BK42" s="425"/>
      <c r="BL42" s="406"/>
      <c r="BM42" s="407"/>
      <c r="BN42" s="408" t="s">
        <v>124</v>
      </c>
      <c r="BO42" s="409"/>
      <c r="BP42" s="409"/>
      <c r="BQ42" s="409"/>
      <c r="BR42" s="410"/>
      <c r="BS42" s="409"/>
      <c r="BT42" s="409"/>
      <c r="BU42" s="411"/>
      <c r="BV42" s="412"/>
      <c r="BW42" s="413"/>
      <c r="BX42" s="409"/>
      <c r="BY42" s="409"/>
      <c r="BZ42" s="413"/>
      <c r="CA42" s="413"/>
      <c r="CB42" s="413"/>
      <c r="CC42" s="411">
        <f t="shared" si="0"/>
        <v>0</v>
      </c>
      <c r="CD42" s="414"/>
      <c r="CE42" s="415"/>
      <c r="CF42" s="416" t="s">
        <v>166</v>
      </c>
      <c r="CG42" s="416"/>
    </row>
    <row r="43" spans="1:85" s="417" customFormat="1" ht="15" customHeight="1">
      <c r="A43" s="393" t="s">
        <v>249</v>
      </c>
      <c r="B43" s="394" t="s">
        <v>111</v>
      </c>
      <c r="C43" s="395">
        <v>45658</v>
      </c>
      <c r="D43" s="396" t="s">
        <v>250</v>
      </c>
      <c r="E43" s="397" t="s">
        <v>113</v>
      </c>
      <c r="F43" s="397" t="s">
        <v>114</v>
      </c>
      <c r="G43" s="397" t="s">
        <v>115</v>
      </c>
      <c r="H43" s="397" t="s">
        <v>116</v>
      </c>
      <c r="I43" s="397" t="s">
        <v>116</v>
      </c>
      <c r="J43" s="397" t="s">
        <v>116</v>
      </c>
      <c r="K43" s="397" t="b">
        <v>0</v>
      </c>
      <c r="L43" s="397" t="s">
        <v>116</v>
      </c>
      <c r="M43" s="397" t="s">
        <v>116</v>
      </c>
      <c r="N43" s="397" t="s">
        <v>116</v>
      </c>
      <c r="O43" s="397" t="s">
        <v>118</v>
      </c>
      <c r="P43" s="397" t="s">
        <v>224</v>
      </c>
      <c r="Q43" s="397" t="s">
        <v>251</v>
      </c>
      <c r="R43" s="397" t="s">
        <v>116</v>
      </c>
      <c r="S43" s="397" t="s">
        <v>116</v>
      </c>
      <c r="T43" s="397" t="s">
        <v>116</v>
      </c>
      <c r="U43" s="397" t="s">
        <v>116</v>
      </c>
      <c r="V43" s="397" t="s">
        <v>116</v>
      </c>
      <c r="W43" s="397" t="s">
        <v>116</v>
      </c>
      <c r="X43" s="398" t="s">
        <v>252</v>
      </c>
      <c r="Y43" s="399" t="s">
        <v>116</v>
      </c>
      <c r="Z43" s="398" t="s">
        <v>116</v>
      </c>
      <c r="AA43" s="400">
        <v>1</v>
      </c>
      <c r="AB43" s="401">
        <v>6.12</v>
      </c>
      <c r="AC43" s="402"/>
      <c r="AD43" s="401">
        <v>4.08</v>
      </c>
      <c r="AE43" s="401">
        <v>0</v>
      </c>
      <c r="AF43" s="401">
        <v>0</v>
      </c>
      <c r="AG43" s="401">
        <v>0</v>
      </c>
      <c r="AH43" s="401">
        <v>0</v>
      </c>
      <c r="AI43" s="401">
        <v>0</v>
      </c>
      <c r="AJ43" s="401">
        <v>2.04</v>
      </c>
      <c r="AK43" s="401">
        <v>0</v>
      </c>
      <c r="AL43" s="401">
        <v>0</v>
      </c>
      <c r="AM43" s="401">
        <v>0</v>
      </c>
      <c r="AN43" s="401">
        <v>0</v>
      </c>
      <c r="AO43" s="401">
        <v>0</v>
      </c>
      <c r="AP43" s="401">
        <v>0</v>
      </c>
      <c r="AQ43" s="401">
        <v>0</v>
      </c>
      <c r="AR43" s="401">
        <v>0</v>
      </c>
      <c r="AS43" s="401">
        <v>0</v>
      </c>
      <c r="AT43" s="401">
        <v>0</v>
      </c>
      <c r="AU43" s="401">
        <v>0</v>
      </c>
      <c r="AV43" s="401">
        <v>0</v>
      </c>
      <c r="AW43" s="401">
        <v>0</v>
      </c>
      <c r="AX43" s="401">
        <v>0</v>
      </c>
      <c r="AY43" s="401">
        <v>0</v>
      </c>
      <c r="AZ43" s="401">
        <v>0</v>
      </c>
      <c r="BA43" s="401">
        <v>0</v>
      </c>
      <c r="BB43" s="401">
        <v>0</v>
      </c>
      <c r="BC43" s="401">
        <v>0</v>
      </c>
      <c r="BD43" s="401">
        <v>0</v>
      </c>
      <c r="BE43" s="401">
        <v>0</v>
      </c>
      <c r="BF43" s="401">
        <v>0</v>
      </c>
      <c r="BG43" s="426"/>
      <c r="BH43" s="403" t="s">
        <v>232</v>
      </c>
      <c r="BI43" s="404">
        <v>46004</v>
      </c>
      <c r="BJ43" s="405">
        <v>16.600000000000001</v>
      </c>
      <c r="BK43" s="406"/>
      <c r="BL43" s="406"/>
      <c r="BM43" s="407"/>
      <c r="BN43" s="408" t="s">
        <v>124</v>
      </c>
      <c r="BO43" s="409"/>
      <c r="BP43" s="409"/>
      <c r="BQ43" s="409"/>
      <c r="BR43" s="410"/>
      <c r="BS43" s="409"/>
      <c r="BT43" s="409"/>
      <c r="BU43" s="411"/>
      <c r="BV43" s="412"/>
      <c r="BW43" s="413"/>
      <c r="BX43" s="409"/>
      <c r="BY43" s="409"/>
      <c r="BZ43" s="413"/>
      <c r="CA43" s="413"/>
      <c r="CB43" s="413"/>
      <c r="CC43" s="411">
        <f t="shared" si="0"/>
        <v>0</v>
      </c>
      <c r="CD43" s="414"/>
      <c r="CE43" s="415"/>
      <c r="CF43" s="416" t="s">
        <v>166</v>
      </c>
      <c r="CG43" s="416"/>
    </row>
    <row r="44" spans="1:85" s="417" customFormat="1" ht="15" customHeight="1">
      <c r="A44" s="393" t="s">
        <v>253</v>
      </c>
      <c r="B44" s="394" t="s">
        <v>111</v>
      </c>
      <c r="C44" s="395">
        <v>45658</v>
      </c>
      <c r="D44" s="396" t="s">
        <v>250</v>
      </c>
      <c r="E44" s="397" t="s">
        <v>113</v>
      </c>
      <c r="F44" s="397" t="s">
        <v>114</v>
      </c>
      <c r="G44" s="397" t="s">
        <v>115</v>
      </c>
      <c r="H44" s="397" t="s">
        <v>116</v>
      </c>
      <c r="I44" s="397" t="s">
        <v>116</v>
      </c>
      <c r="J44" s="397" t="s">
        <v>116</v>
      </c>
      <c r="K44" s="397" t="b">
        <v>0</v>
      </c>
      <c r="L44" s="397" t="s">
        <v>116</v>
      </c>
      <c r="M44" s="397" t="s">
        <v>116</v>
      </c>
      <c r="N44" s="397" t="s">
        <v>116</v>
      </c>
      <c r="O44" s="397" t="s">
        <v>118</v>
      </c>
      <c r="P44" s="397" t="s">
        <v>224</v>
      </c>
      <c r="Q44" s="397" t="s">
        <v>251</v>
      </c>
      <c r="R44" s="397" t="s">
        <v>116</v>
      </c>
      <c r="S44" s="397" t="s">
        <v>116</v>
      </c>
      <c r="T44" s="397" t="s">
        <v>116</v>
      </c>
      <c r="U44" s="397" t="s">
        <v>116</v>
      </c>
      <c r="V44" s="397" t="s">
        <v>116</v>
      </c>
      <c r="W44" s="397" t="s">
        <v>116</v>
      </c>
      <c r="X44" s="398" t="s">
        <v>254</v>
      </c>
      <c r="Y44" s="399" t="s">
        <v>116</v>
      </c>
      <c r="Z44" s="398" t="s">
        <v>116</v>
      </c>
      <c r="AA44" s="400">
        <v>1</v>
      </c>
      <c r="AB44" s="401">
        <v>4.5</v>
      </c>
      <c r="AC44" s="402"/>
      <c r="AD44" s="401">
        <v>3</v>
      </c>
      <c r="AE44" s="401">
        <v>0</v>
      </c>
      <c r="AF44" s="401">
        <v>0</v>
      </c>
      <c r="AG44" s="401">
        <v>0</v>
      </c>
      <c r="AH44" s="401">
        <v>0</v>
      </c>
      <c r="AI44" s="401">
        <v>0</v>
      </c>
      <c r="AJ44" s="401">
        <v>1.5</v>
      </c>
      <c r="AK44" s="401">
        <v>0</v>
      </c>
      <c r="AL44" s="401">
        <v>0</v>
      </c>
      <c r="AM44" s="401">
        <v>0</v>
      </c>
      <c r="AN44" s="401">
        <v>0</v>
      </c>
      <c r="AO44" s="401">
        <v>0</v>
      </c>
      <c r="AP44" s="401">
        <v>0</v>
      </c>
      <c r="AQ44" s="401">
        <v>0</v>
      </c>
      <c r="AR44" s="401">
        <v>0</v>
      </c>
      <c r="AS44" s="401">
        <v>0</v>
      </c>
      <c r="AT44" s="401">
        <v>0</v>
      </c>
      <c r="AU44" s="401">
        <v>0</v>
      </c>
      <c r="AV44" s="401">
        <v>0</v>
      </c>
      <c r="AW44" s="401">
        <v>0</v>
      </c>
      <c r="AX44" s="401">
        <v>0</v>
      </c>
      <c r="AY44" s="401">
        <v>0</v>
      </c>
      <c r="AZ44" s="401">
        <v>0</v>
      </c>
      <c r="BA44" s="401">
        <v>0</v>
      </c>
      <c r="BB44" s="401">
        <v>0</v>
      </c>
      <c r="BC44" s="401">
        <v>0</v>
      </c>
      <c r="BD44" s="401">
        <v>0</v>
      </c>
      <c r="BE44" s="401">
        <v>0</v>
      </c>
      <c r="BF44" s="401">
        <v>0</v>
      </c>
      <c r="BG44" s="426"/>
      <c r="BH44" s="403" t="s">
        <v>232</v>
      </c>
      <c r="BI44" s="404">
        <v>46004</v>
      </c>
      <c r="BJ44" s="405">
        <v>16.600000000000001</v>
      </c>
      <c r="BK44" s="425"/>
      <c r="BL44" s="406"/>
      <c r="BM44" s="407"/>
      <c r="BN44" s="408" t="s">
        <v>124</v>
      </c>
      <c r="BO44" s="409"/>
      <c r="BP44" s="409"/>
      <c r="BQ44" s="409"/>
      <c r="BR44" s="410"/>
      <c r="BS44" s="409"/>
      <c r="BT44" s="409"/>
      <c r="BU44" s="411"/>
      <c r="BV44" s="412"/>
      <c r="BW44" s="413"/>
      <c r="BX44" s="409"/>
      <c r="BY44" s="409"/>
      <c r="BZ44" s="413"/>
      <c r="CA44" s="413"/>
      <c r="CB44" s="413"/>
      <c r="CC44" s="411">
        <f t="shared" ref="CC44:CC75" si="1">+AB44-AD44-AE44-AF44-AG44-AH44-AI44-AJ44-AK44-AL44-AM44-AN44-AO44-AP44-AQ44-AR44-AS44-AT44-AU44-AV44-AW44-AX44-AY44-AZ44-BA44-BB44-BC44-BD44-BE44-BF44</f>
        <v>0</v>
      </c>
      <c r="CD44" s="414"/>
      <c r="CE44" s="415"/>
      <c r="CF44" s="416" t="s">
        <v>166</v>
      </c>
      <c r="CG44" s="416"/>
    </row>
    <row r="45" spans="1:85" s="417" customFormat="1" ht="15" customHeight="1">
      <c r="A45" s="418" t="s">
        <v>255</v>
      </c>
      <c r="B45" s="397" t="s">
        <v>111</v>
      </c>
      <c r="C45" s="419">
        <v>45839</v>
      </c>
      <c r="D45" s="420" t="s">
        <v>179</v>
      </c>
      <c r="E45" s="397" t="s">
        <v>113</v>
      </c>
      <c r="F45" s="420" t="s">
        <v>114</v>
      </c>
      <c r="G45" s="420"/>
      <c r="H45" s="420"/>
      <c r="I45" s="420"/>
      <c r="J45" s="421"/>
      <c r="K45" s="421"/>
      <c r="L45" s="421"/>
      <c r="M45" s="421"/>
      <c r="N45" s="397" t="s">
        <v>118</v>
      </c>
      <c r="O45" s="397" t="s">
        <v>256</v>
      </c>
      <c r="P45" s="397" t="s">
        <v>257</v>
      </c>
      <c r="Q45" s="420" t="s">
        <v>258</v>
      </c>
      <c r="R45" s="421"/>
      <c r="S45" s="421"/>
      <c r="T45" s="421"/>
      <c r="U45" s="421"/>
      <c r="V45" s="421"/>
      <c r="W45" s="421"/>
      <c r="X45" s="420" t="s">
        <v>259</v>
      </c>
      <c r="Y45" s="399"/>
      <c r="Z45" s="420"/>
      <c r="AA45" s="400">
        <v>1</v>
      </c>
      <c r="AB45" s="401">
        <v>15.11</v>
      </c>
      <c r="AC45" s="402"/>
      <c r="AD45" s="401">
        <v>10.07</v>
      </c>
      <c r="AE45" s="401">
        <v>0</v>
      </c>
      <c r="AF45" s="401">
        <v>0</v>
      </c>
      <c r="AG45" s="401">
        <v>0</v>
      </c>
      <c r="AH45" s="401">
        <v>0</v>
      </c>
      <c r="AI45" s="401">
        <v>2.52</v>
      </c>
      <c r="AJ45" s="401">
        <v>2.52</v>
      </c>
      <c r="AK45" s="401">
        <v>0</v>
      </c>
      <c r="AL45" s="401">
        <v>0</v>
      </c>
      <c r="AM45" s="401">
        <v>0</v>
      </c>
      <c r="AN45" s="401">
        <v>0</v>
      </c>
      <c r="AO45" s="401">
        <v>0</v>
      </c>
      <c r="AP45" s="401">
        <v>0</v>
      </c>
      <c r="AQ45" s="401">
        <v>0</v>
      </c>
      <c r="AR45" s="401">
        <v>0</v>
      </c>
      <c r="AS45" s="401">
        <v>0</v>
      </c>
      <c r="AT45" s="401">
        <v>0</v>
      </c>
      <c r="AU45" s="401">
        <v>0</v>
      </c>
      <c r="AV45" s="401">
        <v>0</v>
      </c>
      <c r="AW45" s="401">
        <v>0</v>
      </c>
      <c r="AX45" s="401">
        <v>0</v>
      </c>
      <c r="AY45" s="401">
        <v>0</v>
      </c>
      <c r="AZ45" s="401">
        <v>0</v>
      </c>
      <c r="BA45" s="401">
        <v>0</v>
      </c>
      <c r="BB45" s="401">
        <v>0</v>
      </c>
      <c r="BC45" s="401">
        <v>0</v>
      </c>
      <c r="BD45" s="401">
        <v>0</v>
      </c>
      <c r="BE45" s="401">
        <v>0</v>
      </c>
      <c r="BF45" s="401">
        <v>0</v>
      </c>
      <c r="BG45" s="426"/>
      <c r="BH45" s="403" t="s">
        <v>260</v>
      </c>
      <c r="BI45" s="404">
        <v>46022</v>
      </c>
      <c r="BJ45" s="405">
        <v>-95.24</v>
      </c>
      <c r="BK45" s="406"/>
      <c r="BL45" s="406"/>
      <c r="BM45" s="407"/>
      <c r="BN45" s="408" t="s">
        <v>124</v>
      </c>
      <c r="BO45" s="409"/>
      <c r="BP45" s="409"/>
      <c r="BQ45" s="409"/>
      <c r="BR45" s="410"/>
      <c r="BS45" s="409"/>
      <c r="BT45" s="409"/>
      <c r="BU45" s="411"/>
      <c r="BV45" s="412"/>
      <c r="BW45" s="413"/>
      <c r="BX45" s="409"/>
      <c r="BY45" s="409"/>
      <c r="BZ45" s="413"/>
      <c r="CA45" s="413"/>
      <c r="CB45" s="413"/>
      <c r="CC45" s="411">
        <f t="shared" si="1"/>
        <v>-8.8817841970012523E-16</v>
      </c>
      <c r="CD45" s="414"/>
      <c r="CE45" s="415"/>
      <c r="CF45" s="416" t="s">
        <v>166</v>
      </c>
      <c r="CG45" s="416"/>
    </row>
    <row r="46" spans="1:85" s="417" customFormat="1" ht="15" customHeight="1">
      <c r="A46" s="393" t="s">
        <v>261</v>
      </c>
      <c r="B46" s="394" t="s">
        <v>111</v>
      </c>
      <c r="C46" s="395">
        <v>45839</v>
      </c>
      <c r="D46" s="396" t="s">
        <v>179</v>
      </c>
      <c r="E46" s="397" t="s">
        <v>113</v>
      </c>
      <c r="F46" s="397" t="s">
        <v>114</v>
      </c>
      <c r="G46" s="397"/>
      <c r="H46" s="397"/>
      <c r="I46" s="397"/>
      <c r="J46" s="397"/>
      <c r="K46" s="397"/>
      <c r="L46" s="397"/>
      <c r="M46" s="397"/>
      <c r="N46" s="397" t="s">
        <v>118</v>
      </c>
      <c r="O46" s="397" t="s">
        <v>256</v>
      </c>
      <c r="P46" s="397" t="s">
        <v>257</v>
      </c>
      <c r="Q46" s="397" t="s">
        <v>258</v>
      </c>
      <c r="R46" s="397"/>
      <c r="S46" s="397"/>
      <c r="T46" s="397"/>
      <c r="U46" s="397"/>
      <c r="V46" s="397"/>
      <c r="W46" s="397"/>
      <c r="X46" s="398" t="s">
        <v>262</v>
      </c>
      <c r="Y46" s="399"/>
      <c r="Z46" s="398"/>
      <c r="AA46" s="400">
        <v>1</v>
      </c>
      <c r="AB46" s="401">
        <v>17.989999999999998</v>
      </c>
      <c r="AC46" s="402"/>
      <c r="AD46" s="401">
        <v>11.99</v>
      </c>
      <c r="AE46" s="401">
        <v>0</v>
      </c>
      <c r="AF46" s="401">
        <v>0</v>
      </c>
      <c r="AG46" s="401">
        <v>0</v>
      </c>
      <c r="AH46" s="401">
        <v>0</v>
      </c>
      <c r="AI46" s="401">
        <v>3</v>
      </c>
      <c r="AJ46" s="401">
        <v>3</v>
      </c>
      <c r="AK46" s="401">
        <v>0</v>
      </c>
      <c r="AL46" s="401">
        <v>0</v>
      </c>
      <c r="AM46" s="401">
        <v>0</v>
      </c>
      <c r="AN46" s="401">
        <v>0</v>
      </c>
      <c r="AO46" s="401">
        <v>0</v>
      </c>
      <c r="AP46" s="401">
        <v>0</v>
      </c>
      <c r="AQ46" s="401">
        <v>0</v>
      </c>
      <c r="AR46" s="401">
        <v>0</v>
      </c>
      <c r="AS46" s="401">
        <v>0</v>
      </c>
      <c r="AT46" s="401">
        <v>0</v>
      </c>
      <c r="AU46" s="401">
        <v>0</v>
      </c>
      <c r="AV46" s="401">
        <v>0</v>
      </c>
      <c r="AW46" s="401">
        <v>0</v>
      </c>
      <c r="AX46" s="401">
        <v>0</v>
      </c>
      <c r="AY46" s="401">
        <v>0</v>
      </c>
      <c r="AZ46" s="401">
        <v>0</v>
      </c>
      <c r="BA46" s="401">
        <v>0</v>
      </c>
      <c r="BB46" s="401">
        <v>0</v>
      </c>
      <c r="BC46" s="401">
        <v>0</v>
      </c>
      <c r="BD46" s="401">
        <v>0</v>
      </c>
      <c r="BE46" s="401">
        <v>0</v>
      </c>
      <c r="BF46" s="401">
        <v>0</v>
      </c>
      <c r="BG46" s="426"/>
      <c r="BH46" s="403" t="s">
        <v>260</v>
      </c>
      <c r="BI46" s="404">
        <v>46022</v>
      </c>
      <c r="BJ46" s="405">
        <v>-95.24</v>
      </c>
      <c r="BK46" s="425"/>
      <c r="BL46" s="406"/>
      <c r="BM46" s="407"/>
      <c r="BN46" s="408" t="s">
        <v>124</v>
      </c>
      <c r="BO46" s="409"/>
      <c r="BP46" s="409"/>
      <c r="BQ46" s="409"/>
      <c r="BR46" s="410"/>
      <c r="BS46" s="409"/>
      <c r="BT46" s="409"/>
      <c r="BU46" s="411"/>
      <c r="BV46" s="412"/>
      <c r="BW46" s="413"/>
      <c r="BX46" s="409"/>
      <c r="BY46" s="409"/>
      <c r="BZ46" s="413"/>
      <c r="CA46" s="413"/>
      <c r="CB46" s="413"/>
      <c r="CC46" s="411">
        <f t="shared" si="1"/>
        <v>-1.7763568394002505E-15</v>
      </c>
      <c r="CD46" s="414"/>
      <c r="CE46" s="415"/>
      <c r="CF46" s="416" t="s">
        <v>166</v>
      </c>
      <c r="CG46" s="416"/>
    </row>
    <row r="47" spans="1:85" s="417" customFormat="1" ht="15" customHeight="1">
      <c r="A47" s="427" t="s">
        <v>263</v>
      </c>
      <c r="B47" s="428" t="s">
        <v>111</v>
      </c>
      <c r="C47" s="429">
        <v>45809</v>
      </c>
      <c r="D47" s="430" t="s">
        <v>179</v>
      </c>
      <c r="E47" s="431" t="s">
        <v>113</v>
      </c>
      <c r="F47" s="431" t="s">
        <v>114</v>
      </c>
      <c r="G47" s="431" t="s">
        <v>130</v>
      </c>
      <c r="H47" s="431" t="s">
        <v>116</v>
      </c>
      <c r="I47" s="431" t="s">
        <v>116</v>
      </c>
      <c r="J47" s="432" t="s">
        <v>116</v>
      </c>
      <c r="K47" s="431" t="b">
        <v>0</v>
      </c>
      <c r="L47" s="431" t="s">
        <v>116</v>
      </c>
      <c r="M47" s="432" t="s">
        <v>116</v>
      </c>
      <c r="N47" s="431" t="s">
        <v>118</v>
      </c>
      <c r="O47" s="397" t="s">
        <v>256</v>
      </c>
      <c r="P47" s="397" t="s">
        <v>257</v>
      </c>
      <c r="Q47" s="433" t="s">
        <v>258</v>
      </c>
      <c r="R47" s="431" t="s">
        <v>116</v>
      </c>
      <c r="S47" s="431" t="s">
        <v>116</v>
      </c>
      <c r="T47" s="433" t="s">
        <v>116</v>
      </c>
      <c r="U47" s="433" t="s">
        <v>116</v>
      </c>
      <c r="V47" s="431" t="s">
        <v>116</v>
      </c>
      <c r="W47" s="433" t="s">
        <v>116</v>
      </c>
      <c r="X47" s="434" t="s">
        <v>264</v>
      </c>
      <c r="Y47" s="435">
        <v>147.62</v>
      </c>
      <c r="Z47" s="436" t="s">
        <v>123</v>
      </c>
      <c r="AA47" s="400">
        <v>1</v>
      </c>
      <c r="AB47" s="401">
        <v>4.43</v>
      </c>
      <c r="AC47" s="422"/>
      <c r="AD47" s="401">
        <v>2.95</v>
      </c>
      <c r="AE47" s="401">
        <v>0</v>
      </c>
      <c r="AF47" s="401">
        <v>0</v>
      </c>
      <c r="AG47" s="401">
        <v>0</v>
      </c>
      <c r="AH47" s="401">
        <v>0</v>
      </c>
      <c r="AI47" s="401">
        <v>0.74</v>
      </c>
      <c r="AJ47" s="401">
        <v>0.74</v>
      </c>
      <c r="AK47" s="401">
        <v>0</v>
      </c>
      <c r="AL47" s="401">
        <v>0</v>
      </c>
      <c r="AM47" s="401">
        <v>0</v>
      </c>
      <c r="AN47" s="401">
        <v>0</v>
      </c>
      <c r="AO47" s="401">
        <v>0</v>
      </c>
      <c r="AP47" s="401">
        <v>0</v>
      </c>
      <c r="AQ47" s="401">
        <v>0</v>
      </c>
      <c r="AR47" s="401">
        <v>0</v>
      </c>
      <c r="AS47" s="401">
        <v>0</v>
      </c>
      <c r="AT47" s="401">
        <v>0</v>
      </c>
      <c r="AU47" s="401">
        <v>0</v>
      </c>
      <c r="AV47" s="401">
        <v>0</v>
      </c>
      <c r="AW47" s="401">
        <v>0</v>
      </c>
      <c r="AX47" s="401">
        <v>0</v>
      </c>
      <c r="AY47" s="401">
        <v>0</v>
      </c>
      <c r="AZ47" s="401">
        <v>0</v>
      </c>
      <c r="BA47" s="401">
        <v>0</v>
      </c>
      <c r="BB47" s="401">
        <v>0</v>
      </c>
      <c r="BC47" s="401">
        <v>0</v>
      </c>
      <c r="BD47" s="401">
        <v>0</v>
      </c>
      <c r="BE47" s="401">
        <v>0</v>
      </c>
      <c r="BF47" s="401">
        <v>0</v>
      </c>
      <c r="BG47" s="423"/>
      <c r="BH47" s="424" t="s">
        <v>265</v>
      </c>
      <c r="BI47" s="404">
        <v>45998</v>
      </c>
      <c r="BJ47" s="405">
        <v>233.1</v>
      </c>
      <c r="BK47" s="425"/>
      <c r="BL47" s="406"/>
      <c r="BM47" s="407"/>
      <c r="BN47" s="408" t="s">
        <v>124</v>
      </c>
      <c r="BO47" s="409"/>
      <c r="BP47" s="409"/>
      <c r="BQ47" s="409"/>
      <c r="BR47" s="410"/>
      <c r="BS47" s="409"/>
      <c r="BT47" s="409"/>
      <c r="BU47" s="411"/>
      <c r="BV47" s="412"/>
      <c r="BW47" s="413"/>
      <c r="BX47" s="409"/>
      <c r="BY47" s="409"/>
      <c r="BZ47" s="413"/>
      <c r="CA47" s="413"/>
      <c r="CB47" s="413"/>
      <c r="CC47" s="411">
        <f t="shared" si="1"/>
        <v>-4.4408920985006262E-16</v>
      </c>
      <c r="CD47" s="414"/>
      <c r="CE47" s="415"/>
      <c r="CF47" s="416" t="s">
        <v>166</v>
      </c>
      <c r="CG47" s="416"/>
    </row>
    <row r="48" spans="1:85" s="417" customFormat="1" ht="15" customHeight="1">
      <c r="A48" s="437" t="s">
        <v>263</v>
      </c>
      <c r="B48" s="431" t="s">
        <v>111</v>
      </c>
      <c r="C48" s="438">
        <v>45809</v>
      </c>
      <c r="D48" s="439" t="s">
        <v>179</v>
      </c>
      <c r="E48" s="431" t="s">
        <v>113</v>
      </c>
      <c r="F48" s="439" t="s">
        <v>114</v>
      </c>
      <c r="G48" s="439" t="s">
        <v>130</v>
      </c>
      <c r="H48" s="439" t="s">
        <v>116</v>
      </c>
      <c r="I48" s="439" t="s">
        <v>116</v>
      </c>
      <c r="J48" s="440" t="s">
        <v>116</v>
      </c>
      <c r="K48" s="441" t="b">
        <v>0</v>
      </c>
      <c r="L48" s="441" t="s">
        <v>116</v>
      </c>
      <c r="M48" s="440" t="s">
        <v>116</v>
      </c>
      <c r="N48" s="441" t="s">
        <v>118</v>
      </c>
      <c r="O48" s="442" t="s">
        <v>256</v>
      </c>
      <c r="P48" s="439" t="s">
        <v>257</v>
      </c>
      <c r="Q48" s="443" t="s">
        <v>258</v>
      </c>
      <c r="R48" s="441" t="s">
        <v>116</v>
      </c>
      <c r="S48" s="441" t="s">
        <v>116</v>
      </c>
      <c r="T48" s="442" t="s">
        <v>116</v>
      </c>
      <c r="U48" s="442" t="s">
        <v>116</v>
      </c>
      <c r="V48" s="441" t="s">
        <v>116</v>
      </c>
      <c r="W48" s="442" t="s">
        <v>116</v>
      </c>
      <c r="X48" s="443" t="s">
        <v>264</v>
      </c>
      <c r="Y48" s="435">
        <v>147.62</v>
      </c>
      <c r="Z48" s="439" t="s">
        <v>123</v>
      </c>
      <c r="AA48" s="400">
        <v>1</v>
      </c>
      <c r="AB48" s="401">
        <v>4.43</v>
      </c>
      <c r="AC48" s="422"/>
      <c r="AD48" s="401">
        <v>2.95</v>
      </c>
      <c r="AE48" s="401">
        <v>0</v>
      </c>
      <c r="AF48" s="401">
        <v>0</v>
      </c>
      <c r="AG48" s="401">
        <v>0</v>
      </c>
      <c r="AH48" s="401">
        <v>0</v>
      </c>
      <c r="AI48" s="401">
        <v>0.74</v>
      </c>
      <c r="AJ48" s="401">
        <v>0.74</v>
      </c>
      <c r="AK48" s="401">
        <v>0</v>
      </c>
      <c r="AL48" s="401">
        <v>0</v>
      </c>
      <c r="AM48" s="401">
        <v>0</v>
      </c>
      <c r="AN48" s="401">
        <v>0</v>
      </c>
      <c r="AO48" s="401">
        <v>0</v>
      </c>
      <c r="AP48" s="401">
        <v>0</v>
      </c>
      <c r="AQ48" s="401">
        <v>0</v>
      </c>
      <c r="AR48" s="401">
        <v>0</v>
      </c>
      <c r="AS48" s="401">
        <v>0</v>
      </c>
      <c r="AT48" s="401">
        <v>0</v>
      </c>
      <c r="AU48" s="401">
        <v>0</v>
      </c>
      <c r="AV48" s="401">
        <v>0</v>
      </c>
      <c r="AW48" s="401">
        <v>0</v>
      </c>
      <c r="AX48" s="401">
        <v>0</v>
      </c>
      <c r="AY48" s="401">
        <v>0</v>
      </c>
      <c r="AZ48" s="401">
        <v>0</v>
      </c>
      <c r="BA48" s="401">
        <v>0</v>
      </c>
      <c r="BB48" s="401">
        <v>0</v>
      </c>
      <c r="BC48" s="401">
        <v>0</v>
      </c>
      <c r="BD48" s="401">
        <v>0</v>
      </c>
      <c r="BE48" s="401">
        <v>0</v>
      </c>
      <c r="BF48" s="401">
        <v>0</v>
      </c>
      <c r="BG48" s="423"/>
      <c r="BH48" s="424" t="s">
        <v>266</v>
      </c>
      <c r="BI48" s="404">
        <v>46022</v>
      </c>
      <c r="BJ48" s="405">
        <v>-95.24</v>
      </c>
      <c r="BK48" s="406"/>
      <c r="BL48" s="406"/>
      <c r="BM48" s="407"/>
      <c r="BN48" s="408" t="s">
        <v>124</v>
      </c>
      <c r="BO48" s="409"/>
      <c r="BP48" s="409"/>
      <c r="BQ48" s="409"/>
      <c r="BR48" s="410"/>
      <c r="BS48" s="409"/>
      <c r="BT48" s="409"/>
      <c r="BU48" s="411"/>
      <c r="BV48" s="412"/>
      <c r="BW48" s="413"/>
      <c r="BX48" s="409"/>
      <c r="BY48" s="409"/>
      <c r="BZ48" s="413"/>
      <c r="CA48" s="413"/>
      <c r="CB48" s="413"/>
      <c r="CC48" s="411">
        <f t="shared" si="1"/>
        <v>-4.4408920985006262E-16</v>
      </c>
      <c r="CD48" s="414"/>
      <c r="CE48" s="415"/>
      <c r="CF48" s="416" t="s">
        <v>166</v>
      </c>
      <c r="CG48" s="416"/>
    </row>
    <row r="49" spans="1:85" s="417" customFormat="1" ht="15" customHeight="1">
      <c r="A49" s="427" t="s">
        <v>267</v>
      </c>
      <c r="B49" s="428" t="s">
        <v>111</v>
      </c>
      <c r="C49" s="429">
        <v>45809</v>
      </c>
      <c r="D49" s="430" t="s">
        <v>179</v>
      </c>
      <c r="E49" s="431" t="s">
        <v>113</v>
      </c>
      <c r="F49" s="431" t="s">
        <v>114</v>
      </c>
      <c r="G49" s="431" t="s">
        <v>153</v>
      </c>
      <c r="H49" s="431" t="s">
        <v>116</v>
      </c>
      <c r="I49" s="431" t="s">
        <v>116</v>
      </c>
      <c r="J49" s="432" t="s">
        <v>116</v>
      </c>
      <c r="K49" s="431" t="b">
        <v>0</v>
      </c>
      <c r="L49" s="431" t="s">
        <v>116</v>
      </c>
      <c r="M49" s="432" t="s">
        <v>116</v>
      </c>
      <c r="N49" s="431" t="s">
        <v>118</v>
      </c>
      <c r="O49" s="433" t="s">
        <v>256</v>
      </c>
      <c r="P49" s="431" t="s">
        <v>257</v>
      </c>
      <c r="Q49" s="433" t="s">
        <v>258</v>
      </c>
      <c r="R49" s="431" t="s">
        <v>116</v>
      </c>
      <c r="S49" s="431" t="s">
        <v>116</v>
      </c>
      <c r="T49" s="433" t="s">
        <v>116</v>
      </c>
      <c r="U49" s="433" t="s">
        <v>116</v>
      </c>
      <c r="V49" s="431" t="s">
        <v>116</v>
      </c>
      <c r="W49" s="433" t="s">
        <v>116</v>
      </c>
      <c r="X49" s="434" t="s">
        <v>268</v>
      </c>
      <c r="Y49" s="435">
        <v>104.74</v>
      </c>
      <c r="Z49" s="436" t="s">
        <v>123</v>
      </c>
      <c r="AA49" s="400">
        <v>1</v>
      </c>
      <c r="AB49" s="401">
        <v>3.14</v>
      </c>
      <c r="AC49" s="422"/>
      <c r="AD49" s="401">
        <v>2.1</v>
      </c>
      <c r="AE49" s="401">
        <v>0</v>
      </c>
      <c r="AF49" s="401">
        <v>0</v>
      </c>
      <c r="AG49" s="401">
        <v>0</v>
      </c>
      <c r="AH49" s="401">
        <v>0</v>
      </c>
      <c r="AI49" s="401">
        <v>0.52</v>
      </c>
      <c r="AJ49" s="401">
        <v>0.52</v>
      </c>
      <c r="AK49" s="401">
        <v>0</v>
      </c>
      <c r="AL49" s="401">
        <v>0</v>
      </c>
      <c r="AM49" s="401">
        <v>0</v>
      </c>
      <c r="AN49" s="401">
        <v>0</v>
      </c>
      <c r="AO49" s="401">
        <v>0</v>
      </c>
      <c r="AP49" s="401">
        <v>0</v>
      </c>
      <c r="AQ49" s="401">
        <v>0</v>
      </c>
      <c r="AR49" s="401">
        <v>0</v>
      </c>
      <c r="AS49" s="401">
        <v>0</v>
      </c>
      <c r="AT49" s="401">
        <v>0</v>
      </c>
      <c r="AU49" s="401">
        <v>0</v>
      </c>
      <c r="AV49" s="401">
        <v>0</v>
      </c>
      <c r="AW49" s="401">
        <v>0</v>
      </c>
      <c r="AX49" s="401">
        <v>0</v>
      </c>
      <c r="AY49" s="401">
        <v>0</v>
      </c>
      <c r="AZ49" s="401">
        <v>0</v>
      </c>
      <c r="BA49" s="401">
        <v>0</v>
      </c>
      <c r="BB49" s="401">
        <v>0</v>
      </c>
      <c r="BC49" s="401">
        <v>0</v>
      </c>
      <c r="BD49" s="401">
        <v>0</v>
      </c>
      <c r="BE49" s="401">
        <v>0</v>
      </c>
      <c r="BF49" s="401">
        <v>0</v>
      </c>
      <c r="BG49" s="423"/>
      <c r="BH49" s="424" t="s">
        <v>266</v>
      </c>
      <c r="BI49" s="404">
        <v>45998</v>
      </c>
      <c r="BJ49" s="405">
        <v>233.1</v>
      </c>
      <c r="BK49" s="425"/>
      <c r="BL49" s="406"/>
      <c r="BM49" s="407"/>
      <c r="BN49" s="408" t="s">
        <v>124</v>
      </c>
      <c r="BO49" s="409"/>
      <c r="BP49" s="409"/>
      <c r="BQ49" s="409"/>
      <c r="BR49" s="410"/>
      <c r="BS49" s="409"/>
      <c r="BT49" s="409"/>
      <c r="BU49" s="411"/>
      <c r="BV49" s="412"/>
      <c r="BW49" s="413"/>
      <c r="BX49" s="409"/>
      <c r="BY49" s="409"/>
      <c r="BZ49" s="413"/>
      <c r="CA49" s="413"/>
      <c r="CB49" s="413"/>
      <c r="CC49" s="411">
        <f t="shared" si="1"/>
        <v>0</v>
      </c>
      <c r="CD49" s="414"/>
      <c r="CE49" s="415"/>
      <c r="CF49" s="416" t="s">
        <v>166</v>
      </c>
      <c r="CG49" s="416"/>
    </row>
    <row r="50" spans="1:85" s="417" customFormat="1" ht="15" customHeight="1">
      <c r="A50" s="427" t="s">
        <v>269</v>
      </c>
      <c r="B50" s="428" t="s">
        <v>111</v>
      </c>
      <c r="C50" s="429">
        <v>45839</v>
      </c>
      <c r="D50" s="430" t="s">
        <v>270</v>
      </c>
      <c r="E50" s="431" t="s">
        <v>113</v>
      </c>
      <c r="F50" s="431" t="s">
        <v>114</v>
      </c>
      <c r="G50" s="431" t="s">
        <v>130</v>
      </c>
      <c r="H50" s="431" t="s">
        <v>116</v>
      </c>
      <c r="I50" s="431" t="s">
        <v>116</v>
      </c>
      <c r="J50" s="432" t="s">
        <v>116</v>
      </c>
      <c r="K50" s="431" t="b">
        <v>0</v>
      </c>
      <c r="L50" s="431" t="s">
        <v>116</v>
      </c>
      <c r="M50" s="432" t="s">
        <v>116</v>
      </c>
      <c r="N50" s="431" t="s">
        <v>118</v>
      </c>
      <c r="O50" s="433" t="s">
        <v>256</v>
      </c>
      <c r="P50" s="431" t="s">
        <v>257</v>
      </c>
      <c r="Q50" s="433" t="s">
        <v>258</v>
      </c>
      <c r="R50" s="431" t="s">
        <v>116</v>
      </c>
      <c r="S50" s="431" t="s">
        <v>116</v>
      </c>
      <c r="T50" s="433" t="s">
        <v>116</v>
      </c>
      <c r="U50" s="433" t="s">
        <v>116</v>
      </c>
      <c r="V50" s="431" t="s">
        <v>116</v>
      </c>
      <c r="W50" s="433" t="s">
        <v>116</v>
      </c>
      <c r="X50" s="434" t="s">
        <v>271</v>
      </c>
      <c r="Y50" s="435">
        <v>109.71</v>
      </c>
      <c r="Z50" s="436" t="s">
        <v>123</v>
      </c>
      <c r="AA50" s="400">
        <v>1</v>
      </c>
      <c r="AB50" s="401">
        <v>3.29</v>
      </c>
      <c r="AC50" s="422"/>
      <c r="AD50" s="401">
        <v>2.19</v>
      </c>
      <c r="AE50" s="401">
        <v>0</v>
      </c>
      <c r="AF50" s="401">
        <v>0</v>
      </c>
      <c r="AG50" s="401">
        <v>0</v>
      </c>
      <c r="AH50" s="401">
        <v>0</v>
      </c>
      <c r="AI50" s="401">
        <v>0.55000000000000004</v>
      </c>
      <c r="AJ50" s="401">
        <v>0.55000000000000004</v>
      </c>
      <c r="AK50" s="401">
        <v>0</v>
      </c>
      <c r="AL50" s="401">
        <v>0</v>
      </c>
      <c r="AM50" s="401">
        <v>0</v>
      </c>
      <c r="AN50" s="401">
        <v>0</v>
      </c>
      <c r="AO50" s="401">
        <v>0</v>
      </c>
      <c r="AP50" s="401">
        <v>0</v>
      </c>
      <c r="AQ50" s="401">
        <v>0</v>
      </c>
      <c r="AR50" s="401">
        <v>0</v>
      </c>
      <c r="AS50" s="401">
        <v>0</v>
      </c>
      <c r="AT50" s="401">
        <v>0</v>
      </c>
      <c r="AU50" s="401">
        <v>0</v>
      </c>
      <c r="AV50" s="401">
        <v>0</v>
      </c>
      <c r="AW50" s="401">
        <v>0</v>
      </c>
      <c r="AX50" s="401">
        <v>0</v>
      </c>
      <c r="AY50" s="401">
        <v>0</v>
      </c>
      <c r="AZ50" s="401">
        <v>0</v>
      </c>
      <c r="BA50" s="401">
        <v>0</v>
      </c>
      <c r="BB50" s="401">
        <v>0</v>
      </c>
      <c r="BC50" s="401">
        <v>0</v>
      </c>
      <c r="BD50" s="401">
        <v>0</v>
      </c>
      <c r="BE50" s="401">
        <v>0</v>
      </c>
      <c r="BF50" s="401">
        <v>0</v>
      </c>
      <c r="BG50" s="423"/>
      <c r="BH50" s="424" t="s">
        <v>272</v>
      </c>
      <c r="BI50" s="404">
        <v>46011</v>
      </c>
      <c r="BJ50" s="405">
        <v>504.9</v>
      </c>
      <c r="BK50" s="425"/>
      <c r="BL50" s="406"/>
      <c r="BM50" s="407"/>
      <c r="BN50" s="408" t="s">
        <v>124</v>
      </c>
      <c r="BO50" s="409"/>
      <c r="BP50" s="409"/>
      <c r="BQ50" s="409"/>
      <c r="BR50" s="410"/>
      <c r="BS50" s="409"/>
      <c r="BT50" s="409"/>
      <c r="BU50" s="411"/>
      <c r="BV50" s="412"/>
      <c r="BW50" s="413"/>
      <c r="BX50" s="409"/>
      <c r="BY50" s="409"/>
      <c r="BZ50" s="413"/>
      <c r="CA50" s="413"/>
      <c r="CB50" s="413"/>
      <c r="CC50" s="411">
        <f t="shared" si="1"/>
        <v>0</v>
      </c>
      <c r="CD50" s="414"/>
      <c r="CE50" s="415"/>
      <c r="CF50" s="416" t="s">
        <v>166</v>
      </c>
      <c r="CG50" s="416"/>
    </row>
    <row r="51" spans="1:85" s="417" customFormat="1" ht="15" customHeight="1">
      <c r="A51" s="427" t="s">
        <v>273</v>
      </c>
      <c r="B51" s="428" t="s">
        <v>111</v>
      </c>
      <c r="C51" s="429">
        <v>45839</v>
      </c>
      <c r="D51" s="430" t="s">
        <v>270</v>
      </c>
      <c r="E51" s="431" t="s">
        <v>113</v>
      </c>
      <c r="F51" s="431" t="s">
        <v>114</v>
      </c>
      <c r="G51" s="431" t="s">
        <v>130</v>
      </c>
      <c r="H51" s="431" t="s">
        <v>116</v>
      </c>
      <c r="I51" s="431" t="s">
        <v>116</v>
      </c>
      <c r="J51" s="432" t="s">
        <v>116</v>
      </c>
      <c r="K51" s="431" t="b">
        <v>0</v>
      </c>
      <c r="L51" s="431" t="s">
        <v>116</v>
      </c>
      <c r="M51" s="432" t="s">
        <v>116</v>
      </c>
      <c r="N51" s="431" t="s">
        <v>118</v>
      </c>
      <c r="O51" s="433" t="s">
        <v>256</v>
      </c>
      <c r="P51" s="431" t="s">
        <v>257</v>
      </c>
      <c r="Q51" s="433" t="s">
        <v>258</v>
      </c>
      <c r="R51" s="431" t="s">
        <v>116</v>
      </c>
      <c r="S51" s="431" t="s">
        <v>116</v>
      </c>
      <c r="T51" s="433" t="s">
        <v>116</v>
      </c>
      <c r="U51" s="433" t="s">
        <v>116</v>
      </c>
      <c r="V51" s="431" t="s">
        <v>116</v>
      </c>
      <c r="W51" s="433" t="s">
        <v>116</v>
      </c>
      <c r="X51" s="434" t="s">
        <v>274</v>
      </c>
      <c r="Y51" s="435">
        <v>131.26</v>
      </c>
      <c r="Z51" s="436" t="s">
        <v>123</v>
      </c>
      <c r="AA51" s="400">
        <v>1</v>
      </c>
      <c r="AB51" s="401">
        <v>3.94</v>
      </c>
      <c r="AC51" s="422"/>
      <c r="AD51" s="401">
        <v>2.62</v>
      </c>
      <c r="AE51" s="401">
        <v>0</v>
      </c>
      <c r="AF51" s="401">
        <v>0</v>
      </c>
      <c r="AG51" s="401">
        <v>0</v>
      </c>
      <c r="AH51" s="401">
        <v>0</v>
      </c>
      <c r="AI51" s="401">
        <v>0.66</v>
      </c>
      <c r="AJ51" s="401">
        <v>0.66</v>
      </c>
      <c r="AK51" s="401">
        <v>0</v>
      </c>
      <c r="AL51" s="401">
        <v>0</v>
      </c>
      <c r="AM51" s="401">
        <v>0</v>
      </c>
      <c r="AN51" s="401">
        <v>0</v>
      </c>
      <c r="AO51" s="401">
        <v>0</v>
      </c>
      <c r="AP51" s="401">
        <v>0</v>
      </c>
      <c r="AQ51" s="401">
        <v>0</v>
      </c>
      <c r="AR51" s="401">
        <v>0</v>
      </c>
      <c r="AS51" s="401">
        <v>0</v>
      </c>
      <c r="AT51" s="401">
        <v>0</v>
      </c>
      <c r="AU51" s="401">
        <v>0</v>
      </c>
      <c r="AV51" s="401">
        <v>0</v>
      </c>
      <c r="AW51" s="401">
        <v>0</v>
      </c>
      <c r="AX51" s="401">
        <v>0</v>
      </c>
      <c r="AY51" s="401">
        <v>0</v>
      </c>
      <c r="AZ51" s="401">
        <v>0</v>
      </c>
      <c r="BA51" s="401">
        <v>0</v>
      </c>
      <c r="BB51" s="401">
        <v>0</v>
      </c>
      <c r="BC51" s="401">
        <v>0</v>
      </c>
      <c r="BD51" s="401">
        <v>0</v>
      </c>
      <c r="BE51" s="401">
        <v>0</v>
      </c>
      <c r="BF51" s="401">
        <v>0</v>
      </c>
      <c r="BG51" s="423"/>
      <c r="BH51" s="424" t="s">
        <v>265</v>
      </c>
      <c r="BI51" s="404">
        <v>46011</v>
      </c>
      <c r="BJ51" s="405">
        <v>504.9</v>
      </c>
      <c r="BK51" s="425"/>
      <c r="BL51" s="406"/>
      <c r="BM51" s="407"/>
      <c r="BN51" s="408" t="s">
        <v>124</v>
      </c>
      <c r="BO51" s="409"/>
      <c r="BP51" s="409"/>
      <c r="BQ51" s="409"/>
      <c r="BR51" s="410"/>
      <c r="BS51" s="409"/>
      <c r="BT51" s="409"/>
      <c r="BU51" s="411"/>
      <c r="BV51" s="412"/>
      <c r="BW51" s="413"/>
      <c r="BX51" s="409"/>
      <c r="BY51" s="409"/>
      <c r="BZ51" s="413"/>
      <c r="CA51" s="413"/>
      <c r="CB51" s="413"/>
      <c r="CC51" s="411">
        <f t="shared" si="1"/>
        <v>-2.2204460492503131E-16</v>
      </c>
      <c r="CD51" s="414"/>
      <c r="CE51" s="415"/>
      <c r="CF51" s="416" t="s">
        <v>166</v>
      </c>
      <c r="CG51" s="416"/>
    </row>
    <row r="52" spans="1:85" s="417" customFormat="1" ht="15" customHeight="1">
      <c r="A52" s="427" t="s">
        <v>275</v>
      </c>
      <c r="B52" s="428" t="s">
        <v>111</v>
      </c>
      <c r="C52" s="429">
        <v>45809</v>
      </c>
      <c r="D52" s="430" t="s">
        <v>179</v>
      </c>
      <c r="E52" s="431" t="s">
        <v>113</v>
      </c>
      <c r="F52" s="431" t="s">
        <v>114</v>
      </c>
      <c r="G52" s="431" t="s">
        <v>153</v>
      </c>
      <c r="H52" s="431" t="s">
        <v>116</v>
      </c>
      <c r="I52" s="431" t="s">
        <v>116</v>
      </c>
      <c r="J52" s="432" t="s">
        <v>116</v>
      </c>
      <c r="K52" s="431" t="b">
        <v>0</v>
      </c>
      <c r="L52" s="431" t="s">
        <v>116</v>
      </c>
      <c r="M52" s="432" t="s">
        <v>116</v>
      </c>
      <c r="N52" s="431" t="s">
        <v>118</v>
      </c>
      <c r="O52" s="433" t="s">
        <v>256</v>
      </c>
      <c r="P52" s="431" t="s">
        <v>257</v>
      </c>
      <c r="Q52" s="433" t="s">
        <v>258</v>
      </c>
      <c r="R52" s="431" t="s">
        <v>116</v>
      </c>
      <c r="S52" s="431" t="s">
        <v>116</v>
      </c>
      <c r="T52" s="433" t="s">
        <v>116</v>
      </c>
      <c r="U52" s="433" t="s">
        <v>116</v>
      </c>
      <c r="V52" s="431" t="s">
        <v>116</v>
      </c>
      <c r="W52" s="433" t="s">
        <v>116</v>
      </c>
      <c r="X52" s="434" t="s">
        <v>276</v>
      </c>
      <c r="Y52" s="435">
        <v>113.47</v>
      </c>
      <c r="Z52" s="436" t="s">
        <v>123</v>
      </c>
      <c r="AA52" s="400">
        <v>1</v>
      </c>
      <c r="AB52" s="401">
        <v>3.4</v>
      </c>
      <c r="AC52" s="422"/>
      <c r="AD52" s="401">
        <v>2.2599999999999998</v>
      </c>
      <c r="AE52" s="401">
        <v>0</v>
      </c>
      <c r="AF52" s="401">
        <v>0</v>
      </c>
      <c r="AG52" s="401">
        <v>0</v>
      </c>
      <c r="AH52" s="401">
        <v>0</v>
      </c>
      <c r="AI52" s="401">
        <v>0.56999999999999995</v>
      </c>
      <c r="AJ52" s="401">
        <v>0.56999999999999995</v>
      </c>
      <c r="AK52" s="401">
        <v>0</v>
      </c>
      <c r="AL52" s="401">
        <v>0</v>
      </c>
      <c r="AM52" s="401">
        <v>0</v>
      </c>
      <c r="AN52" s="401">
        <v>0</v>
      </c>
      <c r="AO52" s="401">
        <v>0</v>
      </c>
      <c r="AP52" s="401">
        <v>0</v>
      </c>
      <c r="AQ52" s="401">
        <v>0</v>
      </c>
      <c r="AR52" s="401">
        <v>0</v>
      </c>
      <c r="AS52" s="401">
        <v>0</v>
      </c>
      <c r="AT52" s="401">
        <v>0</v>
      </c>
      <c r="AU52" s="401">
        <v>0</v>
      </c>
      <c r="AV52" s="401">
        <v>0</v>
      </c>
      <c r="AW52" s="401">
        <v>0</v>
      </c>
      <c r="AX52" s="401">
        <v>0</v>
      </c>
      <c r="AY52" s="401">
        <v>0</v>
      </c>
      <c r="AZ52" s="401">
        <v>0</v>
      </c>
      <c r="BA52" s="401">
        <v>0</v>
      </c>
      <c r="BB52" s="401">
        <v>0</v>
      </c>
      <c r="BC52" s="401">
        <v>0</v>
      </c>
      <c r="BD52" s="401">
        <v>0</v>
      </c>
      <c r="BE52" s="401">
        <v>0</v>
      </c>
      <c r="BF52" s="401">
        <v>0</v>
      </c>
      <c r="BG52" s="423"/>
      <c r="BH52" s="424" t="s">
        <v>266</v>
      </c>
      <c r="BI52" s="404">
        <v>45998</v>
      </c>
      <c r="BJ52" s="405">
        <v>233.1</v>
      </c>
      <c r="BK52" s="425"/>
      <c r="BL52" s="406"/>
      <c r="BM52" s="407"/>
      <c r="BN52" s="408" t="s">
        <v>124</v>
      </c>
      <c r="BO52" s="409"/>
      <c r="BP52" s="409"/>
      <c r="BQ52" s="409"/>
      <c r="BR52" s="410"/>
      <c r="BS52" s="409"/>
      <c r="BT52" s="409"/>
      <c r="BU52" s="411"/>
      <c r="BV52" s="412"/>
      <c r="BW52" s="413"/>
      <c r="BX52" s="409"/>
      <c r="BY52" s="409"/>
      <c r="BZ52" s="413"/>
      <c r="CA52" s="413"/>
      <c r="CB52" s="413"/>
      <c r="CC52" s="411">
        <f t="shared" si="1"/>
        <v>2.2204460492503131E-16</v>
      </c>
      <c r="CD52" s="414"/>
      <c r="CE52" s="415"/>
      <c r="CF52" s="416" t="s">
        <v>166</v>
      </c>
      <c r="CG52" s="416"/>
    </row>
    <row r="53" spans="1:85" s="417" customFormat="1" ht="15" customHeight="1">
      <c r="A53" s="427" t="s">
        <v>277</v>
      </c>
      <c r="B53" s="428" t="s">
        <v>111</v>
      </c>
      <c r="C53" s="429">
        <v>45809</v>
      </c>
      <c r="D53" s="430" t="s">
        <v>179</v>
      </c>
      <c r="E53" s="431" t="s">
        <v>113</v>
      </c>
      <c r="F53" s="431" t="s">
        <v>114</v>
      </c>
      <c r="G53" s="431" t="s">
        <v>153</v>
      </c>
      <c r="H53" s="431" t="s">
        <v>116</v>
      </c>
      <c r="I53" s="431" t="s">
        <v>116</v>
      </c>
      <c r="J53" s="432" t="s">
        <v>116</v>
      </c>
      <c r="K53" s="431" t="b">
        <v>0</v>
      </c>
      <c r="L53" s="431" t="s">
        <v>116</v>
      </c>
      <c r="M53" s="432" t="s">
        <v>116</v>
      </c>
      <c r="N53" s="431" t="s">
        <v>118</v>
      </c>
      <c r="O53" s="433" t="s">
        <v>256</v>
      </c>
      <c r="P53" s="431" t="s">
        <v>257</v>
      </c>
      <c r="Q53" s="433" t="s">
        <v>258</v>
      </c>
      <c r="R53" s="431" t="s">
        <v>116</v>
      </c>
      <c r="S53" s="431" t="s">
        <v>116</v>
      </c>
      <c r="T53" s="433" t="s">
        <v>116</v>
      </c>
      <c r="U53" s="433" t="s">
        <v>116</v>
      </c>
      <c r="V53" s="431" t="s">
        <v>116</v>
      </c>
      <c r="W53" s="433" t="s">
        <v>116</v>
      </c>
      <c r="X53" s="434" t="s">
        <v>278</v>
      </c>
      <c r="Y53" s="435">
        <v>139.78</v>
      </c>
      <c r="Z53" s="436" t="s">
        <v>123</v>
      </c>
      <c r="AA53" s="400">
        <v>1</v>
      </c>
      <c r="AB53" s="401">
        <v>4.1900000000000004</v>
      </c>
      <c r="AC53" s="422"/>
      <c r="AD53" s="401">
        <v>2.79</v>
      </c>
      <c r="AE53" s="401">
        <v>0</v>
      </c>
      <c r="AF53" s="401">
        <v>0</v>
      </c>
      <c r="AG53" s="401">
        <v>0</v>
      </c>
      <c r="AH53" s="401">
        <v>0</v>
      </c>
      <c r="AI53" s="401">
        <v>0.7</v>
      </c>
      <c r="AJ53" s="401">
        <v>0.7</v>
      </c>
      <c r="AK53" s="401">
        <v>0</v>
      </c>
      <c r="AL53" s="401">
        <v>0</v>
      </c>
      <c r="AM53" s="401">
        <v>0</v>
      </c>
      <c r="AN53" s="401">
        <v>0</v>
      </c>
      <c r="AO53" s="401">
        <v>0</v>
      </c>
      <c r="AP53" s="401">
        <v>0</v>
      </c>
      <c r="AQ53" s="401">
        <v>0</v>
      </c>
      <c r="AR53" s="401">
        <v>0</v>
      </c>
      <c r="AS53" s="401">
        <v>0</v>
      </c>
      <c r="AT53" s="401">
        <v>0</v>
      </c>
      <c r="AU53" s="401">
        <v>0</v>
      </c>
      <c r="AV53" s="401">
        <v>0</v>
      </c>
      <c r="AW53" s="401">
        <v>0</v>
      </c>
      <c r="AX53" s="401">
        <v>0</v>
      </c>
      <c r="AY53" s="401">
        <v>0</v>
      </c>
      <c r="AZ53" s="401">
        <v>0</v>
      </c>
      <c r="BA53" s="401">
        <v>0</v>
      </c>
      <c r="BB53" s="401">
        <v>0</v>
      </c>
      <c r="BC53" s="401">
        <v>0</v>
      </c>
      <c r="BD53" s="401">
        <v>0</v>
      </c>
      <c r="BE53" s="401">
        <v>0</v>
      </c>
      <c r="BF53" s="401">
        <v>0</v>
      </c>
      <c r="BG53" s="423"/>
      <c r="BH53" s="424" t="s">
        <v>279</v>
      </c>
      <c r="BI53" s="404">
        <v>45998</v>
      </c>
      <c r="BJ53" s="405">
        <v>233.1</v>
      </c>
      <c r="BK53" s="425"/>
      <c r="BL53" s="406"/>
      <c r="BM53" s="407"/>
      <c r="BN53" s="408" t="s">
        <v>124</v>
      </c>
      <c r="BO53" s="409"/>
      <c r="BP53" s="409"/>
      <c r="BQ53" s="409"/>
      <c r="BR53" s="410"/>
      <c r="BS53" s="409"/>
      <c r="BT53" s="409"/>
      <c r="BU53" s="411"/>
      <c r="BV53" s="412"/>
      <c r="BW53" s="413"/>
      <c r="BX53" s="409"/>
      <c r="BY53" s="409"/>
      <c r="BZ53" s="413"/>
      <c r="CA53" s="413"/>
      <c r="CB53" s="413"/>
      <c r="CC53" s="411">
        <f t="shared" si="1"/>
        <v>4.4408920985006262E-16</v>
      </c>
      <c r="CD53" s="414"/>
      <c r="CE53" s="415"/>
      <c r="CF53" s="416" t="s">
        <v>166</v>
      </c>
      <c r="CG53" s="416"/>
    </row>
    <row r="54" spans="1:85" s="417" customFormat="1" ht="15" customHeight="1">
      <c r="A54" s="427" t="s">
        <v>280</v>
      </c>
      <c r="B54" s="428" t="s">
        <v>111</v>
      </c>
      <c r="C54" s="429">
        <v>45658</v>
      </c>
      <c r="D54" s="430" t="s">
        <v>281</v>
      </c>
      <c r="E54" s="431" t="s">
        <v>113</v>
      </c>
      <c r="F54" s="431" t="s">
        <v>114</v>
      </c>
      <c r="G54" s="431" t="s">
        <v>153</v>
      </c>
      <c r="H54" s="431" t="s">
        <v>116</v>
      </c>
      <c r="I54" s="431" t="s">
        <v>116</v>
      </c>
      <c r="J54" s="432" t="s">
        <v>116</v>
      </c>
      <c r="K54" s="431" t="b">
        <v>0</v>
      </c>
      <c r="L54" s="431" t="s">
        <v>116</v>
      </c>
      <c r="M54" s="432" t="s">
        <v>116</v>
      </c>
      <c r="N54" s="431" t="s">
        <v>118</v>
      </c>
      <c r="O54" s="433" t="s">
        <v>256</v>
      </c>
      <c r="P54" s="431" t="s">
        <v>257</v>
      </c>
      <c r="Q54" s="433" t="s">
        <v>258</v>
      </c>
      <c r="R54" s="431" t="s">
        <v>116</v>
      </c>
      <c r="S54" s="431" t="s">
        <v>116</v>
      </c>
      <c r="T54" s="433" t="s">
        <v>116</v>
      </c>
      <c r="U54" s="433" t="s">
        <v>116</v>
      </c>
      <c r="V54" s="431" t="s">
        <v>116</v>
      </c>
      <c r="W54" s="433" t="s">
        <v>116</v>
      </c>
      <c r="X54" s="434" t="s">
        <v>282</v>
      </c>
      <c r="Y54" s="435" t="s">
        <v>116</v>
      </c>
      <c r="Z54" s="436" t="s">
        <v>116</v>
      </c>
      <c r="AA54" s="400">
        <v>1</v>
      </c>
      <c r="AB54" s="401">
        <v>3.19</v>
      </c>
      <c r="AC54" s="422"/>
      <c r="AD54" s="401">
        <v>1.59</v>
      </c>
      <c r="AE54" s="401">
        <v>0</v>
      </c>
      <c r="AF54" s="401">
        <v>0</v>
      </c>
      <c r="AG54" s="401">
        <v>0</v>
      </c>
      <c r="AH54" s="401">
        <v>0</v>
      </c>
      <c r="AI54" s="401">
        <v>0.8</v>
      </c>
      <c r="AJ54" s="401">
        <v>0.8</v>
      </c>
      <c r="AK54" s="401">
        <v>0</v>
      </c>
      <c r="AL54" s="401">
        <v>0</v>
      </c>
      <c r="AM54" s="401">
        <v>0</v>
      </c>
      <c r="AN54" s="401">
        <v>0</v>
      </c>
      <c r="AO54" s="401">
        <v>0</v>
      </c>
      <c r="AP54" s="401">
        <v>0</v>
      </c>
      <c r="AQ54" s="401">
        <v>0</v>
      </c>
      <c r="AR54" s="401">
        <v>0</v>
      </c>
      <c r="AS54" s="401">
        <v>0</v>
      </c>
      <c r="AT54" s="401">
        <v>0</v>
      </c>
      <c r="AU54" s="401">
        <v>0</v>
      </c>
      <c r="AV54" s="401">
        <v>0</v>
      </c>
      <c r="AW54" s="401">
        <v>0</v>
      </c>
      <c r="AX54" s="401">
        <v>0</v>
      </c>
      <c r="AY54" s="401">
        <v>0</v>
      </c>
      <c r="AZ54" s="401">
        <v>0</v>
      </c>
      <c r="BA54" s="401">
        <v>0</v>
      </c>
      <c r="BB54" s="401">
        <v>0</v>
      </c>
      <c r="BC54" s="401">
        <v>0</v>
      </c>
      <c r="BD54" s="401">
        <v>0</v>
      </c>
      <c r="BE54" s="401">
        <v>0</v>
      </c>
      <c r="BF54" s="401">
        <v>0</v>
      </c>
      <c r="BG54" s="423"/>
      <c r="BH54" s="424" t="s">
        <v>283</v>
      </c>
      <c r="BI54" s="404">
        <v>46004</v>
      </c>
      <c r="BJ54" s="405">
        <v>10.57</v>
      </c>
      <c r="BK54" s="406"/>
      <c r="BL54" s="406"/>
      <c r="BM54" s="407"/>
      <c r="BN54" s="408" t="s">
        <v>124</v>
      </c>
      <c r="BO54" s="409"/>
      <c r="BP54" s="409"/>
      <c r="BQ54" s="409"/>
      <c r="BR54" s="410"/>
      <c r="BS54" s="409"/>
      <c r="BT54" s="409"/>
      <c r="BU54" s="411"/>
      <c r="BV54" s="412"/>
      <c r="BW54" s="413"/>
      <c r="BX54" s="409"/>
      <c r="BY54" s="409"/>
      <c r="BZ54" s="413"/>
      <c r="CA54" s="413"/>
      <c r="CB54" s="413"/>
      <c r="CC54" s="411">
        <f t="shared" si="1"/>
        <v>-2.2204460492503131E-16</v>
      </c>
      <c r="CD54" s="414"/>
      <c r="CE54" s="415"/>
      <c r="CF54" s="416" t="s">
        <v>166</v>
      </c>
      <c r="CG54" s="416"/>
    </row>
    <row r="55" spans="1:85" s="417" customFormat="1" ht="15" customHeight="1">
      <c r="A55" s="437" t="s">
        <v>280</v>
      </c>
      <c r="B55" s="431" t="s">
        <v>111</v>
      </c>
      <c r="C55" s="438">
        <v>45658</v>
      </c>
      <c r="D55" s="439" t="s">
        <v>281</v>
      </c>
      <c r="E55" s="431" t="s">
        <v>113</v>
      </c>
      <c r="F55" s="439" t="s">
        <v>114</v>
      </c>
      <c r="G55" s="439" t="s">
        <v>153</v>
      </c>
      <c r="H55" s="439" t="s">
        <v>116</v>
      </c>
      <c r="I55" s="439" t="s">
        <v>116</v>
      </c>
      <c r="J55" s="440" t="s">
        <v>116</v>
      </c>
      <c r="K55" s="441" t="b">
        <v>0</v>
      </c>
      <c r="L55" s="441" t="s">
        <v>116</v>
      </c>
      <c r="M55" s="440" t="s">
        <v>116</v>
      </c>
      <c r="N55" s="441" t="s">
        <v>118</v>
      </c>
      <c r="O55" s="442" t="s">
        <v>256</v>
      </c>
      <c r="P55" s="439" t="s">
        <v>257</v>
      </c>
      <c r="Q55" s="443" t="s">
        <v>258</v>
      </c>
      <c r="R55" s="441" t="s">
        <v>116</v>
      </c>
      <c r="S55" s="441" t="s">
        <v>116</v>
      </c>
      <c r="T55" s="442" t="s">
        <v>116</v>
      </c>
      <c r="U55" s="442" t="s">
        <v>116</v>
      </c>
      <c r="V55" s="441" t="s">
        <v>116</v>
      </c>
      <c r="W55" s="442" t="s">
        <v>116</v>
      </c>
      <c r="X55" s="443" t="s">
        <v>282</v>
      </c>
      <c r="Y55" s="435" t="s">
        <v>116</v>
      </c>
      <c r="Z55" s="439" t="s">
        <v>116</v>
      </c>
      <c r="AA55" s="400">
        <v>1</v>
      </c>
      <c r="AB55" s="401">
        <v>3.19</v>
      </c>
      <c r="AC55" s="422"/>
      <c r="AD55" s="401">
        <v>1.59</v>
      </c>
      <c r="AE55" s="401">
        <v>0</v>
      </c>
      <c r="AF55" s="401">
        <v>0</v>
      </c>
      <c r="AG55" s="401">
        <v>0</v>
      </c>
      <c r="AH55" s="401">
        <v>0</v>
      </c>
      <c r="AI55" s="401">
        <v>0.8</v>
      </c>
      <c r="AJ55" s="401">
        <v>0.8</v>
      </c>
      <c r="AK55" s="401">
        <v>0</v>
      </c>
      <c r="AL55" s="401">
        <v>0</v>
      </c>
      <c r="AM55" s="401">
        <v>0</v>
      </c>
      <c r="AN55" s="401">
        <v>0</v>
      </c>
      <c r="AO55" s="401">
        <v>0</v>
      </c>
      <c r="AP55" s="401">
        <v>0</v>
      </c>
      <c r="AQ55" s="401">
        <v>0</v>
      </c>
      <c r="AR55" s="401">
        <v>0</v>
      </c>
      <c r="AS55" s="401">
        <v>0</v>
      </c>
      <c r="AT55" s="401">
        <v>0</v>
      </c>
      <c r="AU55" s="401">
        <v>0</v>
      </c>
      <c r="AV55" s="401">
        <v>0</v>
      </c>
      <c r="AW55" s="401">
        <v>0</v>
      </c>
      <c r="AX55" s="401">
        <v>0</v>
      </c>
      <c r="AY55" s="401">
        <v>0</v>
      </c>
      <c r="AZ55" s="401">
        <v>0</v>
      </c>
      <c r="BA55" s="401">
        <v>0</v>
      </c>
      <c r="BB55" s="401">
        <v>0</v>
      </c>
      <c r="BC55" s="401">
        <v>0</v>
      </c>
      <c r="BD55" s="401">
        <v>0</v>
      </c>
      <c r="BE55" s="401">
        <v>0</v>
      </c>
      <c r="BF55" s="401">
        <v>0</v>
      </c>
      <c r="BG55" s="423"/>
      <c r="BH55" s="424" t="s">
        <v>194</v>
      </c>
      <c r="BI55" s="404">
        <v>46022</v>
      </c>
      <c r="BJ55" s="405">
        <v>3.19</v>
      </c>
      <c r="BK55" s="406"/>
      <c r="BL55" s="406"/>
      <c r="BM55" s="407"/>
      <c r="BN55" s="408" t="s">
        <v>124</v>
      </c>
      <c r="BO55" s="409"/>
      <c r="BP55" s="409"/>
      <c r="BQ55" s="409"/>
      <c r="BR55" s="410"/>
      <c r="BS55" s="409"/>
      <c r="BT55" s="409"/>
      <c r="BU55" s="411"/>
      <c r="BV55" s="412"/>
      <c r="BW55" s="413"/>
      <c r="BX55" s="409"/>
      <c r="BY55" s="409"/>
      <c r="BZ55" s="413"/>
      <c r="CA55" s="413"/>
      <c r="CB55" s="413"/>
      <c r="CC55" s="411">
        <f t="shared" si="1"/>
        <v>-2.2204460492503131E-16</v>
      </c>
      <c r="CD55" s="414"/>
      <c r="CE55" s="415"/>
      <c r="CF55" s="416" t="s">
        <v>166</v>
      </c>
      <c r="CG55" s="416"/>
    </row>
    <row r="56" spans="1:85" s="417" customFormat="1" ht="15" customHeight="1">
      <c r="A56" s="427" t="s">
        <v>284</v>
      </c>
      <c r="B56" s="428" t="s">
        <v>111</v>
      </c>
      <c r="C56" s="429">
        <v>45658</v>
      </c>
      <c r="D56" s="430" t="s">
        <v>281</v>
      </c>
      <c r="E56" s="431" t="s">
        <v>113</v>
      </c>
      <c r="F56" s="431" t="s">
        <v>114</v>
      </c>
      <c r="G56" s="431" t="s">
        <v>153</v>
      </c>
      <c r="H56" s="431" t="s">
        <v>116</v>
      </c>
      <c r="I56" s="431" t="s">
        <v>116</v>
      </c>
      <c r="J56" s="432" t="s">
        <v>116</v>
      </c>
      <c r="K56" s="431" t="b">
        <v>0</v>
      </c>
      <c r="L56" s="431" t="s">
        <v>116</v>
      </c>
      <c r="M56" s="432" t="s">
        <v>116</v>
      </c>
      <c r="N56" s="431" t="s">
        <v>118</v>
      </c>
      <c r="O56" s="433" t="s">
        <v>256</v>
      </c>
      <c r="P56" s="431" t="s">
        <v>257</v>
      </c>
      <c r="Q56" s="433" t="s">
        <v>258</v>
      </c>
      <c r="R56" s="431" t="s">
        <v>116</v>
      </c>
      <c r="S56" s="431" t="s">
        <v>116</v>
      </c>
      <c r="T56" s="433" t="s">
        <v>116</v>
      </c>
      <c r="U56" s="433" t="s">
        <v>116</v>
      </c>
      <c r="V56" s="431" t="s">
        <v>116</v>
      </c>
      <c r="W56" s="433" t="s">
        <v>116</v>
      </c>
      <c r="X56" s="434" t="s">
        <v>285</v>
      </c>
      <c r="Y56" s="435" t="s">
        <v>116</v>
      </c>
      <c r="Z56" s="436" t="s">
        <v>116</v>
      </c>
      <c r="AA56" s="400">
        <v>1</v>
      </c>
      <c r="AB56" s="401">
        <v>3.19</v>
      </c>
      <c r="AC56" s="422"/>
      <c r="AD56" s="401">
        <v>1.59</v>
      </c>
      <c r="AE56" s="401">
        <v>0</v>
      </c>
      <c r="AF56" s="401">
        <v>0</v>
      </c>
      <c r="AG56" s="401">
        <v>0</v>
      </c>
      <c r="AH56" s="401">
        <v>0</v>
      </c>
      <c r="AI56" s="401">
        <v>0.8</v>
      </c>
      <c r="AJ56" s="401">
        <v>0.8</v>
      </c>
      <c r="AK56" s="401">
        <v>0</v>
      </c>
      <c r="AL56" s="401">
        <v>0</v>
      </c>
      <c r="AM56" s="401">
        <v>0</v>
      </c>
      <c r="AN56" s="401">
        <v>0</v>
      </c>
      <c r="AO56" s="401">
        <v>0</v>
      </c>
      <c r="AP56" s="401">
        <v>0</v>
      </c>
      <c r="AQ56" s="401">
        <v>0</v>
      </c>
      <c r="AR56" s="401">
        <v>0</v>
      </c>
      <c r="AS56" s="401">
        <v>0</v>
      </c>
      <c r="AT56" s="401">
        <v>0</v>
      </c>
      <c r="AU56" s="401">
        <v>0</v>
      </c>
      <c r="AV56" s="401">
        <v>0</v>
      </c>
      <c r="AW56" s="401">
        <v>0</v>
      </c>
      <c r="AX56" s="401">
        <v>0</v>
      </c>
      <c r="AY56" s="401">
        <v>0</v>
      </c>
      <c r="AZ56" s="401">
        <v>0</v>
      </c>
      <c r="BA56" s="401">
        <v>0</v>
      </c>
      <c r="BB56" s="401">
        <v>0</v>
      </c>
      <c r="BC56" s="401">
        <v>0</v>
      </c>
      <c r="BD56" s="401">
        <v>0</v>
      </c>
      <c r="BE56" s="401">
        <v>0</v>
      </c>
      <c r="BF56" s="401">
        <v>0</v>
      </c>
      <c r="BG56" s="423"/>
      <c r="BH56" s="424" t="s">
        <v>194</v>
      </c>
      <c r="BI56" s="404">
        <v>46004</v>
      </c>
      <c r="BJ56" s="405">
        <v>10.57</v>
      </c>
      <c r="BK56" s="406"/>
      <c r="BL56" s="406"/>
      <c r="BM56" s="407"/>
      <c r="BN56" s="408" t="s">
        <v>124</v>
      </c>
      <c r="BO56" s="409"/>
      <c r="BP56" s="409"/>
      <c r="BQ56" s="409"/>
      <c r="BR56" s="410"/>
      <c r="BS56" s="409"/>
      <c r="BT56" s="409"/>
      <c r="BU56" s="411"/>
      <c r="BV56" s="412"/>
      <c r="BW56" s="413"/>
      <c r="BX56" s="409"/>
      <c r="BY56" s="409"/>
      <c r="BZ56" s="413"/>
      <c r="CA56" s="413"/>
      <c r="CB56" s="413"/>
      <c r="CC56" s="411">
        <f t="shared" si="1"/>
        <v>-2.2204460492503131E-16</v>
      </c>
      <c r="CD56" s="414"/>
      <c r="CE56" s="415"/>
      <c r="CF56" s="416" t="s">
        <v>166</v>
      </c>
      <c r="CG56" s="416"/>
    </row>
    <row r="57" spans="1:85" s="417" customFormat="1" ht="15" customHeight="1">
      <c r="A57" s="427" t="s">
        <v>286</v>
      </c>
      <c r="B57" s="428" t="s">
        <v>111</v>
      </c>
      <c r="C57" s="429">
        <v>45870</v>
      </c>
      <c r="D57" s="430" t="s">
        <v>179</v>
      </c>
      <c r="E57" s="431" t="s">
        <v>113</v>
      </c>
      <c r="F57" s="431" t="s">
        <v>114</v>
      </c>
      <c r="G57" s="431" t="s">
        <v>153</v>
      </c>
      <c r="H57" s="431" t="s">
        <v>116</v>
      </c>
      <c r="I57" s="431" t="s">
        <v>116</v>
      </c>
      <c r="J57" s="432" t="s">
        <v>116</v>
      </c>
      <c r="K57" s="431" t="b">
        <v>0</v>
      </c>
      <c r="L57" s="431" t="s">
        <v>116</v>
      </c>
      <c r="M57" s="432" t="s">
        <v>116</v>
      </c>
      <c r="N57" s="431" t="s">
        <v>118</v>
      </c>
      <c r="O57" s="433" t="s">
        <v>256</v>
      </c>
      <c r="P57" s="431" t="s">
        <v>257</v>
      </c>
      <c r="Q57" s="433" t="s">
        <v>258</v>
      </c>
      <c r="R57" s="431" t="s">
        <v>116</v>
      </c>
      <c r="S57" s="431" t="s">
        <v>116</v>
      </c>
      <c r="T57" s="433" t="s">
        <v>116</v>
      </c>
      <c r="U57" s="433" t="s">
        <v>116</v>
      </c>
      <c r="V57" s="431" t="s">
        <v>116</v>
      </c>
      <c r="W57" s="433" t="s">
        <v>116</v>
      </c>
      <c r="X57" s="434" t="s">
        <v>287</v>
      </c>
      <c r="Y57" s="435">
        <v>99.7</v>
      </c>
      <c r="Z57" s="436" t="s">
        <v>123</v>
      </c>
      <c r="AA57" s="400">
        <v>1</v>
      </c>
      <c r="AB57" s="401">
        <v>2.99</v>
      </c>
      <c r="AC57" s="422"/>
      <c r="AD57" s="401">
        <v>1.99</v>
      </c>
      <c r="AE57" s="401">
        <v>0</v>
      </c>
      <c r="AF57" s="401">
        <v>0</v>
      </c>
      <c r="AG57" s="401">
        <v>0</v>
      </c>
      <c r="AH57" s="401">
        <v>0</v>
      </c>
      <c r="AI57" s="401">
        <v>0.5</v>
      </c>
      <c r="AJ57" s="401">
        <v>0.5</v>
      </c>
      <c r="AK57" s="401">
        <v>0</v>
      </c>
      <c r="AL57" s="401">
        <v>0</v>
      </c>
      <c r="AM57" s="401">
        <v>0</v>
      </c>
      <c r="AN57" s="401">
        <v>0</v>
      </c>
      <c r="AO57" s="401">
        <v>0</v>
      </c>
      <c r="AP57" s="401">
        <v>0</v>
      </c>
      <c r="AQ57" s="401">
        <v>0</v>
      </c>
      <c r="AR57" s="401">
        <v>0</v>
      </c>
      <c r="AS57" s="401">
        <v>0</v>
      </c>
      <c r="AT57" s="401">
        <v>0</v>
      </c>
      <c r="AU57" s="401">
        <v>0</v>
      </c>
      <c r="AV57" s="401">
        <v>0</v>
      </c>
      <c r="AW57" s="401">
        <v>0</v>
      </c>
      <c r="AX57" s="401">
        <v>0</v>
      </c>
      <c r="AY57" s="401">
        <v>0</v>
      </c>
      <c r="AZ57" s="401">
        <v>0</v>
      </c>
      <c r="BA57" s="401">
        <v>0</v>
      </c>
      <c r="BB57" s="401">
        <v>0</v>
      </c>
      <c r="BC57" s="401">
        <v>0</v>
      </c>
      <c r="BD57" s="401">
        <v>0</v>
      </c>
      <c r="BE57" s="401">
        <v>0</v>
      </c>
      <c r="BF57" s="401">
        <v>0</v>
      </c>
      <c r="BG57" s="423"/>
      <c r="BH57" s="424" t="s">
        <v>288</v>
      </c>
      <c r="BI57" s="404">
        <v>45998</v>
      </c>
      <c r="BJ57" s="405">
        <v>233.1</v>
      </c>
      <c r="BK57" s="425"/>
      <c r="BL57" s="406"/>
      <c r="BM57" s="407"/>
      <c r="BN57" s="408" t="s">
        <v>124</v>
      </c>
      <c r="BO57" s="409"/>
      <c r="BP57" s="409"/>
      <c r="BQ57" s="409"/>
      <c r="BR57" s="410"/>
      <c r="BS57" s="409"/>
      <c r="BT57" s="409"/>
      <c r="BU57" s="411"/>
      <c r="BV57" s="412"/>
      <c r="BW57" s="413"/>
      <c r="BX57" s="409"/>
      <c r="BY57" s="409"/>
      <c r="BZ57" s="413"/>
      <c r="CA57" s="413"/>
      <c r="CB57" s="413"/>
      <c r="CC57" s="411">
        <f t="shared" si="1"/>
        <v>2.2204460492503131E-16</v>
      </c>
      <c r="CD57" s="414"/>
      <c r="CE57" s="415"/>
      <c r="CF57" s="416" t="s">
        <v>166</v>
      </c>
      <c r="CG57" s="416"/>
    </row>
    <row r="58" spans="1:85" s="417" customFormat="1" ht="15" customHeight="1">
      <c r="A58" s="427" t="s">
        <v>289</v>
      </c>
      <c r="B58" s="428" t="s">
        <v>111</v>
      </c>
      <c r="C58" s="429">
        <v>46023</v>
      </c>
      <c r="D58" s="430" t="s">
        <v>290</v>
      </c>
      <c r="E58" s="431" t="s">
        <v>113</v>
      </c>
      <c r="F58" s="431" t="s">
        <v>114</v>
      </c>
      <c r="G58" s="431" t="s">
        <v>153</v>
      </c>
      <c r="H58" s="431" t="s">
        <v>116</v>
      </c>
      <c r="I58" s="431" t="s">
        <v>116</v>
      </c>
      <c r="J58" s="432" t="s">
        <v>116</v>
      </c>
      <c r="K58" s="431" t="b">
        <v>0</v>
      </c>
      <c r="L58" s="431" t="s">
        <v>116</v>
      </c>
      <c r="M58" s="432" t="s">
        <v>116</v>
      </c>
      <c r="N58" s="431" t="s">
        <v>118</v>
      </c>
      <c r="O58" s="433" t="s">
        <v>256</v>
      </c>
      <c r="P58" s="431" t="s">
        <v>257</v>
      </c>
      <c r="Q58" s="433" t="s">
        <v>258</v>
      </c>
      <c r="R58" s="431" t="s">
        <v>116</v>
      </c>
      <c r="S58" s="431" t="s">
        <v>116</v>
      </c>
      <c r="T58" s="433" t="s">
        <v>116</v>
      </c>
      <c r="U58" s="433" t="s">
        <v>116</v>
      </c>
      <c r="V58" s="431" t="s">
        <v>116</v>
      </c>
      <c r="W58" s="433" t="s">
        <v>116</v>
      </c>
      <c r="X58" s="434" t="s">
        <v>291</v>
      </c>
      <c r="Y58" s="435">
        <v>1659.1</v>
      </c>
      <c r="Z58" s="436" t="s">
        <v>292</v>
      </c>
      <c r="AA58" s="400">
        <v>1</v>
      </c>
      <c r="AB58" s="401">
        <v>49.77</v>
      </c>
      <c r="AC58" s="422"/>
      <c r="AD58" s="401">
        <v>33.17</v>
      </c>
      <c r="AE58" s="401">
        <v>0</v>
      </c>
      <c r="AF58" s="401">
        <v>0</v>
      </c>
      <c r="AG58" s="401">
        <v>0</v>
      </c>
      <c r="AH58" s="401">
        <v>0</v>
      </c>
      <c r="AI58" s="401">
        <v>8.3000000000000007</v>
      </c>
      <c r="AJ58" s="401">
        <v>8.3000000000000007</v>
      </c>
      <c r="AK58" s="401">
        <v>0</v>
      </c>
      <c r="AL58" s="401">
        <v>0</v>
      </c>
      <c r="AM58" s="401">
        <v>0</v>
      </c>
      <c r="AN58" s="401">
        <v>0</v>
      </c>
      <c r="AO58" s="401">
        <v>0</v>
      </c>
      <c r="AP58" s="401">
        <v>0</v>
      </c>
      <c r="AQ58" s="401">
        <v>0</v>
      </c>
      <c r="AR58" s="401">
        <v>0</v>
      </c>
      <c r="AS58" s="401">
        <v>0</v>
      </c>
      <c r="AT58" s="401">
        <v>0</v>
      </c>
      <c r="AU58" s="401">
        <v>0</v>
      </c>
      <c r="AV58" s="401">
        <v>0</v>
      </c>
      <c r="AW58" s="401">
        <v>0</v>
      </c>
      <c r="AX58" s="401">
        <v>0</v>
      </c>
      <c r="AY58" s="401">
        <v>0</v>
      </c>
      <c r="AZ58" s="401">
        <v>0</v>
      </c>
      <c r="BA58" s="401">
        <v>0</v>
      </c>
      <c r="BB58" s="401">
        <v>0</v>
      </c>
      <c r="BC58" s="401">
        <v>0</v>
      </c>
      <c r="BD58" s="401">
        <v>0</v>
      </c>
      <c r="BE58" s="401">
        <v>0</v>
      </c>
      <c r="BF58" s="401">
        <v>0</v>
      </c>
      <c r="BG58" s="423"/>
      <c r="BH58" s="424" t="s">
        <v>293</v>
      </c>
      <c r="BI58" s="404">
        <v>45998</v>
      </c>
      <c r="BJ58" s="405">
        <v>233.1</v>
      </c>
      <c r="BK58" s="425"/>
      <c r="BL58" s="406"/>
      <c r="BM58" s="407"/>
      <c r="BN58" s="408" t="s">
        <v>124</v>
      </c>
      <c r="BO58" s="409"/>
      <c r="BP58" s="409"/>
      <c r="BQ58" s="409"/>
      <c r="BR58" s="410"/>
      <c r="BS58" s="409"/>
      <c r="BT58" s="409"/>
      <c r="BU58" s="411"/>
      <c r="BV58" s="412"/>
      <c r="BW58" s="413"/>
      <c r="BX58" s="409"/>
      <c r="BY58" s="409"/>
      <c r="BZ58" s="413"/>
      <c r="CA58" s="413"/>
      <c r="CB58" s="413"/>
      <c r="CC58" s="411">
        <f t="shared" si="1"/>
        <v>0</v>
      </c>
      <c r="CD58" s="414"/>
      <c r="CE58" s="415"/>
      <c r="CF58" s="416" t="s">
        <v>166</v>
      </c>
      <c r="CG58" s="416"/>
    </row>
    <row r="59" spans="1:85" s="417" customFormat="1" ht="15" customHeight="1">
      <c r="A59" s="427" t="s">
        <v>294</v>
      </c>
      <c r="B59" s="428" t="s">
        <v>111</v>
      </c>
      <c r="C59" s="429">
        <v>45870</v>
      </c>
      <c r="D59" s="430" t="s">
        <v>290</v>
      </c>
      <c r="E59" s="431" t="s">
        <v>113</v>
      </c>
      <c r="F59" s="431" t="s">
        <v>114</v>
      </c>
      <c r="G59" s="431" t="s">
        <v>153</v>
      </c>
      <c r="H59" s="431" t="s">
        <v>116</v>
      </c>
      <c r="I59" s="431" t="s">
        <v>116</v>
      </c>
      <c r="J59" s="432" t="s">
        <v>116</v>
      </c>
      <c r="K59" s="431" t="b">
        <v>0</v>
      </c>
      <c r="L59" s="431" t="s">
        <v>116</v>
      </c>
      <c r="M59" s="432" t="s">
        <v>116</v>
      </c>
      <c r="N59" s="431" t="s">
        <v>118</v>
      </c>
      <c r="O59" s="433" t="s">
        <v>256</v>
      </c>
      <c r="P59" s="431" t="s">
        <v>257</v>
      </c>
      <c r="Q59" s="433" t="s">
        <v>258</v>
      </c>
      <c r="R59" s="431" t="s">
        <v>116</v>
      </c>
      <c r="S59" s="431" t="s">
        <v>116</v>
      </c>
      <c r="T59" s="433" t="s">
        <v>116</v>
      </c>
      <c r="U59" s="433" t="s">
        <v>116</v>
      </c>
      <c r="V59" s="431" t="s">
        <v>116</v>
      </c>
      <c r="W59" s="433" t="s">
        <v>116</v>
      </c>
      <c r="X59" s="434" t="s">
        <v>295</v>
      </c>
      <c r="Y59" s="435">
        <v>146.01</v>
      </c>
      <c r="Z59" s="436" t="s">
        <v>123</v>
      </c>
      <c r="AA59" s="400">
        <v>1</v>
      </c>
      <c r="AB59" s="401">
        <v>4.38</v>
      </c>
      <c r="AC59" s="422"/>
      <c r="AD59" s="401">
        <v>2.92</v>
      </c>
      <c r="AE59" s="401">
        <v>0</v>
      </c>
      <c r="AF59" s="401">
        <v>0</v>
      </c>
      <c r="AG59" s="401">
        <v>0</v>
      </c>
      <c r="AH59" s="401">
        <v>0</v>
      </c>
      <c r="AI59" s="401">
        <v>0.73</v>
      </c>
      <c r="AJ59" s="401">
        <v>0.73</v>
      </c>
      <c r="AK59" s="401">
        <v>0</v>
      </c>
      <c r="AL59" s="401">
        <v>0</v>
      </c>
      <c r="AM59" s="401">
        <v>0</v>
      </c>
      <c r="AN59" s="401">
        <v>0</v>
      </c>
      <c r="AO59" s="401">
        <v>0</v>
      </c>
      <c r="AP59" s="401">
        <v>0</v>
      </c>
      <c r="AQ59" s="401">
        <v>0</v>
      </c>
      <c r="AR59" s="401">
        <v>0</v>
      </c>
      <c r="AS59" s="401">
        <v>0</v>
      </c>
      <c r="AT59" s="401">
        <v>0</v>
      </c>
      <c r="AU59" s="401">
        <v>0</v>
      </c>
      <c r="AV59" s="401">
        <v>0</v>
      </c>
      <c r="AW59" s="401">
        <v>0</v>
      </c>
      <c r="AX59" s="401">
        <v>0</v>
      </c>
      <c r="AY59" s="401">
        <v>0</v>
      </c>
      <c r="AZ59" s="401">
        <v>0</v>
      </c>
      <c r="BA59" s="401">
        <v>0</v>
      </c>
      <c r="BB59" s="401">
        <v>0</v>
      </c>
      <c r="BC59" s="401">
        <v>0</v>
      </c>
      <c r="BD59" s="401">
        <v>0</v>
      </c>
      <c r="BE59" s="401">
        <v>0</v>
      </c>
      <c r="BF59" s="401">
        <v>0</v>
      </c>
      <c r="BG59" s="423"/>
      <c r="BH59" s="424" t="s">
        <v>272</v>
      </c>
      <c r="BI59" s="404">
        <v>46011</v>
      </c>
      <c r="BJ59" s="405">
        <v>504.9</v>
      </c>
      <c r="BK59" s="425"/>
      <c r="BL59" s="406"/>
      <c r="BM59" s="407"/>
      <c r="BN59" s="408" t="s">
        <v>124</v>
      </c>
      <c r="BO59" s="409"/>
      <c r="BP59" s="409"/>
      <c r="BQ59" s="409"/>
      <c r="BR59" s="410"/>
      <c r="BS59" s="409"/>
      <c r="BT59" s="409"/>
      <c r="BU59" s="411"/>
      <c r="BV59" s="412"/>
      <c r="BW59" s="413"/>
      <c r="BX59" s="409"/>
      <c r="BY59" s="409"/>
      <c r="BZ59" s="413"/>
      <c r="CA59" s="413"/>
      <c r="CB59" s="413"/>
      <c r="CC59" s="411">
        <f t="shared" si="1"/>
        <v>0</v>
      </c>
      <c r="CD59" s="414"/>
      <c r="CE59" s="415"/>
      <c r="CF59" s="416" t="s">
        <v>166</v>
      </c>
      <c r="CG59" s="416"/>
    </row>
    <row r="60" spans="1:85" s="417" customFormat="1" ht="15" customHeight="1">
      <c r="A60" s="427" t="s">
        <v>296</v>
      </c>
      <c r="B60" s="428" t="s">
        <v>111</v>
      </c>
      <c r="C60" s="429">
        <v>45870</v>
      </c>
      <c r="D60" s="430" t="s">
        <v>290</v>
      </c>
      <c r="E60" s="431" t="s">
        <v>113</v>
      </c>
      <c r="F60" s="431" t="s">
        <v>114</v>
      </c>
      <c r="G60" s="431" t="s">
        <v>153</v>
      </c>
      <c r="H60" s="431" t="s">
        <v>116</v>
      </c>
      <c r="I60" s="431" t="s">
        <v>116</v>
      </c>
      <c r="J60" s="432" t="s">
        <v>116</v>
      </c>
      <c r="K60" s="431" t="b">
        <v>0</v>
      </c>
      <c r="L60" s="431" t="s">
        <v>116</v>
      </c>
      <c r="M60" s="432" t="s">
        <v>116</v>
      </c>
      <c r="N60" s="431" t="s">
        <v>118</v>
      </c>
      <c r="O60" s="433" t="s">
        <v>256</v>
      </c>
      <c r="P60" s="431" t="s">
        <v>257</v>
      </c>
      <c r="Q60" s="433" t="s">
        <v>258</v>
      </c>
      <c r="R60" s="431" t="s">
        <v>116</v>
      </c>
      <c r="S60" s="431" t="s">
        <v>116</v>
      </c>
      <c r="T60" s="433" t="s">
        <v>116</v>
      </c>
      <c r="U60" s="433" t="s">
        <v>116</v>
      </c>
      <c r="V60" s="431" t="s">
        <v>116</v>
      </c>
      <c r="W60" s="433" t="s">
        <v>116</v>
      </c>
      <c r="X60" s="434" t="s">
        <v>297</v>
      </c>
      <c r="Y60" s="435">
        <v>188.66</v>
      </c>
      <c r="Z60" s="436" t="s">
        <v>123</v>
      </c>
      <c r="AA60" s="400">
        <v>1</v>
      </c>
      <c r="AB60" s="401">
        <v>5.66</v>
      </c>
      <c r="AC60" s="422"/>
      <c r="AD60" s="401">
        <v>3.78</v>
      </c>
      <c r="AE60" s="401">
        <v>0</v>
      </c>
      <c r="AF60" s="401">
        <v>0</v>
      </c>
      <c r="AG60" s="401">
        <v>0</v>
      </c>
      <c r="AH60" s="401">
        <v>0</v>
      </c>
      <c r="AI60" s="401">
        <v>0.94</v>
      </c>
      <c r="AJ60" s="401">
        <v>0.94</v>
      </c>
      <c r="AK60" s="401">
        <v>0</v>
      </c>
      <c r="AL60" s="401">
        <v>0</v>
      </c>
      <c r="AM60" s="401">
        <v>0</v>
      </c>
      <c r="AN60" s="401">
        <v>0</v>
      </c>
      <c r="AO60" s="401">
        <v>0</v>
      </c>
      <c r="AP60" s="401">
        <v>0</v>
      </c>
      <c r="AQ60" s="401">
        <v>0</v>
      </c>
      <c r="AR60" s="401">
        <v>0</v>
      </c>
      <c r="AS60" s="401">
        <v>0</v>
      </c>
      <c r="AT60" s="401">
        <v>0</v>
      </c>
      <c r="AU60" s="401">
        <v>0</v>
      </c>
      <c r="AV60" s="401">
        <v>0</v>
      </c>
      <c r="AW60" s="401">
        <v>0</v>
      </c>
      <c r="AX60" s="401">
        <v>0</v>
      </c>
      <c r="AY60" s="401">
        <v>0</v>
      </c>
      <c r="AZ60" s="401">
        <v>0</v>
      </c>
      <c r="BA60" s="401">
        <v>0</v>
      </c>
      <c r="BB60" s="401">
        <v>0</v>
      </c>
      <c r="BC60" s="401">
        <v>0</v>
      </c>
      <c r="BD60" s="401">
        <v>0</v>
      </c>
      <c r="BE60" s="401">
        <v>0</v>
      </c>
      <c r="BF60" s="401">
        <v>0</v>
      </c>
      <c r="BG60" s="423"/>
      <c r="BH60" s="424" t="s">
        <v>272</v>
      </c>
      <c r="BI60" s="404">
        <v>46011</v>
      </c>
      <c r="BJ60" s="405">
        <v>504.9</v>
      </c>
      <c r="BK60" s="425"/>
      <c r="BL60" s="406"/>
      <c r="BM60" s="407"/>
      <c r="BN60" s="408" t="s">
        <v>124</v>
      </c>
      <c r="BO60" s="409"/>
      <c r="BP60" s="409"/>
      <c r="BQ60" s="409"/>
      <c r="BR60" s="410"/>
      <c r="BS60" s="409"/>
      <c r="BT60" s="409"/>
      <c r="BU60" s="411"/>
      <c r="BV60" s="412"/>
      <c r="BW60" s="413"/>
      <c r="BX60" s="409"/>
      <c r="BY60" s="409"/>
      <c r="BZ60" s="413"/>
      <c r="CA60" s="413"/>
      <c r="CB60" s="413"/>
      <c r="CC60" s="411">
        <f t="shared" si="1"/>
        <v>4.4408920985006262E-16</v>
      </c>
      <c r="CD60" s="414"/>
      <c r="CE60" s="415"/>
      <c r="CF60" s="416" t="s">
        <v>166</v>
      </c>
      <c r="CG60" s="416"/>
    </row>
    <row r="61" spans="1:85" s="417" customFormat="1" ht="15" customHeight="1">
      <c r="A61" s="427" t="s">
        <v>298</v>
      </c>
      <c r="B61" s="428" t="s">
        <v>111</v>
      </c>
      <c r="C61" s="429">
        <v>46023</v>
      </c>
      <c r="D61" s="430" t="s">
        <v>179</v>
      </c>
      <c r="E61" s="431" t="s">
        <v>113</v>
      </c>
      <c r="F61" s="431" t="s">
        <v>114</v>
      </c>
      <c r="G61" s="431" t="s">
        <v>130</v>
      </c>
      <c r="H61" s="431" t="s">
        <v>116</v>
      </c>
      <c r="I61" s="431" t="s">
        <v>116</v>
      </c>
      <c r="J61" s="432" t="s">
        <v>116</v>
      </c>
      <c r="K61" s="431" t="b">
        <v>0</v>
      </c>
      <c r="L61" s="431" t="s">
        <v>116</v>
      </c>
      <c r="M61" s="432" t="s">
        <v>116</v>
      </c>
      <c r="N61" s="431" t="s">
        <v>118</v>
      </c>
      <c r="O61" s="433" t="s">
        <v>256</v>
      </c>
      <c r="P61" s="431" t="s">
        <v>257</v>
      </c>
      <c r="Q61" s="433" t="s">
        <v>258</v>
      </c>
      <c r="R61" s="431" t="s">
        <v>116</v>
      </c>
      <c r="S61" s="431" t="s">
        <v>116</v>
      </c>
      <c r="T61" s="433" t="s">
        <v>116</v>
      </c>
      <c r="U61" s="433" t="s">
        <v>116</v>
      </c>
      <c r="V61" s="431" t="s">
        <v>116</v>
      </c>
      <c r="W61" s="433" t="s">
        <v>116</v>
      </c>
      <c r="X61" s="434" t="s">
        <v>299</v>
      </c>
      <c r="Y61" s="435">
        <v>172.15</v>
      </c>
      <c r="Z61" s="436" t="s">
        <v>123</v>
      </c>
      <c r="AA61" s="400">
        <v>1</v>
      </c>
      <c r="AB61" s="401">
        <v>5.16</v>
      </c>
      <c r="AC61" s="422"/>
      <c r="AD61" s="401">
        <v>3.44</v>
      </c>
      <c r="AE61" s="401">
        <v>0</v>
      </c>
      <c r="AF61" s="401">
        <v>0</v>
      </c>
      <c r="AG61" s="401">
        <v>0</v>
      </c>
      <c r="AH61" s="401">
        <v>0</v>
      </c>
      <c r="AI61" s="401">
        <v>0.86</v>
      </c>
      <c r="AJ61" s="401">
        <v>0.86</v>
      </c>
      <c r="AK61" s="401">
        <v>0</v>
      </c>
      <c r="AL61" s="401">
        <v>0</v>
      </c>
      <c r="AM61" s="401">
        <v>0</v>
      </c>
      <c r="AN61" s="401">
        <v>0</v>
      </c>
      <c r="AO61" s="401">
        <v>0</v>
      </c>
      <c r="AP61" s="401">
        <v>0</v>
      </c>
      <c r="AQ61" s="401">
        <v>0</v>
      </c>
      <c r="AR61" s="401">
        <v>0</v>
      </c>
      <c r="AS61" s="401">
        <v>0</v>
      </c>
      <c r="AT61" s="401">
        <v>0</v>
      </c>
      <c r="AU61" s="401">
        <v>0</v>
      </c>
      <c r="AV61" s="401">
        <v>0</v>
      </c>
      <c r="AW61" s="401">
        <v>0</v>
      </c>
      <c r="AX61" s="401">
        <v>0</v>
      </c>
      <c r="AY61" s="401">
        <v>0</v>
      </c>
      <c r="AZ61" s="401">
        <v>0</v>
      </c>
      <c r="BA61" s="401">
        <v>0</v>
      </c>
      <c r="BB61" s="401">
        <v>0</v>
      </c>
      <c r="BC61" s="401">
        <v>0</v>
      </c>
      <c r="BD61" s="401">
        <v>0</v>
      </c>
      <c r="BE61" s="401">
        <v>0</v>
      </c>
      <c r="BF61" s="401">
        <v>0</v>
      </c>
      <c r="BG61" s="423"/>
      <c r="BH61" s="424" t="s">
        <v>300</v>
      </c>
      <c r="BI61" s="404">
        <v>46011</v>
      </c>
      <c r="BJ61" s="405">
        <v>504.9</v>
      </c>
      <c r="BK61" s="425"/>
      <c r="BL61" s="406"/>
      <c r="BM61" s="407"/>
      <c r="BN61" s="408" t="s">
        <v>124</v>
      </c>
      <c r="BO61" s="409"/>
      <c r="BP61" s="409"/>
      <c r="BQ61" s="409"/>
      <c r="BR61" s="410"/>
      <c r="BS61" s="409"/>
      <c r="BT61" s="409"/>
      <c r="BU61" s="411"/>
      <c r="BV61" s="412"/>
      <c r="BW61" s="413"/>
      <c r="BX61" s="409"/>
      <c r="BY61" s="409"/>
      <c r="BZ61" s="413"/>
      <c r="CA61" s="413"/>
      <c r="CB61" s="413"/>
      <c r="CC61" s="411">
        <f t="shared" si="1"/>
        <v>2.2204460492503131E-16</v>
      </c>
      <c r="CD61" s="414"/>
      <c r="CE61" s="415"/>
      <c r="CF61" s="416" t="s">
        <v>166</v>
      </c>
      <c r="CG61" s="416"/>
    </row>
    <row r="62" spans="1:85" s="417" customFormat="1" ht="15" customHeight="1">
      <c r="A62" s="427" t="s">
        <v>301</v>
      </c>
      <c r="B62" s="428" t="s">
        <v>111</v>
      </c>
      <c r="C62" s="429">
        <v>46023</v>
      </c>
      <c r="D62" s="430" t="s">
        <v>179</v>
      </c>
      <c r="E62" s="431" t="s">
        <v>113</v>
      </c>
      <c r="F62" s="431" t="s">
        <v>114</v>
      </c>
      <c r="G62" s="431" t="s">
        <v>130</v>
      </c>
      <c r="H62" s="431" t="s">
        <v>116</v>
      </c>
      <c r="I62" s="431" t="s">
        <v>116</v>
      </c>
      <c r="J62" s="432" t="s">
        <v>116</v>
      </c>
      <c r="K62" s="431" t="b">
        <v>0</v>
      </c>
      <c r="L62" s="431" t="s">
        <v>116</v>
      </c>
      <c r="M62" s="432" t="s">
        <v>116</v>
      </c>
      <c r="N62" s="431" t="s">
        <v>118</v>
      </c>
      <c r="O62" s="433" t="s">
        <v>256</v>
      </c>
      <c r="P62" s="431" t="s">
        <v>257</v>
      </c>
      <c r="Q62" s="433" t="s">
        <v>258</v>
      </c>
      <c r="R62" s="431" t="s">
        <v>116</v>
      </c>
      <c r="S62" s="431" t="s">
        <v>116</v>
      </c>
      <c r="T62" s="433" t="s">
        <v>116</v>
      </c>
      <c r="U62" s="433" t="s">
        <v>116</v>
      </c>
      <c r="V62" s="431" t="s">
        <v>116</v>
      </c>
      <c r="W62" s="433" t="s">
        <v>116</v>
      </c>
      <c r="X62" s="434" t="s">
        <v>302</v>
      </c>
      <c r="Y62" s="435">
        <v>146.76</v>
      </c>
      <c r="Z62" s="436" t="s">
        <v>123</v>
      </c>
      <c r="AA62" s="400">
        <v>1</v>
      </c>
      <c r="AB62" s="401">
        <v>4.4000000000000004</v>
      </c>
      <c r="AC62" s="422"/>
      <c r="AD62" s="401">
        <v>2.94</v>
      </c>
      <c r="AE62" s="401">
        <v>0</v>
      </c>
      <c r="AF62" s="401">
        <v>0</v>
      </c>
      <c r="AG62" s="401">
        <v>0</v>
      </c>
      <c r="AH62" s="401">
        <v>0</v>
      </c>
      <c r="AI62" s="401">
        <v>0.73</v>
      </c>
      <c r="AJ62" s="401">
        <v>0.73</v>
      </c>
      <c r="AK62" s="401">
        <v>0</v>
      </c>
      <c r="AL62" s="401">
        <v>0</v>
      </c>
      <c r="AM62" s="401">
        <v>0</v>
      </c>
      <c r="AN62" s="401">
        <v>0</v>
      </c>
      <c r="AO62" s="401">
        <v>0</v>
      </c>
      <c r="AP62" s="401">
        <v>0</v>
      </c>
      <c r="AQ62" s="401">
        <v>0</v>
      </c>
      <c r="AR62" s="401">
        <v>0</v>
      </c>
      <c r="AS62" s="401">
        <v>0</v>
      </c>
      <c r="AT62" s="401">
        <v>0</v>
      </c>
      <c r="AU62" s="401">
        <v>0</v>
      </c>
      <c r="AV62" s="401">
        <v>0</v>
      </c>
      <c r="AW62" s="401">
        <v>0</v>
      </c>
      <c r="AX62" s="401">
        <v>0</v>
      </c>
      <c r="AY62" s="401">
        <v>0</v>
      </c>
      <c r="AZ62" s="401">
        <v>0</v>
      </c>
      <c r="BA62" s="401">
        <v>0</v>
      </c>
      <c r="BB62" s="401">
        <v>0</v>
      </c>
      <c r="BC62" s="401">
        <v>0</v>
      </c>
      <c r="BD62" s="401">
        <v>0</v>
      </c>
      <c r="BE62" s="401">
        <v>0</v>
      </c>
      <c r="BF62" s="401">
        <v>0</v>
      </c>
      <c r="BG62" s="423"/>
      <c r="BH62" s="424" t="s">
        <v>300</v>
      </c>
      <c r="BI62" s="404">
        <v>46011</v>
      </c>
      <c r="BJ62" s="405">
        <v>504.9</v>
      </c>
      <c r="BK62" s="425"/>
      <c r="BL62" s="406"/>
      <c r="BM62" s="407"/>
      <c r="BN62" s="408" t="s">
        <v>124</v>
      </c>
      <c r="BO62" s="409"/>
      <c r="BP62" s="409"/>
      <c r="BQ62" s="409"/>
      <c r="BR62" s="410"/>
      <c r="BS62" s="409"/>
      <c r="BT62" s="409"/>
      <c r="BU62" s="411"/>
      <c r="BV62" s="412"/>
      <c r="BW62" s="413"/>
      <c r="BX62" s="409"/>
      <c r="BY62" s="409"/>
      <c r="BZ62" s="413"/>
      <c r="CA62" s="413"/>
      <c r="CB62" s="413"/>
      <c r="CC62" s="411">
        <f t="shared" si="1"/>
        <v>4.4408920985006262E-16</v>
      </c>
      <c r="CD62" s="414"/>
      <c r="CE62" s="415"/>
      <c r="CF62" s="416" t="s">
        <v>166</v>
      </c>
      <c r="CG62" s="416"/>
    </row>
    <row r="63" spans="1:85" s="417" customFormat="1" ht="15" customHeight="1">
      <c r="A63" s="427" t="s">
        <v>303</v>
      </c>
      <c r="B63" s="428" t="s">
        <v>111</v>
      </c>
      <c r="C63" s="429">
        <v>45717</v>
      </c>
      <c r="D63" s="430" t="s">
        <v>304</v>
      </c>
      <c r="E63" s="431" t="s">
        <v>113</v>
      </c>
      <c r="F63" s="431" t="s">
        <v>114</v>
      </c>
      <c r="G63" s="431" t="s">
        <v>153</v>
      </c>
      <c r="H63" s="431" t="s">
        <v>116</v>
      </c>
      <c r="I63" s="431" t="s">
        <v>116</v>
      </c>
      <c r="J63" s="432" t="s">
        <v>116</v>
      </c>
      <c r="K63" s="431" t="b">
        <v>0</v>
      </c>
      <c r="L63" s="431" t="s">
        <v>116</v>
      </c>
      <c r="M63" s="432" t="s">
        <v>116</v>
      </c>
      <c r="N63" s="431" t="s">
        <v>118</v>
      </c>
      <c r="O63" s="433" t="s">
        <v>256</v>
      </c>
      <c r="P63" s="431" t="s">
        <v>257</v>
      </c>
      <c r="Q63" s="433" t="s">
        <v>258</v>
      </c>
      <c r="R63" s="431" t="s">
        <v>116</v>
      </c>
      <c r="S63" s="431" t="s">
        <v>116</v>
      </c>
      <c r="T63" s="433" t="s">
        <v>116</v>
      </c>
      <c r="U63" s="433" t="s">
        <v>116</v>
      </c>
      <c r="V63" s="431" t="s">
        <v>116</v>
      </c>
      <c r="W63" s="433" t="s">
        <v>116</v>
      </c>
      <c r="X63" s="434" t="s">
        <v>305</v>
      </c>
      <c r="Y63" s="435">
        <v>171.18</v>
      </c>
      <c r="Z63" s="436" t="s">
        <v>123</v>
      </c>
      <c r="AA63" s="400">
        <v>1</v>
      </c>
      <c r="AB63" s="401">
        <v>1.71</v>
      </c>
      <c r="AC63" s="422"/>
      <c r="AD63" s="401">
        <v>1.1299999999999999</v>
      </c>
      <c r="AE63" s="401">
        <v>0</v>
      </c>
      <c r="AF63" s="401">
        <v>0</v>
      </c>
      <c r="AG63" s="401">
        <v>0</v>
      </c>
      <c r="AH63" s="401">
        <v>0</v>
      </c>
      <c r="AI63" s="401">
        <v>0.28999999999999998</v>
      </c>
      <c r="AJ63" s="401">
        <v>0.28999999999999998</v>
      </c>
      <c r="AK63" s="401">
        <v>0</v>
      </c>
      <c r="AL63" s="401">
        <v>0</v>
      </c>
      <c r="AM63" s="401">
        <v>0</v>
      </c>
      <c r="AN63" s="401">
        <v>0</v>
      </c>
      <c r="AO63" s="401">
        <v>0</v>
      </c>
      <c r="AP63" s="401">
        <v>0</v>
      </c>
      <c r="AQ63" s="401">
        <v>0</v>
      </c>
      <c r="AR63" s="401">
        <v>0</v>
      </c>
      <c r="AS63" s="401">
        <v>0</v>
      </c>
      <c r="AT63" s="401">
        <v>0</v>
      </c>
      <c r="AU63" s="401">
        <v>0</v>
      </c>
      <c r="AV63" s="401">
        <v>0</v>
      </c>
      <c r="AW63" s="401">
        <v>0</v>
      </c>
      <c r="AX63" s="401">
        <v>0</v>
      </c>
      <c r="AY63" s="401">
        <v>0</v>
      </c>
      <c r="AZ63" s="401">
        <v>0</v>
      </c>
      <c r="BA63" s="401">
        <v>0</v>
      </c>
      <c r="BB63" s="401">
        <v>0</v>
      </c>
      <c r="BC63" s="401">
        <v>0</v>
      </c>
      <c r="BD63" s="401">
        <v>0</v>
      </c>
      <c r="BE63" s="401">
        <v>0</v>
      </c>
      <c r="BF63" s="401">
        <v>0</v>
      </c>
      <c r="BG63" s="423"/>
      <c r="BH63" s="424" t="s">
        <v>283</v>
      </c>
      <c r="BI63" s="404">
        <v>45998</v>
      </c>
      <c r="BJ63" s="405">
        <v>233.1</v>
      </c>
      <c r="BK63" s="425"/>
      <c r="BL63" s="406"/>
      <c r="BM63" s="407"/>
      <c r="BN63" s="408" t="s">
        <v>124</v>
      </c>
      <c r="BO63" s="409"/>
      <c r="BP63" s="409"/>
      <c r="BQ63" s="409"/>
      <c r="BR63" s="410"/>
      <c r="BS63" s="409"/>
      <c r="BT63" s="409"/>
      <c r="BU63" s="411"/>
      <c r="BV63" s="412"/>
      <c r="BW63" s="413"/>
      <c r="BX63" s="409"/>
      <c r="BY63" s="409"/>
      <c r="BZ63" s="413"/>
      <c r="CA63" s="413"/>
      <c r="CB63" s="413"/>
      <c r="CC63" s="411">
        <f t="shared" si="1"/>
        <v>1.1102230246251565E-16</v>
      </c>
      <c r="CD63" s="414"/>
      <c r="CE63" s="415"/>
      <c r="CF63" s="416" t="s">
        <v>166</v>
      </c>
      <c r="CG63" s="416"/>
    </row>
    <row r="64" spans="1:85" s="417" customFormat="1" ht="15" customHeight="1">
      <c r="A64" s="427" t="s">
        <v>306</v>
      </c>
      <c r="B64" s="428" t="s">
        <v>111</v>
      </c>
      <c r="C64" s="429">
        <v>45658</v>
      </c>
      <c r="D64" s="430" t="s">
        <v>307</v>
      </c>
      <c r="E64" s="431" t="s">
        <v>113</v>
      </c>
      <c r="F64" s="431" t="s">
        <v>114</v>
      </c>
      <c r="G64" s="431" t="s">
        <v>130</v>
      </c>
      <c r="H64" s="431" t="s">
        <v>116</v>
      </c>
      <c r="I64" s="431" t="s">
        <v>214</v>
      </c>
      <c r="J64" s="432" t="s">
        <v>116</v>
      </c>
      <c r="K64" s="431" t="b">
        <v>0</v>
      </c>
      <c r="L64" s="431" t="s">
        <v>116</v>
      </c>
      <c r="M64" s="432" t="s">
        <v>116</v>
      </c>
      <c r="N64" s="431" t="s">
        <v>116</v>
      </c>
      <c r="O64" s="433" t="s">
        <v>118</v>
      </c>
      <c r="P64" s="431" t="s">
        <v>308</v>
      </c>
      <c r="Q64" s="433" t="s">
        <v>309</v>
      </c>
      <c r="R64" s="431" t="s">
        <v>116</v>
      </c>
      <c r="S64" s="431" t="s">
        <v>116</v>
      </c>
      <c r="T64" s="433" t="s">
        <v>116</v>
      </c>
      <c r="U64" s="433" t="s">
        <v>116</v>
      </c>
      <c r="V64" s="431" t="s">
        <v>116</v>
      </c>
      <c r="W64" s="433" t="s">
        <v>116</v>
      </c>
      <c r="X64" s="434" t="s">
        <v>310</v>
      </c>
      <c r="Y64" s="435">
        <v>178.18</v>
      </c>
      <c r="Z64" s="436" t="s">
        <v>123</v>
      </c>
      <c r="AA64" s="400">
        <v>1</v>
      </c>
      <c r="AB64" s="401">
        <v>44.09</v>
      </c>
      <c r="AC64" s="422"/>
      <c r="AD64" s="401">
        <v>2.75</v>
      </c>
      <c r="AE64" s="401">
        <v>0</v>
      </c>
      <c r="AF64" s="401">
        <v>0</v>
      </c>
      <c r="AG64" s="401">
        <v>0</v>
      </c>
      <c r="AH64" s="401">
        <v>0</v>
      </c>
      <c r="AI64" s="401">
        <v>0</v>
      </c>
      <c r="AJ64" s="401">
        <v>0.92</v>
      </c>
      <c r="AK64" s="401">
        <v>40.42</v>
      </c>
      <c r="AL64" s="401">
        <v>0</v>
      </c>
      <c r="AM64" s="401">
        <v>0</v>
      </c>
      <c r="AN64" s="401">
        <v>0</v>
      </c>
      <c r="AO64" s="401">
        <v>0</v>
      </c>
      <c r="AP64" s="401">
        <v>0</v>
      </c>
      <c r="AQ64" s="401">
        <v>0</v>
      </c>
      <c r="AR64" s="401">
        <v>0</v>
      </c>
      <c r="AS64" s="401">
        <v>0</v>
      </c>
      <c r="AT64" s="401">
        <v>0</v>
      </c>
      <c r="AU64" s="401">
        <v>0</v>
      </c>
      <c r="AV64" s="401">
        <v>0</v>
      </c>
      <c r="AW64" s="401">
        <v>0</v>
      </c>
      <c r="AX64" s="401">
        <v>0</v>
      </c>
      <c r="AY64" s="401">
        <v>0</v>
      </c>
      <c r="AZ64" s="401">
        <v>0</v>
      </c>
      <c r="BA64" s="401">
        <v>0</v>
      </c>
      <c r="BB64" s="401">
        <v>0</v>
      </c>
      <c r="BC64" s="401">
        <v>0</v>
      </c>
      <c r="BD64" s="401">
        <v>0</v>
      </c>
      <c r="BE64" s="401">
        <v>0</v>
      </c>
      <c r="BF64" s="401">
        <v>0</v>
      </c>
      <c r="BG64" s="423"/>
      <c r="BH64" s="424" t="s">
        <v>311</v>
      </c>
      <c r="BI64" s="404">
        <v>46011</v>
      </c>
      <c r="BJ64" s="405">
        <v>504.9</v>
      </c>
      <c r="BK64" s="425"/>
      <c r="BL64" s="406"/>
      <c r="BM64" s="407"/>
      <c r="BN64" s="408" t="s">
        <v>124</v>
      </c>
      <c r="BO64" s="409"/>
      <c r="BP64" s="409"/>
      <c r="BQ64" s="409"/>
      <c r="BR64" s="410"/>
      <c r="BS64" s="409"/>
      <c r="BT64" s="409"/>
      <c r="BU64" s="411"/>
      <c r="BV64" s="412"/>
      <c r="BW64" s="413"/>
      <c r="BX64" s="409"/>
      <c r="BY64" s="409"/>
      <c r="BZ64" s="413"/>
      <c r="CA64" s="413"/>
      <c r="CB64" s="413"/>
      <c r="CC64" s="411">
        <f t="shared" si="1"/>
        <v>0</v>
      </c>
      <c r="CD64" s="414"/>
      <c r="CE64" s="415"/>
      <c r="CF64" s="416" t="s">
        <v>166</v>
      </c>
      <c r="CG64" s="416"/>
    </row>
    <row r="65" spans="1:85" s="417" customFormat="1" ht="15" customHeight="1">
      <c r="A65" s="437" t="s">
        <v>213</v>
      </c>
      <c r="B65" s="431" t="s">
        <v>111</v>
      </c>
      <c r="C65" s="438">
        <v>44927</v>
      </c>
      <c r="D65" s="439" t="s">
        <v>112</v>
      </c>
      <c r="E65" s="431" t="s">
        <v>113</v>
      </c>
      <c r="F65" s="439" t="s">
        <v>114</v>
      </c>
      <c r="G65" s="439" t="s">
        <v>153</v>
      </c>
      <c r="H65" s="439" t="s">
        <v>116</v>
      </c>
      <c r="I65" s="439" t="s">
        <v>214</v>
      </c>
      <c r="J65" s="440" t="s">
        <v>116</v>
      </c>
      <c r="K65" s="441" t="b">
        <v>0</v>
      </c>
      <c r="L65" s="441" t="s">
        <v>116</v>
      </c>
      <c r="M65" s="440" t="s">
        <v>116</v>
      </c>
      <c r="N65" s="441" t="s">
        <v>116</v>
      </c>
      <c r="O65" s="442" t="s">
        <v>118</v>
      </c>
      <c r="P65" s="439" t="s">
        <v>308</v>
      </c>
      <c r="Q65" s="443" t="s">
        <v>309</v>
      </c>
      <c r="R65" s="441" t="s">
        <v>138</v>
      </c>
      <c r="S65" s="441" t="s">
        <v>116</v>
      </c>
      <c r="T65" s="442" t="s">
        <v>116</v>
      </c>
      <c r="U65" s="442" t="s">
        <v>116</v>
      </c>
      <c r="V65" s="441" t="s">
        <v>116</v>
      </c>
      <c r="W65" s="442" t="s">
        <v>116</v>
      </c>
      <c r="X65" s="443" t="s">
        <v>215</v>
      </c>
      <c r="Y65" s="435">
        <v>170.35</v>
      </c>
      <c r="Z65" s="439" t="s">
        <v>123</v>
      </c>
      <c r="AA65" s="400">
        <v>1</v>
      </c>
      <c r="AB65" s="401">
        <v>42.59</v>
      </c>
      <c r="AC65" s="422"/>
      <c r="AD65" s="401">
        <v>3.41</v>
      </c>
      <c r="AE65" s="401">
        <v>0</v>
      </c>
      <c r="AF65" s="401">
        <v>0</v>
      </c>
      <c r="AG65" s="401">
        <v>0</v>
      </c>
      <c r="AH65" s="401">
        <v>0</v>
      </c>
      <c r="AI65" s="401">
        <v>0</v>
      </c>
      <c r="AJ65" s="401">
        <v>1.7</v>
      </c>
      <c r="AK65" s="401">
        <v>37.479999999999997</v>
      </c>
      <c r="AL65" s="401">
        <v>0</v>
      </c>
      <c r="AM65" s="401">
        <v>0</v>
      </c>
      <c r="AN65" s="401">
        <v>0</v>
      </c>
      <c r="AO65" s="401">
        <v>0</v>
      </c>
      <c r="AP65" s="401">
        <v>0</v>
      </c>
      <c r="AQ65" s="401">
        <v>0</v>
      </c>
      <c r="AR65" s="401">
        <v>0</v>
      </c>
      <c r="AS65" s="401">
        <v>0</v>
      </c>
      <c r="AT65" s="401">
        <v>0</v>
      </c>
      <c r="AU65" s="401">
        <v>0</v>
      </c>
      <c r="AV65" s="401">
        <v>0</v>
      </c>
      <c r="AW65" s="401">
        <v>0</v>
      </c>
      <c r="AX65" s="401">
        <v>0</v>
      </c>
      <c r="AY65" s="401">
        <v>0</v>
      </c>
      <c r="AZ65" s="401">
        <v>0</v>
      </c>
      <c r="BA65" s="401">
        <v>0</v>
      </c>
      <c r="BB65" s="401">
        <v>0</v>
      </c>
      <c r="BC65" s="401">
        <v>0</v>
      </c>
      <c r="BD65" s="401">
        <v>0</v>
      </c>
      <c r="BE65" s="401">
        <v>0</v>
      </c>
      <c r="BF65" s="401">
        <v>0</v>
      </c>
      <c r="BG65" s="423"/>
      <c r="BH65" s="424" t="s">
        <v>312</v>
      </c>
      <c r="BI65" s="404">
        <v>46018</v>
      </c>
      <c r="BJ65" s="405">
        <v>42.59</v>
      </c>
      <c r="BK65" s="406"/>
      <c r="BL65" s="406"/>
      <c r="BM65" s="407"/>
      <c r="BN65" s="408" t="s">
        <v>124</v>
      </c>
      <c r="BO65" s="409"/>
      <c r="BP65" s="409"/>
      <c r="BQ65" s="409"/>
      <c r="BR65" s="410"/>
      <c r="BS65" s="409"/>
      <c r="BT65" s="409"/>
      <c r="BU65" s="411"/>
      <c r="BV65" s="412"/>
      <c r="BW65" s="413"/>
      <c r="BX65" s="409"/>
      <c r="BY65" s="409"/>
      <c r="BZ65" s="413"/>
      <c r="CA65" s="413"/>
      <c r="CB65" s="413"/>
      <c r="CC65" s="411">
        <f t="shared" si="1"/>
        <v>7.1054273576010019E-15</v>
      </c>
      <c r="CD65" s="414"/>
      <c r="CE65" s="415"/>
      <c r="CF65" s="416" t="s">
        <v>157</v>
      </c>
      <c r="CG65" s="416"/>
    </row>
    <row r="66" spans="1:85" s="417" customFormat="1" ht="15" customHeight="1">
      <c r="A66" s="427" t="s">
        <v>313</v>
      </c>
      <c r="B66" s="428" t="s">
        <v>111</v>
      </c>
      <c r="C66" s="429">
        <v>45658</v>
      </c>
      <c r="D66" s="430" t="s">
        <v>112</v>
      </c>
      <c r="E66" s="431" t="s">
        <v>113</v>
      </c>
      <c r="F66" s="431" t="s">
        <v>114</v>
      </c>
      <c r="G66" s="431" t="s">
        <v>130</v>
      </c>
      <c r="H66" s="431" t="s">
        <v>116</v>
      </c>
      <c r="I66" s="431" t="s">
        <v>223</v>
      </c>
      <c r="J66" s="432" t="s">
        <v>116</v>
      </c>
      <c r="K66" s="431" t="b">
        <v>0</v>
      </c>
      <c r="L66" s="431" t="s">
        <v>116</v>
      </c>
      <c r="M66" s="432" t="s">
        <v>116</v>
      </c>
      <c r="N66" s="431" t="s">
        <v>116</v>
      </c>
      <c r="O66" s="433" t="s">
        <v>116</v>
      </c>
      <c r="P66" s="431" t="s">
        <v>118</v>
      </c>
      <c r="Q66" s="433" t="s">
        <v>314</v>
      </c>
      <c r="R66" s="431" t="s">
        <v>116</v>
      </c>
      <c r="S66" s="431" t="s">
        <v>116</v>
      </c>
      <c r="T66" s="433" t="s">
        <v>116</v>
      </c>
      <c r="U66" s="433" t="s">
        <v>116</v>
      </c>
      <c r="V66" s="431" t="s">
        <v>116</v>
      </c>
      <c r="W66" s="433" t="s">
        <v>116</v>
      </c>
      <c r="X66" s="434" t="s">
        <v>315</v>
      </c>
      <c r="Y66" s="435">
        <v>184.54</v>
      </c>
      <c r="Z66" s="436" t="s">
        <v>123</v>
      </c>
      <c r="AA66" s="400">
        <v>1</v>
      </c>
      <c r="AB66" s="401">
        <v>11.07</v>
      </c>
      <c r="AC66" s="422"/>
      <c r="AD66" s="401">
        <v>11.07</v>
      </c>
      <c r="AE66" s="401">
        <v>0</v>
      </c>
      <c r="AF66" s="401">
        <v>0</v>
      </c>
      <c r="AG66" s="401">
        <v>0</v>
      </c>
      <c r="AH66" s="401">
        <v>0</v>
      </c>
      <c r="AI66" s="401">
        <v>0</v>
      </c>
      <c r="AJ66" s="401">
        <v>0</v>
      </c>
      <c r="AK66" s="401">
        <v>0</v>
      </c>
      <c r="AL66" s="401">
        <v>0</v>
      </c>
      <c r="AM66" s="401">
        <v>0</v>
      </c>
      <c r="AN66" s="401">
        <v>0</v>
      </c>
      <c r="AO66" s="401">
        <v>0</v>
      </c>
      <c r="AP66" s="401">
        <v>0</v>
      </c>
      <c r="AQ66" s="401">
        <v>0</v>
      </c>
      <c r="AR66" s="401">
        <v>0</v>
      </c>
      <c r="AS66" s="401">
        <v>0</v>
      </c>
      <c r="AT66" s="401">
        <v>0</v>
      </c>
      <c r="AU66" s="401">
        <v>0</v>
      </c>
      <c r="AV66" s="401">
        <v>0</v>
      </c>
      <c r="AW66" s="401">
        <v>0</v>
      </c>
      <c r="AX66" s="401">
        <v>0</v>
      </c>
      <c r="AY66" s="401">
        <v>0</v>
      </c>
      <c r="AZ66" s="401">
        <v>0</v>
      </c>
      <c r="BA66" s="401">
        <v>0</v>
      </c>
      <c r="BB66" s="401">
        <v>0</v>
      </c>
      <c r="BC66" s="401">
        <v>0</v>
      </c>
      <c r="BD66" s="401">
        <v>0</v>
      </c>
      <c r="BE66" s="401">
        <v>0</v>
      </c>
      <c r="BF66" s="401">
        <v>0</v>
      </c>
      <c r="BG66" s="423"/>
      <c r="BH66" s="424" t="s">
        <v>316</v>
      </c>
      <c r="BI66" s="404">
        <v>45998</v>
      </c>
      <c r="BJ66" s="405">
        <v>26.78</v>
      </c>
      <c r="BK66" s="406"/>
      <c r="BL66" s="406"/>
      <c r="BM66" s="407"/>
      <c r="BN66" s="408" t="s">
        <v>124</v>
      </c>
      <c r="BO66" s="409"/>
      <c r="BP66" s="409"/>
      <c r="BQ66" s="409"/>
      <c r="BR66" s="410"/>
      <c r="BS66" s="409"/>
      <c r="BT66" s="409"/>
      <c r="BU66" s="411"/>
      <c r="BV66" s="412"/>
      <c r="BW66" s="413"/>
      <c r="BX66" s="409"/>
      <c r="BY66" s="409"/>
      <c r="BZ66" s="413"/>
      <c r="CA66" s="413"/>
      <c r="CB66" s="413"/>
      <c r="CC66" s="411">
        <f t="shared" si="1"/>
        <v>0</v>
      </c>
      <c r="CD66" s="414"/>
      <c r="CE66" s="415"/>
      <c r="CF66" s="416" t="s">
        <v>166</v>
      </c>
      <c r="CG66" s="416"/>
    </row>
    <row r="67" spans="1:85" s="417" customFormat="1" ht="15" customHeight="1">
      <c r="A67" s="427" t="s">
        <v>317</v>
      </c>
      <c r="B67" s="428" t="s">
        <v>111</v>
      </c>
      <c r="C67" s="429">
        <v>45658</v>
      </c>
      <c r="D67" s="430" t="s">
        <v>112</v>
      </c>
      <c r="E67" s="431" t="s">
        <v>113</v>
      </c>
      <c r="F67" s="431" t="s">
        <v>114</v>
      </c>
      <c r="G67" s="431" t="s">
        <v>130</v>
      </c>
      <c r="H67" s="431" t="s">
        <v>116</v>
      </c>
      <c r="I67" s="431" t="s">
        <v>223</v>
      </c>
      <c r="J67" s="432" t="s">
        <v>116</v>
      </c>
      <c r="K67" s="431" t="b">
        <v>0</v>
      </c>
      <c r="L67" s="431" t="s">
        <v>116</v>
      </c>
      <c r="M67" s="432" t="s">
        <v>116</v>
      </c>
      <c r="N67" s="431" t="s">
        <v>116</v>
      </c>
      <c r="O67" s="433" t="s">
        <v>116</v>
      </c>
      <c r="P67" s="431" t="s">
        <v>118</v>
      </c>
      <c r="Q67" s="433" t="s">
        <v>314</v>
      </c>
      <c r="R67" s="431" t="s">
        <v>116</v>
      </c>
      <c r="S67" s="431" t="s">
        <v>116</v>
      </c>
      <c r="T67" s="433" t="s">
        <v>116</v>
      </c>
      <c r="U67" s="433" t="s">
        <v>116</v>
      </c>
      <c r="V67" s="431" t="s">
        <v>116</v>
      </c>
      <c r="W67" s="433" t="s">
        <v>116</v>
      </c>
      <c r="X67" s="434" t="s">
        <v>318</v>
      </c>
      <c r="Y67" s="435" t="s">
        <v>116</v>
      </c>
      <c r="Z67" s="436" t="s">
        <v>123</v>
      </c>
      <c r="AA67" s="400">
        <v>1</v>
      </c>
      <c r="AB67" s="401">
        <v>10.24</v>
      </c>
      <c r="AC67" s="422"/>
      <c r="AD67" s="401">
        <v>10.24</v>
      </c>
      <c r="AE67" s="401">
        <v>0</v>
      </c>
      <c r="AF67" s="401">
        <v>0</v>
      </c>
      <c r="AG67" s="401">
        <v>0</v>
      </c>
      <c r="AH67" s="401">
        <v>0</v>
      </c>
      <c r="AI67" s="401">
        <v>0</v>
      </c>
      <c r="AJ67" s="401">
        <v>0</v>
      </c>
      <c r="AK67" s="401">
        <v>0</v>
      </c>
      <c r="AL67" s="401">
        <v>0</v>
      </c>
      <c r="AM67" s="401">
        <v>0</v>
      </c>
      <c r="AN67" s="401">
        <v>0</v>
      </c>
      <c r="AO67" s="401">
        <v>0</v>
      </c>
      <c r="AP67" s="401">
        <v>0</v>
      </c>
      <c r="AQ67" s="401">
        <v>0</v>
      </c>
      <c r="AR67" s="401">
        <v>0</v>
      </c>
      <c r="AS67" s="401">
        <v>0</v>
      </c>
      <c r="AT67" s="401">
        <v>0</v>
      </c>
      <c r="AU67" s="401">
        <v>0</v>
      </c>
      <c r="AV67" s="401">
        <v>0</v>
      </c>
      <c r="AW67" s="401">
        <v>0</v>
      </c>
      <c r="AX67" s="401">
        <v>0</v>
      </c>
      <c r="AY67" s="401">
        <v>0</v>
      </c>
      <c r="AZ67" s="401">
        <v>0</v>
      </c>
      <c r="BA67" s="401">
        <v>0</v>
      </c>
      <c r="BB67" s="401">
        <v>0</v>
      </c>
      <c r="BC67" s="401">
        <v>0</v>
      </c>
      <c r="BD67" s="401">
        <v>0</v>
      </c>
      <c r="BE67" s="401">
        <v>0</v>
      </c>
      <c r="BF67" s="401">
        <v>0</v>
      </c>
      <c r="BG67" s="423"/>
      <c r="BH67" s="424" t="s">
        <v>316</v>
      </c>
      <c r="BI67" s="404">
        <v>45998</v>
      </c>
      <c r="BJ67" s="405">
        <v>26.78</v>
      </c>
      <c r="BK67" s="406"/>
      <c r="BL67" s="406"/>
      <c r="BM67" s="407"/>
      <c r="BN67" s="408" t="s">
        <v>124</v>
      </c>
      <c r="BO67" s="409"/>
      <c r="BP67" s="409"/>
      <c r="BQ67" s="409"/>
      <c r="BR67" s="410"/>
      <c r="BS67" s="409"/>
      <c r="BT67" s="409"/>
      <c r="BU67" s="411"/>
      <c r="BV67" s="412"/>
      <c r="BW67" s="413"/>
      <c r="BX67" s="409"/>
      <c r="BY67" s="409"/>
      <c r="BZ67" s="413"/>
      <c r="CA67" s="413"/>
      <c r="CB67" s="413"/>
      <c r="CC67" s="411">
        <f t="shared" si="1"/>
        <v>0</v>
      </c>
      <c r="CD67" s="414"/>
      <c r="CE67" s="415"/>
      <c r="CF67" s="416" t="s">
        <v>166</v>
      </c>
      <c r="CG67" s="416"/>
    </row>
    <row r="68" spans="1:85" s="417" customFormat="1" ht="15" customHeight="1">
      <c r="A68" s="437" t="s">
        <v>319</v>
      </c>
      <c r="B68" s="431" t="s">
        <v>111</v>
      </c>
      <c r="C68" s="438">
        <v>45809</v>
      </c>
      <c r="D68" s="439" t="s">
        <v>112</v>
      </c>
      <c r="E68" s="431" t="s">
        <v>113</v>
      </c>
      <c r="F68" s="439" t="s">
        <v>114</v>
      </c>
      <c r="G68" s="439" t="s">
        <v>320</v>
      </c>
      <c r="H68" s="439" t="s">
        <v>116</v>
      </c>
      <c r="I68" s="439" t="s">
        <v>116</v>
      </c>
      <c r="J68" s="440" t="s">
        <v>116</v>
      </c>
      <c r="K68" s="441" t="b">
        <v>0</v>
      </c>
      <c r="L68" s="441" t="s">
        <v>116</v>
      </c>
      <c r="M68" s="440" t="s">
        <v>116</v>
      </c>
      <c r="N68" s="441" t="s">
        <v>116</v>
      </c>
      <c r="O68" s="433" t="s">
        <v>116</v>
      </c>
      <c r="P68" s="431" t="s">
        <v>118</v>
      </c>
      <c r="Q68" s="443" t="s">
        <v>314</v>
      </c>
      <c r="R68" s="441" t="s">
        <v>116</v>
      </c>
      <c r="S68" s="441" t="s">
        <v>116</v>
      </c>
      <c r="T68" s="442" t="s">
        <v>116</v>
      </c>
      <c r="U68" s="442" t="s">
        <v>116</v>
      </c>
      <c r="V68" s="441" t="s">
        <v>116</v>
      </c>
      <c r="W68" s="442" t="s">
        <v>116</v>
      </c>
      <c r="X68" s="443" t="s">
        <v>321</v>
      </c>
      <c r="Y68" s="435">
        <v>181.94</v>
      </c>
      <c r="Z68" s="439" t="s">
        <v>123</v>
      </c>
      <c r="AA68" s="400">
        <v>1</v>
      </c>
      <c r="AB68" s="401">
        <v>10.92</v>
      </c>
      <c r="AC68" s="422"/>
      <c r="AD68" s="401">
        <v>10.92</v>
      </c>
      <c r="AE68" s="401">
        <v>0</v>
      </c>
      <c r="AF68" s="401">
        <v>0</v>
      </c>
      <c r="AG68" s="401">
        <v>0</v>
      </c>
      <c r="AH68" s="401">
        <v>0</v>
      </c>
      <c r="AI68" s="401">
        <v>0</v>
      </c>
      <c r="AJ68" s="401">
        <v>0</v>
      </c>
      <c r="AK68" s="401">
        <v>0</v>
      </c>
      <c r="AL68" s="401">
        <v>0</v>
      </c>
      <c r="AM68" s="401">
        <v>0</v>
      </c>
      <c r="AN68" s="401">
        <v>0</v>
      </c>
      <c r="AO68" s="401">
        <v>0</v>
      </c>
      <c r="AP68" s="401">
        <v>0</v>
      </c>
      <c r="AQ68" s="401">
        <v>0</v>
      </c>
      <c r="AR68" s="401">
        <v>0</v>
      </c>
      <c r="AS68" s="401">
        <v>0</v>
      </c>
      <c r="AT68" s="401">
        <v>0</v>
      </c>
      <c r="AU68" s="401">
        <v>0</v>
      </c>
      <c r="AV68" s="401">
        <v>0</v>
      </c>
      <c r="AW68" s="401">
        <v>0</v>
      </c>
      <c r="AX68" s="401">
        <v>0</v>
      </c>
      <c r="AY68" s="401">
        <v>0</v>
      </c>
      <c r="AZ68" s="401">
        <v>0</v>
      </c>
      <c r="BA68" s="401">
        <v>0</v>
      </c>
      <c r="BB68" s="401">
        <v>0</v>
      </c>
      <c r="BC68" s="401">
        <v>0</v>
      </c>
      <c r="BD68" s="401">
        <v>0</v>
      </c>
      <c r="BE68" s="401">
        <v>0</v>
      </c>
      <c r="BF68" s="401">
        <v>0</v>
      </c>
      <c r="BG68" s="423"/>
      <c r="BH68" s="424" t="s">
        <v>322</v>
      </c>
      <c r="BI68" s="404">
        <v>46011</v>
      </c>
      <c r="BJ68" s="405">
        <v>33.81</v>
      </c>
      <c r="BK68" s="406"/>
      <c r="BL68" s="406"/>
      <c r="BM68" s="407"/>
      <c r="BN68" s="408" t="s">
        <v>124</v>
      </c>
      <c r="BO68" s="409"/>
      <c r="BP68" s="409"/>
      <c r="BQ68" s="409"/>
      <c r="BR68" s="410"/>
      <c r="BS68" s="409"/>
      <c r="BT68" s="409"/>
      <c r="BU68" s="411"/>
      <c r="BV68" s="412"/>
      <c r="BW68" s="413"/>
      <c r="BX68" s="409"/>
      <c r="BY68" s="409"/>
      <c r="BZ68" s="413"/>
      <c r="CA68" s="413"/>
      <c r="CB68" s="413"/>
      <c r="CC68" s="411">
        <f t="shared" si="1"/>
        <v>0</v>
      </c>
      <c r="CD68" s="414"/>
      <c r="CE68" s="415"/>
      <c r="CF68" s="416" t="s">
        <v>166</v>
      </c>
      <c r="CG68" s="416"/>
    </row>
    <row r="69" spans="1:85" s="417" customFormat="1" ht="15" customHeight="1">
      <c r="A69" s="427" t="s">
        <v>323</v>
      </c>
      <c r="B69" s="428" t="s">
        <v>111</v>
      </c>
      <c r="C69" s="429">
        <v>43101.333333333336</v>
      </c>
      <c r="D69" s="430" t="s">
        <v>324</v>
      </c>
      <c r="E69" s="431" t="s">
        <v>113</v>
      </c>
      <c r="F69" s="431" t="s">
        <v>114</v>
      </c>
      <c r="G69" s="431" t="s">
        <v>130</v>
      </c>
      <c r="H69" s="431" t="s">
        <v>116</v>
      </c>
      <c r="I69" s="431" t="s">
        <v>116</v>
      </c>
      <c r="J69" s="432" t="s">
        <v>116</v>
      </c>
      <c r="K69" s="431" t="b">
        <v>0</v>
      </c>
      <c r="L69" s="431" t="s">
        <v>116</v>
      </c>
      <c r="M69" s="432" t="s">
        <v>116</v>
      </c>
      <c r="N69" s="431" t="s">
        <v>116</v>
      </c>
      <c r="O69" s="433" t="s">
        <v>116</v>
      </c>
      <c r="P69" s="431" t="s">
        <v>118</v>
      </c>
      <c r="Q69" s="433" t="s">
        <v>325</v>
      </c>
      <c r="R69" s="431" t="s">
        <v>116</v>
      </c>
      <c r="S69" s="431" t="s">
        <v>116</v>
      </c>
      <c r="T69" s="433" t="s">
        <v>116</v>
      </c>
      <c r="U69" s="433" t="s">
        <v>116</v>
      </c>
      <c r="V69" s="431" t="s">
        <v>116</v>
      </c>
      <c r="W69" s="433" t="s">
        <v>116</v>
      </c>
      <c r="X69" s="434" t="s">
        <v>132</v>
      </c>
      <c r="Y69" s="435">
        <v>95</v>
      </c>
      <c r="Z69" s="436" t="s">
        <v>123</v>
      </c>
      <c r="AA69" s="400">
        <v>1</v>
      </c>
      <c r="AB69" s="401">
        <v>2.85</v>
      </c>
      <c r="AC69" s="422"/>
      <c r="AD69" s="401">
        <v>2.85</v>
      </c>
      <c r="AE69" s="401">
        <v>0</v>
      </c>
      <c r="AF69" s="401">
        <v>0</v>
      </c>
      <c r="AG69" s="401">
        <v>0</v>
      </c>
      <c r="AH69" s="401">
        <v>0</v>
      </c>
      <c r="AI69" s="401">
        <v>0</v>
      </c>
      <c r="AJ69" s="401">
        <v>0</v>
      </c>
      <c r="AK69" s="401">
        <v>0</v>
      </c>
      <c r="AL69" s="401">
        <v>0</v>
      </c>
      <c r="AM69" s="401">
        <v>0</v>
      </c>
      <c r="AN69" s="401">
        <v>0</v>
      </c>
      <c r="AO69" s="401">
        <v>0</v>
      </c>
      <c r="AP69" s="401">
        <v>0</v>
      </c>
      <c r="AQ69" s="401">
        <v>0</v>
      </c>
      <c r="AR69" s="401">
        <v>0</v>
      </c>
      <c r="AS69" s="401">
        <v>0</v>
      </c>
      <c r="AT69" s="401">
        <v>0</v>
      </c>
      <c r="AU69" s="401">
        <v>0</v>
      </c>
      <c r="AV69" s="401">
        <v>0</v>
      </c>
      <c r="AW69" s="401">
        <v>0</v>
      </c>
      <c r="AX69" s="401">
        <v>0</v>
      </c>
      <c r="AY69" s="401">
        <v>0</v>
      </c>
      <c r="AZ69" s="401">
        <v>0</v>
      </c>
      <c r="BA69" s="401">
        <v>0</v>
      </c>
      <c r="BB69" s="401">
        <v>0</v>
      </c>
      <c r="BC69" s="401">
        <v>0</v>
      </c>
      <c r="BD69" s="401">
        <v>0</v>
      </c>
      <c r="BE69" s="401">
        <v>0</v>
      </c>
      <c r="BF69" s="401">
        <v>0</v>
      </c>
      <c r="BG69" s="423"/>
      <c r="BH69" s="424" t="s">
        <v>326</v>
      </c>
      <c r="BI69" s="404">
        <v>46011</v>
      </c>
      <c r="BJ69" s="405">
        <v>33.81</v>
      </c>
      <c r="BK69" s="425"/>
      <c r="BL69" s="406"/>
      <c r="BM69" s="407"/>
      <c r="BN69" s="408" t="s">
        <v>124</v>
      </c>
      <c r="BO69" s="409"/>
      <c r="BP69" s="409"/>
      <c r="BQ69" s="409"/>
      <c r="BR69" s="410"/>
      <c r="BS69" s="409"/>
      <c r="BT69" s="409"/>
      <c r="BU69" s="411"/>
      <c r="BV69" s="412"/>
      <c r="BW69" s="413"/>
      <c r="BX69" s="409"/>
      <c r="BY69" s="409"/>
      <c r="BZ69" s="413"/>
      <c r="CA69" s="413"/>
      <c r="CB69" s="413"/>
      <c r="CC69" s="411">
        <f t="shared" si="1"/>
        <v>0</v>
      </c>
      <c r="CD69" s="414"/>
      <c r="CE69" s="415"/>
      <c r="CF69" s="416" t="s">
        <v>157</v>
      </c>
      <c r="CG69" s="416"/>
    </row>
    <row r="70" spans="1:85" s="417" customFormat="1" ht="15" customHeight="1">
      <c r="A70" s="427" t="s">
        <v>327</v>
      </c>
      <c r="B70" s="428" t="s">
        <v>111</v>
      </c>
      <c r="C70" s="429">
        <v>46023</v>
      </c>
      <c r="D70" s="430" t="s">
        <v>112</v>
      </c>
      <c r="E70" s="431" t="s">
        <v>113</v>
      </c>
      <c r="F70" s="431" t="s">
        <v>114</v>
      </c>
      <c r="G70" s="431"/>
      <c r="H70" s="431"/>
      <c r="I70" s="431"/>
      <c r="J70" s="432"/>
      <c r="K70" s="431"/>
      <c r="L70" s="431"/>
      <c r="M70" s="432"/>
      <c r="N70" s="431"/>
      <c r="O70" s="433"/>
      <c r="P70" s="431" t="s">
        <v>118</v>
      </c>
      <c r="Q70" s="433" t="s">
        <v>325</v>
      </c>
      <c r="R70" s="431"/>
      <c r="S70" s="431"/>
      <c r="T70" s="433"/>
      <c r="U70" s="433"/>
      <c r="V70" s="431"/>
      <c r="W70" s="433"/>
      <c r="X70" s="434" t="s">
        <v>328</v>
      </c>
      <c r="Y70" s="435"/>
      <c r="Z70" s="436"/>
      <c r="AA70" s="400">
        <v>1</v>
      </c>
      <c r="AB70" s="401">
        <v>5.97</v>
      </c>
      <c r="AC70" s="422"/>
      <c r="AD70" s="401">
        <v>5.97</v>
      </c>
      <c r="AE70" s="401">
        <v>0</v>
      </c>
      <c r="AF70" s="401">
        <v>0</v>
      </c>
      <c r="AG70" s="401">
        <v>0</v>
      </c>
      <c r="AH70" s="401">
        <v>0</v>
      </c>
      <c r="AI70" s="401">
        <v>0</v>
      </c>
      <c r="AJ70" s="401">
        <v>0</v>
      </c>
      <c r="AK70" s="401">
        <v>0</v>
      </c>
      <c r="AL70" s="401">
        <v>0</v>
      </c>
      <c r="AM70" s="401">
        <v>0</v>
      </c>
      <c r="AN70" s="401">
        <v>0</v>
      </c>
      <c r="AO70" s="401">
        <v>0</v>
      </c>
      <c r="AP70" s="401">
        <v>0</v>
      </c>
      <c r="AQ70" s="401">
        <v>0</v>
      </c>
      <c r="AR70" s="401">
        <v>0</v>
      </c>
      <c r="AS70" s="401">
        <v>0</v>
      </c>
      <c r="AT70" s="401">
        <v>0</v>
      </c>
      <c r="AU70" s="401">
        <v>0</v>
      </c>
      <c r="AV70" s="401">
        <v>0</v>
      </c>
      <c r="AW70" s="401">
        <v>0</v>
      </c>
      <c r="AX70" s="401">
        <v>0</v>
      </c>
      <c r="AY70" s="401">
        <v>0</v>
      </c>
      <c r="AZ70" s="401">
        <v>0</v>
      </c>
      <c r="BA70" s="401">
        <v>0</v>
      </c>
      <c r="BB70" s="401">
        <v>0</v>
      </c>
      <c r="BC70" s="401">
        <v>0</v>
      </c>
      <c r="BD70" s="401">
        <v>0</v>
      </c>
      <c r="BE70" s="401">
        <v>0</v>
      </c>
      <c r="BF70" s="401">
        <v>0</v>
      </c>
      <c r="BG70" s="423"/>
      <c r="BH70" s="424" t="s">
        <v>329</v>
      </c>
      <c r="BI70" s="404">
        <v>46011</v>
      </c>
      <c r="BJ70" s="405">
        <v>33.81</v>
      </c>
      <c r="BK70" s="425"/>
      <c r="BL70" s="406"/>
      <c r="BM70" s="407"/>
      <c r="BN70" s="408" t="s">
        <v>124</v>
      </c>
      <c r="BO70" s="409"/>
      <c r="BP70" s="409"/>
      <c r="BQ70" s="409"/>
      <c r="BR70" s="410"/>
      <c r="BS70" s="409"/>
      <c r="BT70" s="409"/>
      <c r="BU70" s="411"/>
      <c r="BV70" s="412"/>
      <c r="BW70" s="413"/>
      <c r="BX70" s="409"/>
      <c r="BY70" s="409"/>
      <c r="BZ70" s="413"/>
      <c r="CA70" s="413"/>
      <c r="CB70" s="413"/>
      <c r="CC70" s="411">
        <f t="shared" si="1"/>
        <v>0</v>
      </c>
      <c r="CD70" s="414"/>
      <c r="CE70" s="415"/>
      <c r="CF70" s="416" t="s">
        <v>166</v>
      </c>
      <c r="CG70" s="416"/>
    </row>
    <row r="71" spans="1:85" s="417" customFormat="1" ht="15" customHeight="1">
      <c r="A71" s="427" t="s">
        <v>330</v>
      </c>
      <c r="B71" s="428" t="s">
        <v>111</v>
      </c>
      <c r="C71" s="429">
        <v>45870</v>
      </c>
      <c r="D71" s="430" t="s">
        <v>290</v>
      </c>
      <c r="E71" s="431" t="s">
        <v>113</v>
      </c>
      <c r="F71" s="431" t="s">
        <v>114</v>
      </c>
      <c r="G71" s="431" t="s">
        <v>153</v>
      </c>
      <c r="H71" s="431" t="s">
        <v>116</v>
      </c>
      <c r="I71" s="431" t="s">
        <v>116</v>
      </c>
      <c r="J71" s="432" t="s">
        <v>116</v>
      </c>
      <c r="K71" s="431" t="b">
        <v>0</v>
      </c>
      <c r="L71" s="431" t="s">
        <v>116</v>
      </c>
      <c r="M71" s="432" t="s">
        <v>116</v>
      </c>
      <c r="N71" s="431"/>
      <c r="O71" s="433"/>
      <c r="P71" s="431" t="s">
        <v>118</v>
      </c>
      <c r="Q71" s="433" t="s">
        <v>180</v>
      </c>
      <c r="R71" s="431" t="s">
        <v>116</v>
      </c>
      <c r="S71" s="431" t="s">
        <v>116</v>
      </c>
      <c r="T71" s="433" t="s">
        <v>116</v>
      </c>
      <c r="U71" s="433" t="s">
        <v>116</v>
      </c>
      <c r="V71" s="431" t="s">
        <v>116</v>
      </c>
      <c r="W71" s="433" t="s">
        <v>116</v>
      </c>
      <c r="X71" s="434" t="s">
        <v>331</v>
      </c>
      <c r="Y71" s="435">
        <v>164.36</v>
      </c>
      <c r="Z71" s="436" t="s">
        <v>123</v>
      </c>
      <c r="AA71" s="400">
        <v>1</v>
      </c>
      <c r="AB71" s="401">
        <v>47.66</v>
      </c>
      <c r="AC71" s="422"/>
      <c r="AD71" s="401">
        <v>8.2200000000000006</v>
      </c>
      <c r="AE71" s="401">
        <v>0</v>
      </c>
      <c r="AF71" s="401">
        <v>0</v>
      </c>
      <c r="AG71" s="401">
        <v>0</v>
      </c>
      <c r="AH71" s="401">
        <v>0</v>
      </c>
      <c r="AI71" s="401">
        <v>0</v>
      </c>
      <c r="AJ71" s="401">
        <v>0</v>
      </c>
      <c r="AK71" s="401">
        <v>39.44</v>
      </c>
      <c r="AL71" s="401">
        <v>0</v>
      </c>
      <c r="AM71" s="401">
        <v>0</v>
      </c>
      <c r="AN71" s="401">
        <v>0</v>
      </c>
      <c r="AO71" s="401">
        <v>0</v>
      </c>
      <c r="AP71" s="401">
        <v>0</v>
      </c>
      <c r="AQ71" s="401">
        <v>0</v>
      </c>
      <c r="AR71" s="401">
        <v>0</v>
      </c>
      <c r="AS71" s="401">
        <v>0</v>
      </c>
      <c r="AT71" s="401">
        <v>0</v>
      </c>
      <c r="AU71" s="401">
        <v>0</v>
      </c>
      <c r="AV71" s="401">
        <v>0</v>
      </c>
      <c r="AW71" s="401">
        <v>0</v>
      </c>
      <c r="AX71" s="401">
        <v>0</v>
      </c>
      <c r="AY71" s="401">
        <v>0</v>
      </c>
      <c r="AZ71" s="401">
        <v>0</v>
      </c>
      <c r="BA71" s="401">
        <v>0</v>
      </c>
      <c r="BB71" s="401">
        <v>0</v>
      </c>
      <c r="BC71" s="401">
        <v>0</v>
      </c>
      <c r="BD71" s="401">
        <v>0</v>
      </c>
      <c r="BE71" s="401">
        <v>0</v>
      </c>
      <c r="BF71" s="401">
        <v>0</v>
      </c>
      <c r="BG71" s="423"/>
      <c r="BH71" s="424" t="s">
        <v>332</v>
      </c>
      <c r="BI71" s="404">
        <v>46011</v>
      </c>
      <c r="BJ71" s="405">
        <v>504.9</v>
      </c>
      <c r="BK71" s="425"/>
      <c r="BL71" s="406"/>
      <c r="BM71" s="407"/>
      <c r="BN71" s="408" t="s">
        <v>124</v>
      </c>
      <c r="BO71" s="409"/>
      <c r="BP71" s="409"/>
      <c r="BQ71" s="409"/>
      <c r="BR71" s="410"/>
      <c r="BS71" s="409"/>
      <c r="BT71" s="409"/>
      <c r="BU71" s="411"/>
      <c r="BV71" s="412"/>
      <c r="BW71" s="413"/>
      <c r="BX71" s="409"/>
      <c r="BY71" s="409"/>
      <c r="BZ71" s="413"/>
      <c r="CA71" s="413"/>
      <c r="CB71" s="413"/>
      <c r="CC71" s="411">
        <f t="shared" si="1"/>
        <v>0</v>
      </c>
      <c r="CD71" s="414"/>
      <c r="CE71" s="415"/>
      <c r="CF71" s="416" t="s">
        <v>166</v>
      </c>
      <c r="CG71" s="416"/>
    </row>
    <row r="72" spans="1:85" s="417" customFormat="1" ht="15" customHeight="1">
      <c r="A72" s="393" t="s">
        <v>333</v>
      </c>
      <c r="B72" s="394" t="s">
        <v>111</v>
      </c>
      <c r="C72" s="395">
        <v>45292</v>
      </c>
      <c r="D72" s="396" t="s">
        <v>334</v>
      </c>
      <c r="E72" s="397" t="s">
        <v>113</v>
      </c>
      <c r="F72" s="397" t="s">
        <v>114</v>
      </c>
      <c r="G72" s="397" t="s">
        <v>115</v>
      </c>
      <c r="H72" s="397" t="s">
        <v>116</v>
      </c>
      <c r="I72" s="397" t="s">
        <v>117</v>
      </c>
      <c r="J72" s="397" t="s">
        <v>116</v>
      </c>
      <c r="K72" s="397" t="b">
        <v>0</v>
      </c>
      <c r="L72" s="397" t="s">
        <v>116</v>
      </c>
      <c r="M72" s="397" t="s">
        <v>116</v>
      </c>
      <c r="N72" s="397" t="s">
        <v>116</v>
      </c>
      <c r="O72" s="397" t="s">
        <v>116</v>
      </c>
      <c r="P72" s="397" t="s">
        <v>118</v>
      </c>
      <c r="Q72" s="397" t="s">
        <v>180</v>
      </c>
      <c r="R72" s="397" t="s">
        <v>116</v>
      </c>
      <c r="S72" s="397" t="s">
        <v>116</v>
      </c>
      <c r="T72" s="397" t="s">
        <v>116</v>
      </c>
      <c r="U72" s="397" t="s">
        <v>116</v>
      </c>
      <c r="V72" s="397" t="s">
        <v>116</v>
      </c>
      <c r="W72" s="397" t="s">
        <v>116</v>
      </c>
      <c r="X72" s="398" t="s">
        <v>335</v>
      </c>
      <c r="Y72" s="399" t="s">
        <v>116</v>
      </c>
      <c r="Z72" s="398" t="s">
        <v>123</v>
      </c>
      <c r="AA72" s="400">
        <v>1</v>
      </c>
      <c r="AB72" s="401">
        <v>34.67</v>
      </c>
      <c r="AC72" s="402"/>
      <c r="AD72" s="401">
        <v>4.16</v>
      </c>
      <c r="AE72" s="401">
        <v>0</v>
      </c>
      <c r="AF72" s="401">
        <v>0</v>
      </c>
      <c r="AG72" s="401">
        <v>0</v>
      </c>
      <c r="AH72" s="401">
        <v>0</v>
      </c>
      <c r="AI72" s="401">
        <v>0</v>
      </c>
      <c r="AJ72" s="401">
        <v>0</v>
      </c>
      <c r="AK72" s="401">
        <v>30.51</v>
      </c>
      <c r="AL72" s="401">
        <v>0</v>
      </c>
      <c r="AM72" s="401">
        <v>0</v>
      </c>
      <c r="AN72" s="401">
        <v>0</v>
      </c>
      <c r="AO72" s="401">
        <v>0</v>
      </c>
      <c r="AP72" s="401">
        <v>0</v>
      </c>
      <c r="AQ72" s="401">
        <v>0</v>
      </c>
      <c r="AR72" s="401">
        <v>0</v>
      </c>
      <c r="AS72" s="401">
        <v>0</v>
      </c>
      <c r="AT72" s="401">
        <v>0</v>
      </c>
      <c r="AU72" s="401">
        <v>0</v>
      </c>
      <c r="AV72" s="401">
        <v>0</v>
      </c>
      <c r="AW72" s="401">
        <v>0</v>
      </c>
      <c r="AX72" s="401">
        <v>0</v>
      </c>
      <c r="AY72" s="401">
        <v>0</v>
      </c>
      <c r="AZ72" s="401">
        <v>0</v>
      </c>
      <c r="BA72" s="401">
        <v>0</v>
      </c>
      <c r="BB72" s="401">
        <v>0</v>
      </c>
      <c r="BC72" s="401">
        <v>0</v>
      </c>
      <c r="BD72" s="401">
        <v>0</v>
      </c>
      <c r="BE72" s="401">
        <v>0</v>
      </c>
      <c r="BF72" s="401">
        <v>0</v>
      </c>
      <c r="BG72" s="426"/>
      <c r="BH72" s="403" t="s">
        <v>336</v>
      </c>
      <c r="BI72" s="404">
        <v>45998</v>
      </c>
      <c r="BJ72" s="405">
        <v>233.1</v>
      </c>
      <c r="BK72" s="425"/>
      <c r="BL72" s="406"/>
      <c r="BM72" s="407"/>
      <c r="BN72" s="408" t="s">
        <v>124</v>
      </c>
      <c r="BO72" s="409"/>
      <c r="BP72" s="409"/>
      <c r="BQ72" s="409"/>
      <c r="BR72" s="410"/>
      <c r="BS72" s="409"/>
      <c r="BT72" s="409"/>
      <c r="BU72" s="411"/>
      <c r="BV72" s="412"/>
      <c r="BW72" s="413"/>
      <c r="BX72" s="409"/>
      <c r="BY72" s="409"/>
      <c r="BZ72" s="413"/>
      <c r="CA72" s="413"/>
      <c r="CB72" s="413"/>
      <c r="CC72" s="411">
        <f t="shared" si="1"/>
        <v>0</v>
      </c>
      <c r="CD72" s="414"/>
      <c r="CE72" s="415"/>
      <c r="CF72" s="416" t="s">
        <v>157</v>
      </c>
      <c r="CG72" s="416"/>
    </row>
    <row r="73" spans="1:85" s="417" customFormat="1" ht="15" customHeight="1">
      <c r="A73" s="393" t="s">
        <v>337</v>
      </c>
      <c r="B73" s="394" t="s">
        <v>111</v>
      </c>
      <c r="C73" s="395">
        <v>45901</v>
      </c>
      <c r="D73" s="396" t="s">
        <v>290</v>
      </c>
      <c r="E73" s="397" t="s">
        <v>113</v>
      </c>
      <c r="F73" s="397" t="s">
        <v>114</v>
      </c>
      <c r="G73" s="397" t="s">
        <v>130</v>
      </c>
      <c r="H73" s="397" t="s">
        <v>116</v>
      </c>
      <c r="I73" s="397" t="s">
        <v>116</v>
      </c>
      <c r="J73" s="397" t="s">
        <v>116</v>
      </c>
      <c r="K73" s="397" t="b">
        <v>0</v>
      </c>
      <c r="L73" s="397" t="s">
        <v>116</v>
      </c>
      <c r="M73" s="397" t="s">
        <v>116</v>
      </c>
      <c r="N73" s="397" t="s">
        <v>116</v>
      </c>
      <c r="O73" s="397" t="s">
        <v>116</v>
      </c>
      <c r="P73" s="397" t="s">
        <v>118</v>
      </c>
      <c r="Q73" s="397" t="s">
        <v>338</v>
      </c>
      <c r="R73" s="397" t="s">
        <v>116</v>
      </c>
      <c r="S73" s="397" t="s">
        <v>116</v>
      </c>
      <c r="T73" s="397" t="s">
        <v>116</v>
      </c>
      <c r="U73" s="397" t="s">
        <v>116</v>
      </c>
      <c r="V73" s="397" t="s">
        <v>116</v>
      </c>
      <c r="W73" s="397" t="s">
        <v>116</v>
      </c>
      <c r="X73" s="398" t="s">
        <v>339</v>
      </c>
      <c r="Y73" s="399">
        <v>250.1</v>
      </c>
      <c r="Z73" s="398" t="s">
        <v>123</v>
      </c>
      <c r="AA73" s="400">
        <v>1</v>
      </c>
      <c r="AB73" s="401">
        <v>7.5</v>
      </c>
      <c r="AC73" s="402"/>
      <c r="AD73" s="401">
        <v>7.5</v>
      </c>
      <c r="AE73" s="401">
        <v>0</v>
      </c>
      <c r="AF73" s="401">
        <v>0</v>
      </c>
      <c r="AG73" s="401">
        <v>0</v>
      </c>
      <c r="AH73" s="401">
        <v>0</v>
      </c>
      <c r="AI73" s="401">
        <v>0</v>
      </c>
      <c r="AJ73" s="401">
        <v>0</v>
      </c>
      <c r="AK73" s="401">
        <v>0</v>
      </c>
      <c r="AL73" s="401">
        <v>0</v>
      </c>
      <c r="AM73" s="401">
        <v>0</v>
      </c>
      <c r="AN73" s="401">
        <v>0</v>
      </c>
      <c r="AO73" s="401">
        <v>0</v>
      </c>
      <c r="AP73" s="401">
        <v>0</v>
      </c>
      <c r="AQ73" s="401">
        <v>0</v>
      </c>
      <c r="AR73" s="401">
        <v>0</v>
      </c>
      <c r="AS73" s="401">
        <v>0</v>
      </c>
      <c r="AT73" s="401">
        <v>0</v>
      </c>
      <c r="AU73" s="401">
        <v>0</v>
      </c>
      <c r="AV73" s="401">
        <v>0</v>
      </c>
      <c r="AW73" s="401">
        <v>0</v>
      </c>
      <c r="AX73" s="401">
        <v>0</v>
      </c>
      <c r="AY73" s="401">
        <v>0</v>
      </c>
      <c r="AZ73" s="401">
        <v>0</v>
      </c>
      <c r="BA73" s="401">
        <v>0</v>
      </c>
      <c r="BB73" s="401">
        <v>0</v>
      </c>
      <c r="BC73" s="401">
        <v>0</v>
      </c>
      <c r="BD73" s="401">
        <v>0</v>
      </c>
      <c r="BE73" s="401">
        <v>0</v>
      </c>
      <c r="BF73" s="401">
        <v>0</v>
      </c>
      <c r="BG73" s="426"/>
      <c r="BH73" s="403" t="s">
        <v>340</v>
      </c>
      <c r="BI73" s="404">
        <v>45998</v>
      </c>
      <c r="BJ73" s="405">
        <v>233.1</v>
      </c>
      <c r="BK73" s="425"/>
      <c r="BL73" s="406"/>
      <c r="BM73" s="407"/>
      <c r="BN73" s="408" t="s">
        <v>124</v>
      </c>
      <c r="BO73" s="409"/>
      <c r="BP73" s="409"/>
      <c r="BQ73" s="409"/>
      <c r="BR73" s="410"/>
      <c r="BS73" s="409"/>
      <c r="BT73" s="409"/>
      <c r="BU73" s="411"/>
      <c r="BV73" s="412"/>
      <c r="BW73" s="413"/>
      <c r="BX73" s="409"/>
      <c r="BY73" s="409"/>
      <c r="BZ73" s="413"/>
      <c r="CA73" s="413"/>
      <c r="CB73" s="413"/>
      <c r="CC73" s="411">
        <f t="shared" si="1"/>
        <v>0</v>
      </c>
      <c r="CD73" s="414"/>
      <c r="CE73" s="415"/>
      <c r="CF73" s="416" t="s">
        <v>166</v>
      </c>
      <c r="CG73" s="416"/>
    </row>
    <row r="74" spans="1:85" s="417" customFormat="1" ht="15" customHeight="1">
      <c r="A74" s="393" t="s">
        <v>341</v>
      </c>
      <c r="B74" s="394" t="s">
        <v>111</v>
      </c>
      <c r="C74" s="395">
        <v>45748</v>
      </c>
      <c r="D74" s="396" t="s">
        <v>290</v>
      </c>
      <c r="E74" s="397" t="s">
        <v>113</v>
      </c>
      <c r="F74" s="397" t="s">
        <v>114</v>
      </c>
      <c r="G74" s="397" t="s">
        <v>130</v>
      </c>
      <c r="H74" s="397" t="s">
        <v>116</v>
      </c>
      <c r="I74" s="397" t="s">
        <v>223</v>
      </c>
      <c r="J74" s="397" t="s">
        <v>116</v>
      </c>
      <c r="K74" s="397" t="b">
        <v>0</v>
      </c>
      <c r="L74" s="397" t="s">
        <v>116</v>
      </c>
      <c r="M74" s="397" t="s">
        <v>116</v>
      </c>
      <c r="N74" s="397" t="s">
        <v>116</v>
      </c>
      <c r="O74" s="397" t="s">
        <v>116</v>
      </c>
      <c r="P74" s="397" t="s">
        <v>118</v>
      </c>
      <c r="Q74" s="397" t="s">
        <v>338</v>
      </c>
      <c r="R74" s="397" t="s">
        <v>116</v>
      </c>
      <c r="S74" s="397" t="s">
        <v>116</v>
      </c>
      <c r="T74" s="397" t="s">
        <v>116</v>
      </c>
      <c r="U74" s="397" t="s">
        <v>116</v>
      </c>
      <c r="V74" s="397" t="s">
        <v>116</v>
      </c>
      <c r="W74" s="397" t="s">
        <v>116</v>
      </c>
      <c r="X74" s="398" t="s">
        <v>342</v>
      </c>
      <c r="Y74" s="399">
        <v>183.83</v>
      </c>
      <c r="Z74" s="398" t="s">
        <v>123</v>
      </c>
      <c r="AA74" s="400">
        <v>1</v>
      </c>
      <c r="AB74" s="401">
        <v>55.84</v>
      </c>
      <c r="AC74" s="402"/>
      <c r="AD74" s="401">
        <v>4.6500000000000004</v>
      </c>
      <c r="AE74" s="401">
        <v>0</v>
      </c>
      <c r="AF74" s="401">
        <v>0</v>
      </c>
      <c r="AG74" s="401">
        <v>0</v>
      </c>
      <c r="AH74" s="401">
        <v>0</v>
      </c>
      <c r="AI74" s="401">
        <v>0</v>
      </c>
      <c r="AJ74" s="401">
        <v>0</v>
      </c>
      <c r="AK74" s="401">
        <v>51.19</v>
      </c>
      <c r="AL74" s="401">
        <v>0</v>
      </c>
      <c r="AM74" s="401">
        <v>0</v>
      </c>
      <c r="AN74" s="401">
        <v>0</v>
      </c>
      <c r="AO74" s="401">
        <v>0</v>
      </c>
      <c r="AP74" s="401">
        <v>0</v>
      </c>
      <c r="AQ74" s="401">
        <v>0</v>
      </c>
      <c r="AR74" s="401">
        <v>0</v>
      </c>
      <c r="AS74" s="401">
        <v>0</v>
      </c>
      <c r="AT74" s="401">
        <v>0</v>
      </c>
      <c r="AU74" s="401">
        <v>0</v>
      </c>
      <c r="AV74" s="401">
        <v>0</v>
      </c>
      <c r="AW74" s="401">
        <v>0</v>
      </c>
      <c r="AX74" s="401">
        <v>0</v>
      </c>
      <c r="AY74" s="401">
        <v>0</v>
      </c>
      <c r="AZ74" s="401">
        <v>0</v>
      </c>
      <c r="BA74" s="401">
        <v>0</v>
      </c>
      <c r="BB74" s="401">
        <v>0</v>
      </c>
      <c r="BC74" s="401">
        <v>0</v>
      </c>
      <c r="BD74" s="401">
        <v>0</v>
      </c>
      <c r="BE74" s="401">
        <v>0</v>
      </c>
      <c r="BF74" s="401">
        <v>0</v>
      </c>
      <c r="BG74" s="426"/>
      <c r="BH74" s="403" t="s">
        <v>343</v>
      </c>
      <c r="BI74" s="404">
        <v>45998</v>
      </c>
      <c r="BJ74" s="405">
        <v>233.1</v>
      </c>
      <c r="BK74" s="425"/>
      <c r="BL74" s="406"/>
      <c r="BM74" s="407"/>
      <c r="BN74" s="408" t="s">
        <v>124</v>
      </c>
      <c r="BO74" s="409"/>
      <c r="BP74" s="409"/>
      <c r="BQ74" s="409"/>
      <c r="BR74" s="410"/>
      <c r="BS74" s="409"/>
      <c r="BT74" s="409"/>
      <c r="BU74" s="411"/>
      <c r="BV74" s="412"/>
      <c r="BW74" s="413"/>
      <c r="BX74" s="409"/>
      <c r="BY74" s="409"/>
      <c r="BZ74" s="413"/>
      <c r="CA74" s="413"/>
      <c r="CB74" s="413"/>
      <c r="CC74" s="411">
        <f t="shared" si="1"/>
        <v>7.1054273576010019E-15</v>
      </c>
      <c r="CD74" s="414"/>
      <c r="CE74" s="415"/>
      <c r="CF74" s="416" t="s">
        <v>166</v>
      </c>
      <c r="CG74" s="416"/>
    </row>
    <row r="75" spans="1:85" s="417" customFormat="1" ht="15" customHeight="1">
      <c r="A75" s="393" t="s">
        <v>344</v>
      </c>
      <c r="B75" s="394" t="s">
        <v>111</v>
      </c>
      <c r="C75" s="395">
        <v>43009.291666666664</v>
      </c>
      <c r="D75" s="396" t="s">
        <v>179</v>
      </c>
      <c r="E75" s="397" t="s">
        <v>113</v>
      </c>
      <c r="F75" s="397" t="s">
        <v>114</v>
      </c>
      <c r="G75" s="397" t="s">
        <v>130</v>
      </c>
      <c r="H75" s="397" t="s">
        <v>116</v>
      </c>
      <c r="I75" s="397" t="s">
        <v>116</v>
      </c>
      <c r="J75" s="397" t="s">
        <v>116</v>
      </c>
      <c r="K75" s="397" t="b">
        <v>0</v>
      </c>
      <c r="L75" s="397" t="s">
        <v>116</v>
      </c>
      <c r="M75" s="397" t="s">
        <v>116</v>
      </c>
      <c r="N75" s="397" t="s">
        <v>116</v>
      </c>
      <c r="O75" s="397" t="s">
        <v>116</v>
      </c>
      <c r="P75" s="397" t="s">
        <v>118</v>
      </c>
      <c r="Q75" s="397" t="s">
        <v>345</v>
      </c>
      <c r="R75" s="397" t="s">
        <v>116</v>
      </c>
      <c r="S75" s="397" t="s">
        <v>116</v>
      </c>
      <c r="T75" s="397" t="s">
        <v>116</v>
      </c>
      <c r="U75" s="397" t="s">
        <v>116</v>
      </c>
      <c r="V75" s="397" t="s">
        <v>116</v>
      </c>
      <c r="W75" s="397" t="s">
        <v>116</v>
      </c>
      <c r="X75" s="398" t="s">
        <v>346</v>
      </c>
      <c r="Y75" s="399">
        <v>133.16</v>
      </c>
      <c r="Z75" s="398" t="s">
        <v>123</v>
      </c>
      <c r="AA75" s="400">
        <v>1</v>
      </c>
      <c r="AB75" s="401">
        <v>2</v>
      </c>
      <c r="AC75" s="401"/>
      <c r="AD75" s="401">
        <v>2</v>
      </c>
      <c r="AE75" s="401">
        <v>0</v>
      </c>
      <c r="AF75" s="401">
        <v>0</v>
      </c>
      <c r="AG75" s="401">
        <v>0</v>
      </c>
      <c r="AH75" s="401">
        <v>0</v>
      </c>
      <c r="AI75" s="401">
        <v>0</v>
      </c>
      <c r="AJ75" s="401">
        <v>0</v>
      </c>
      <c r="AK75" s="401">
        <v>0</v>
      </c>
      <c r="AL75" s="401">
        <v>0</v>
      </c>
      <c r="AM75" s="401">
        <v>0</v>
      </c>
      <c r="AN75" s="401">
        <v>0</v>
      </c>
      <c r="AO75" s="401">
        <v>0</v>
      </c>
      <c r="AP75" s="401">
        <v>0</v>
      </c>
      <c r="AQ75" s="401">
        <v>0</v>
      </c>
      <c r="AR75" s="401">
        <v>0</v>
      </c>
      <c r="AS75" s="401">
        <v>0</v>
      </c>
      <c r="AT75" s="401">
        <v>0</v>
      </c>
      <c r="AU75" s="401">
        <v>0</v>
      </c>
      <c r="AV75" s="401">
        <v>0</v>
      </c>
      <c r="AW75" s="401">
        <v>0</v>
      </c>
      <c r="AX75" s="401">
        <v>0</v>
      </c>
      <c r="AY75" s="401">
        <v>0</v>
      </c>
      <c r="AZ75" s="401">
        <v>0</v>
      </c>
      <c r="BA75" s="401">
        <v>0</v>
      </c>
      <c r="BB75" s="401">
        <v>0</v>
      </c>
      <c r="BC75" s="401">
        <v>0</v>
      </c>
      <c r="BD75" s="401">
        <v>0</v>
      </c>
      <c r="BE75" s="401">
        <v>0</v>
      </c>
      <c r="BF75" s="401">
        <v>0</v>
      </c>
      <c r="BG75" s="426"/>
      <c r="BH75" s="403" t="s">
        <v>347</v>
      </c>
      <c r="BI75" s="404">
        <v>45997</v>
      </c>
      <c r="BJ75" s="405">
        <v>4</v>
      </c>
      <c r="BK75" s="406"/>
      <c r="BL75" s="406"/>
      <c r="BM75" s="407"/>
      <c r="BN75" s="408" t="s">
        <v>124</v>
      </c>
      <c r="BO75" s="409"/>
      <c r="BP75" s="409"/>
      <c r="BQ75" s="409"/>
      <c r="BR75" s="410"/>
      <c r="BS75" s="409"/>
      <c r="BT75" s="409"/>
      <c r="BU75" s="411"/>
      <c r="BV75" s="412"/>
      <c r="BW75" s="413"/>
      <c r="BX75" s="409"/>
      <c r="BY75" s="409"/>
      <c r="BZ75" s="413"/>
      <c r="CA75" s="413"/>
      <c r="CB75" s="413"/>
      <c r="CC75" s="411">
        <f t="shared" si="1"/>
        <v>0</v>
      </c>
      <c r="CD75" s="414"/>
      <c r="CE75" s="415"/>
      <c r="CF75" s="416" t="s">
        <v>157</v>
      </c>
      <c r="CG75" s="416"/>
    </row>
    <row r="76" spans="1:85" s="417" customFormat="1" ht="15" customHeight="1">
      <c r="A76" s="418" t="s">
        <v>344</v>
      </c>
      <c r="B76" s="397" t="s">
        <v>111</v>
      </c>
      <c r="C76" s="419">
        <v>43009.291666666664</v>
      </c>
      <c r="D76" s="420" t="s">
        <v>179</v>
      </c>
      <c r="E76" s="397" t="s">
        <v>113</v>
      </c>
      <c r="F76" s="420" t="s">
        <v>114</v>
      </c>
      <c r="G76" s="420" t="s">
        <v>130</v>
      </c>
      <c r="H76" s="420" t="s">
        <v>116</v>
      </c>
      <c r="I76" s="420" t="s">
        <v>116</v>
      </c>
      <c r="J76" s="421" t="s">
        <v>116</v>
      </c>
      <c r="K76" s="421" t="b">
        <v>0</v>
      </c>
      <c r="L76" s="421" t="s">
        <v>116</v>
      </c>
      <c r="M76" s="421" t="s">
        <v>116</v>
      </c>
      <c r="N76" s="421" t="s">
        <v>116</v>
      </c>
      <c r="O76" s="421" t="s">
        <v>116</v>
      </c>
      <c r="P76" s="420" t="s">
        <v>118</v>
      </c>
      <c r="Q76" s="420" t="s">
        <v>345</v>
      </c>
      <c r="R76" s="421" t="s">
        <v>116</v>
      </c>
      <c r="S76" s="421" t="s">
        <v>116</v>
      </c>
      <c r="T76" s="421" t="s">
        <v>116</v>
      </c>
      <c r="U76" s="421" t="s">
        <v>116</v>
      </c>
      <c r="V76" s="421" t="s">
        <v>116</v>
      </c>
      <c r="W76" s="421" t="s">
        <v>116</v>
      </c>
      <c r="X76" s="420" t="s">
        <v>346</v>
      </c>
      <c r="Y76" s="399">
        <v>133.16</v>
      </c>
      <c r="Z76" s="420" t="s">
        <v>123</v>
      </c>
      <c r="AA76" s="400">
        <v>1</v>
      </c>
      <c r="AB76" s="401">
        <v>2</v>
      </c>
      <c r="AC76" s="402"/>
      <c r="AD76" s="401">
        <v>2</v>
      </c>
      <c r="AE76" s="401">
        <v>0</v>
      </c>
      <c r="AF76" s="401">
        <v>0</v>
      </c>
      <c r="AG76" s="401">
        <v>0</v>
      </c>
      <c r="AH76" s="401">
        <v>0</v>
      </c>
      <c r="AI76" s="401">
        <v>0</v>
      </c>
      <c r="AJ76" s="401">
        <v>0</v>
      </c>
      <c r="AK76" s="401">
        <v>0</v>
      </c>
      <c r="AL76" s="401">
        <v>0</v>
      </c>
      <c r="AM76" s="401">
        <v>0</v>
      </c>
      <c r="AN76" s="401">
        <v>0</v>
      </c>
      <c r="AO76" s="401">
        <v>0</v>
      </c>
      <c r="AP76" s="401">
        <v>0</v>
      </c>
      <c r="AQ76" s="401">
        <v>0</v>
      </c>
      <c r="AR76" s="401">
        <v>0</v>
      </c>
      <c r="AS76" s="401">
        <v>0</v>
      </c>
      <c r="AT76" s="401">
        <v>0</v>
      </c>
      <c r="AU76" s="401">
        <v>0</v>
      </c>
      <c r="AV76" s="401">
        <v>0</v>
      </c>
      <c r="AW76" s="401">
        <v>0</v>
      </c>
      <c r="AX76" s="401">
        <v>0</v>
      </c>
      <c r="AY76" s="401">
        <v>0</v>
      </c>
      <c r="AZ76" s="401">
        <v>0</v>
      </c>
      <c r="BA76" s="401">
        <v>0</v>
      </c>
      <c r="BB76" s="401">
        <v>0</v>
      </c>
      <c r="BC76" s="401">
        <v>0</v>
      </c>
      <c r="BD76" s="401">
        <v>0</v>
      </c>
      <c r="BE76" s="401">
        <v>0</v>
      </c>
      <c r="BF76" s="401">
        <v>0</v>
      </c>
      <c r="BG76" s="426"/>
      <c r="BH76" s="403" t="s">
        <v>348</v>
      </c>
      <c r="BI76" s="404">
        <v>46022</v>
      </c>
      <c r="BJ76" s="405">
        <v>4</v>
      </c>
      <c r="BK76" s="406"/>
      <c r="BL76" s="406"/>
      <c r="BM76" s="407"/>
      <c r="BN76" s="408" t="s">
        <v>124</v>
      </c>
      <c r="BO76" s="409"/>
      <c r="BP76" s="409"/>
      <c r="BQ76" s="409"/>
      <c r="BR76" s="410"/>
      <c r="BS76" s="409"/>
      <c r="BT76" s="409"/>
      <c r="BU76" s="411"/>
      <c r="BV76" s="412"/>
      <c r="BW76" s="413"/>
      <c r="BX76" s="409"/>
      <c r="BY76" s="409"/>
      <c r="BZ76" s="413"/>
      <c r="CA76" s="413"/>
      <c r="CB76" s="413"/>
      <c r="CC76" s="411">
        <f t="shared" ref="CC76:CC81" si="2">+AB76-AD76-AE76-AF76-AG76-AH76-AI76-AJ76-AK76-AL76-AM76-AN76-AO76-AP76-AQ76-AR76-AS76-AT76-AU76-AV76-AW76-AX76-AY76-AZ76-BA76-BB76-BC76-BD76-BE76-BF76</f>
        <v>0</v>
      </c>
      <c r="CD76" s="414"/>
      <c r="CE76" s="415"/>
      <c r="CF76" s="416" t="s">
        <v>157</v>
      </c>
      <c r="CG76" s="416"/>
    </row>
    <row r="77" spans="1:85" s="417" customFormat="1" ht="15" customHeight="1">
      <c r="A77" s="393" t="s">
        <v>349</v>
      </c>
      <c r="B77" s="394" t="s">
        <v>111</v>
      </c>
      <c r="C77" s="395">
        <v>43009.291666666664</v>
      </c>
      <c r="D77" s="396" t="s">
        <v>179</v>
      </c>
      <c r="E77" s="397" t="s">
        <v>113</v>
      </c>
      <c r="F77" s="397" t="s">
        <v>114</v>
      </c>
      <c r="G77" s="397" t="s">
        <v>115</v>
      </c>
      <c r="H77" s="397" t="s">
        <v>116</v>
      </c>
      <c r="I77" s="397" t="s">
        <v>116</v>
      </c>
      <c r="J77" s="397" t="s">
        <v>116</v>
      </c>
      <c r="K77" s="397" t="b">
        <v>0</v>
      </c>
      <c r="L77" s="397" t="s">
        <v>116</v>
      </c>
      <c r="M77" s="397" t="s">
        <v>116</v>
      </c>
      <c r="N77" s="397" t="s">
        <v>116</v>
      </c>
      <c r="O77" s="397" t="s">
        <v>118</v>
      </c>
      <c r="P77" s="397" t="s">
        <v>350</v>
      </c>
      <c r="Q77" s="397" t="s">
        <v>351</v>
      </c>
      <c r="R77" s="397" t="s">
        <v>116</v>
      </c>
      <c r="S77" s="397" t="s">
        <v>116</v>
      </c>
      <c r="T77" s="397" t="s">
        <v>116</v>
      </c>
      <c r="U77" s="397" t="s">
        <v>116</v>
      </c>
      <c r="V77" s="397" t="s">
        <v>116</v>
      </c>
      <c r="W77" s="397" t="s">
        <v>116</v>
      </c>
      <c r="X77" s="398" t="s">
        <v>352</v>
      </c>
      <c r="Y77" s="399">
        <v>154.75</v>
      </c>
      <c r="Z77" s="398" t="s">
        <v>123</v>
      </c>
      <c r="AA77" s="400">
        <v>1</v>
      </c>
      <c r="AB77" s="401">
        <v>2</v>
      </c>
      <c r="AC77" s="401"/>
      <c r="AD77" s="401">
        <v>1.66</v>
      </c>
      <c r="AE77" s="401">
        <v>0</v>
      </c>
      <c r="AF77" s="401">
        <v>0</v>
      </c>
      <c r="AG77" s="401">
        <v>0</v>
      </c>
      <c r="AH77" s="401">
        <v>0</v>
      </c>
      <c r="AI77" s="401">
        <v>0</v>
      </c>
      <c r="AJ77" s="401">
        <v>0.34</v>
      </c>
      <c r="AK77" s="401">
        <v>0</v>
      </c>
      <c r="AL77" s="401">
        <v>0</v>
      </c>
      <c r="AM77" s="401">
        <v>0</v>
      </c>
      <c r="AN77" s="401">
        <v>0</v>
      </c>
      <c r="AO77" s="401">
        <v>0</v>
      </c>
      <c r="AP77" s="401">
        <v>0</v>
      </c>
      <c r="AQ77" s="401">
        <v>0</v>
      </c>
      <c r="AR77" s="401">
        <v>0</v>
      </c>
      <c r="AS77" s="401">
        <v>0</v>
      </c>
      <c r="AT77" s="401">
        <v>0</v>
      </c>
      <c r="AU77" s="401">
        <v>0</v>
      </c>
      <c r="AV77" s="401">
        <v>0</v>
      </c>
      <c r="AW77" s="401">
        <v>0</v>
      </c>
      <c r="AX77" s="401">
        <v>0</v>
      </c>
      <c r="AY77" s="401">
        <v>0</v>
      </c>
      <c r="AZ77" s="401">
        <v>0</v>
      </c>
      <c r="BA77" s="401">
        <v>0</v>
      </c>
      <c r="BB77" s="401">
        <v>0</v>
      </c>
      <c r="BC77" s="401">
        <v>0</v>
      </c>
      <c r="BD77" s="401">
        <v>0</v>
      </c>
      <c r="BE77" s="401">
        <v>0</v>
      </c>
      <c r="BF77" s="401">
        <v>0</v>
      </c>
      <c r="BG77" s="426"/>
      <c r="BH77" s="403" t="s">
        <v>353</v>
      </c>
      <c r="BI77" s="404">
        <v>45997</v>
      </c>
      <c r="BJ77" s="405">
        <v>4</v>
      </c>
      <c r="BK77" s="406"/>
      <c r="BL77" s="406"/>
      <c r="BM77" s="407"/>
      <c r="BN77" s="408" t="s">
        <v>124</v>
      </c>
      <c r="BO77" s="409"/>
      <c r="BP77" s="409"/>
      <c r="BQ77" s="409"/>
      <c r="BR77" s="410"/>
      <c r="BS77" s="409"/>
      <c r="BT77" s="409"/>
      <c r="BU77" s="411"/>
      <c r="BV77" s="412"/>
      <c r="BW77" s="413"/>
      <c r="BX77" s="409"/>
      <c r="BY77" s="409"/>
      <c r="BZ77" s="413"/>
      <c r="CA77" s="413"/>
      <c r="CB77" s="413"/>
      <c r="CC77" s="411">
        <f t="shared" si="2"/>
        <v>5.5511151231257827E-17</v>
      </c>
      <c r="CD77" s="414"/>
      <c r="CE77" s="415"/>
      <c r="CF77" s="416" t="s">
        <v>157</v>
      </c>
      <c r="CG77" s="416"/>
    </row>
    <row r="78" spans="1:85" s="417" customFormat="1" ht="15" customHeight="1">
      <c r="A78" s="418" t="s">
        <v>349</v>
      </c>
      <c r="B78" s="397" t="s">
        <v>111</v>
      </c>
      <c r="C78" s="419">
        <v>43009.291666666664</v>
      </c>
      <c r="D78" s="420" t="s">
        <v>179</v>
      </c>
      <c r="E78" s="397" t="s">
        <v>113</v>
      </c>
      <c r="F78" s="420" t="s">
        <v>114</v>
      </c>
      <c r="G78" s="420" t="s">
        <v>115</v>
      </c>
      <c r="H78" s="420" t="s">
        <v>116</v>
      </c>
      <c r="I78" s="420" t="s">
        <v>116</v>
      </c>
      <c r="J78" s="421" t="s">
        <v>116</v>
      </c>
      <c r="K78" s="421" t="b">
        <v>0</v>
      </c>
      <c r="L78" s="421" t="s">
        <v>116</v>
      </c>
      <c r="M78" s="421" t="s">
        <v>116</v>
      </c>
      <c r="N78" s="421" t="s">
        <v>116</v>
      </c>
      <c r="O78" s="421" t="s">
        <v>118</v>
      </c>
      <c r="P78" s="420" t="s">
        <v>350</v>
      </c>
      <c r="Q78" s="420" t="s">
        <v>351</v>
      </c>
      <c r="R78" s="421" t="s">
        <v>116</v>
      </c>
      <c r="S78" s="421" t="s">
        <v>116</v>
      </c>
      <c r="T78" s="421" t="s">
        <v>116</v>
      </c>
      <c r="U78" s="421" t="s">
        <v>116</v>
      </c>
      <c r="V78" s="421" t="s">
        <v>116</v>
      </c>
      <c r="W78" s="421" t="s">
        <v>116</v>
      </c>
      <c r="X78" s="420" t="s">
        <v>352</v>
      </c>
      <c r="Y78" s="399">
        <v>154.75</v>
      </c>
      <c r="Z78" s="420" t="s">
        <v>123</v>
      </c>
      <c r="AA78" s="400">
        <v>1</v>
      </c>
      <c r="AB78" s="401">
        <v>2</v>
      </c>
      <c r="AC78" s="402"/>
      <c r="AD78" s="401">
        <v>1.66</v>
      </c>
      <c r="AE78" s="401">
        <v>0</v>
      </c>
      <c r="AF78" s="401">
        <v>0</v>
      </c>
      <c r="AG78" s="401">
        <v>0</v>
      </c>
      <c r="AH78" s="401">
        <v>0</v>
      </c>
      <c r="AI78" s="401">
        <v>0</v>
      </c>
      <c r="AJ78" s="401">
        <v>0.34</v>
      </c>
      <c r="AK78" s="401">
        <v>0</v>
      </c>
      <c r="AL78" s="401">
        <v>0</v>
      </c>
      <c r="AM78" s="401">
        <v>0</v>
      </c>
      <c r="AN78" s="401">
        <v>0</v>
      </c>
      <c r="AO78" s="401">
        <v>0</v>
      </c>
      <c r="AP78" s="401">
        <v>0</v>
      </c>
      <c r="AQ78" s="401">
        <v>0</v>
      </c>
      <c r="AR78" s="401">
        <v>0</v>
      </c>
      <c r="AS78" s="401">
        <v>0</v>
      </c>
      <c r="AT78" s="401">
        <v>0</v>
      </c>
      <c r="AU78" s="401">
        <v>0</v>
      </c>
      <c r="AV78" s="401">
        <v>0</v>
      </c>
      <c r="AW78" s="401">
        <v>0</v>
      </c>
      <c r="AX78" s="401">
        <v>0</v>
      </c>
      <c r="AY78" s="401">
        <v>0</v>
      </c>
      <c r="AZ78" s="401">
        <v>0</v>
      </c>
      <c r="BA78" s="401">
        <v>0</v>
      </c>
      <c r="BB78" s="401">
        <v>0</v>
      </c>
      <c r="BC78" s="401">
        <v>0</v>
      </c>
      <c r="BD78" s="401">
        <v>0</v>
      </c>
      <c r="BE78" s="401">
        <v>0</v>
      </c>
      <c r="BF78" s="401">
        <v>0</v>
      </c>
      <c r="BG78" s="426"/>
      <c r="BH78" s="403" t="s">
        <v>354</v>
      </c>
      <c r="BI78" s="404">
        <v>46022</v>
      </c>
      <c r="BJ78" s="405">
        <v>4</v>
      </c>
      <c r="BK78" s="406"/>
      <c r="BL78" s="406"/>
      <c r="BM78" s="407"/>
      <c r="BN78" s="408" t="s">
        <v>124</v>
      </c>
      <c r="BO78" s="409"/>
      <c r="BP78" s="409"/>
      <c r="BQ78" s="409"/>
      <c r="BR78" s="410"/>
      <c r="BS78" s="409"/>
      <c r="BT78" s="409"/>
      <c r="BU78" s="411"/>
      <c r="BV78" s="412"/>
      <c r="BW78" s="413"/>
      <c r="BX78" s="409"/>
      <c r="BY78" s="409"/>
      <c r="BZ78" s="413"/>
      <c r="CA78" s="413"/>
      <c r="CB78" s="413"/>
      <c r="CC78" s="411">
        <f t="shared" si="2"/>
        <v>5.5511151231257827E-17</v>
      </c>
      <c r="CD78" s="414"/>
      <c r="CE78" s="415"/>
      <c r="CF78" s="416" t="s">
        <v>157</v>
      </c>
      <c r="CG78" s="416"/>
    </row>
    <row r="79" spans="1:85" s="417" customFormat="1" ht="15" customHeight="1">
      <c r="A79" s="393" t="s">
        <v>355</v>
      </c>
      <c r="B79" s="394" t="s">
        <v>111</v>
      </c>
      <c r="C79" s="395">
        <v>46023</v>
      </c>
      <c r="D79" s="396" t="s">
        <v>179</v>
      </c>
      <c r="E79" s="397" t="s">
        <v>113</v>
      </c>
      <c r="F79" s="397" t="s">
        <v>114</v>
      </c>
      <c r="G79" s="397"/>
      <c r="H79" s="397"/>
      <c r="I79" s="397"/>
      <c r="J79" s="397"/>
      <c r="K79" s="397"/>
      <c r="L79" s="397"/>
      <c r="M79" s="397"/>
      <c r="N79" s="397"/>
      <c r="O79" s="397" t="s">
        <v>118</v>
      </c>
      <c r="P79" s="397" t="s">
        <v>256</v>
      </c>
      <c r="Q79" s="397" t="s">
        <v>356</v>
      </c>
      <c r="R79" s="397"/>
      <c r="S79" s="397"/>
      <c r="T79" s="397"/>
      <c r="U79" s="397"/>
      <c r="V79" s="397"/>
      <c r="W79" s="397"/>
      <c r="X79" s="398" t="s">
        <v>357</v>
      </c>
      <c r="Y79" s="399"/>
      <c r="Z79" s="398"/>
      <c r="AA79" s="400">
        <v>1</v>
      </c>
      <c r="AB79" s="401">
        <v>144.33000000000001</v>
      </c>
      <c r="AC79" s="402"/>
      <c r="AD79" s="401">
        <v>144.33000000000001</v>
      </c>
      <c r="AE79" s="401">
        <v>0</v>
      </c>
      <c r="AF79" s="401">
        <v>0</v>
      </c>
      <c r="AG79" s="401">
        <v>0</v>
      </c>
      <c r="AH79" s="401">
        <v>0</v>
      </c>
      <c r="AI79" s="401">
        <v>0</v>
      </c>
      <c r="AJ79" s="401">
        <v>0</v>
      </c>
      <c r="AK79" s="401">
        <v>0</v>
      </c>
      <c r="AL79" s="401">
        <v>0</v>
      </c>
      <c r="AM79" s="401">
        <v>0</v>
      </c>
      <c r="AN79" s="401">
        <v>0</v>
      </c>
      <c r="AO79" s="401">
        <v>0</v>
      </c>
      <c r="AP79" s="401">
        <v>0</v>
      </c>
      <c r="AQ79" s="401">
        <v>0</v>
      </c>
      <c r="AR79" s="401">
        <v>0</v>
      </c>
      <c r="AS79" s="401">
        <v>0</v>
      </c>
      <c r="AT79" s="401">
        <v>0</v>
      </c>
      <c r="AU79" s="401">
        <v>0</v>
      </c>
      <c r="AV79" s="401">
        <v>0</v>
      </c>
      <c r="AW79" s="401">
        <v>0</v>
      </c>
      <c r="AX79" s="401">
        <v>0</v>
      </c>
      <c r="AY79" s="401">
        <v>0</v>
      </c>
      <c r="AZ79" s="401">
        <v>0</v>
      </c>
      <c r="BA79" s="401">
        <v>0</v>
      </c>
      <c r="BB79" s="401">
        <v>0</v>
      </c>
      <c r="BC79" s="401">
        <v>0</v>
      </c>
      <c r="BD79" s="401">
        <v>0</v>
      </c>
      <c r="BE79" s="401">
        <v>0</v>
      </c>
      <c r="BF79" s="401">
        <v>0</v>
      </c>
      <c r="BG79" s="426"/>
      <c r="BH79" s="403"/>
      <c r="BI79" s="404">
        <v>46011</v>
      </c>
      <c r="BJ79" s="405">
        <v>504.9</v>
      </c>
      <c r="BK79" s="425"/>
      <c r="BL79" s="406"/>
      <c r="BM79" s="407"/>
      <c r="BN79" s="408" t="s">
        <v>124</v>
      </c>
      <c r="BO79" s="409"/>
      <c r="BP79" s="409"/>
      <c r="BQ79" s="409"/>
      <c r="BR79" s="410"/>
      <c r="BS79" s="409"/>
      <c r="BT79" s="409"/>
      <c r="BU79" s="411"/>
      <c r="BV79" s="412"/>
      <c r="BW79" s="413"/>
      <c r="BX79" s="409"/>
      <c r="BY79" s="409"/>
      <c r="BZ79" s="413"/>
      <c r="CA79" s="413"/>
      <c r="CB79" s="413"/>
      <c r="CC79" s="411">
        <f t="shared" si="2"/>
        <v>0</v>
      </c>
      <c r="CD79" s="414"/>
      <c r="CE79" s="415"/>
      <c r="CF79" s="416" t="s">
        <v>166</v>
      </c>
      <c r="CG79" s="416"/>
    </row>
    <row r="80" spans="1:85" s="417" customFormat="1" ht="15" customHeight="1">
      <c r="A80" s="418" t="s">
        <v>355</v>
      </c>
      <c r="B80" s="397" t="s">
        <v>111</v>
      </c>
      <c r="C80" s="419">
        <v>46023</v>
      </c>
      <c r="D80" s="420" t="s">
        <v>179</v>
      </c>
      <c r="E80" s="397" t="s">
        <v>113</v>
      </c>
      <c r="F80" s="420" t="s">
        <v>114</v>
      </c>
      <c r="G80" s="420"/>
      <c r="H80" s="420"/>
      <c r="I80" s="420"/>
      <c r="J80" s="421"/>
      <c r="K80" s="421"/>
      <c r="L80" s="421"/>
      <c r="M80" s="421"/>
      <c r="N80" s="421"/>
      <c r="O80" s="397" t="s">
        <v>118</v>
      </c>
      <c r="P80" s="397" t="s">
        <v>256</v>
      </c>
      <c r="Q80" s="420" t="s">
        <v>356</v>
      </c>
      <c r="R80" s="421"/>
      <c r="S80" s="421"/>
      <c r="T80" s="421"/>
      <c r="U80" s="421"/>
      <c r="V80" s="421"/>
      <c r="W80" s="421"/>
      <c r="X80" s="420" t="s">
        <v>357</v>
      </c>
      <c r="Y80" s="399"/>
      <c r="Z80" s="420"/>
      <c r="AA80" s="400">
        <v>1</v>
      </c>
      <c r="AB80" s="401">
        <v>-144.33000000000001</v>
      </c>
      <c r="AC80" s="402"/>
      <c r="AD80" s="401">
        <v>-144.33000000000001</v>
      </c>
      <c r="AE80" s="401">
        <v>0</v>
      </c>
      <c r="AF80" s="401">
        <v>0</v>
      </c>
      <c r="AG80" s="401">
        <v>0</v>
      </c>
      <c r="AH80" s="401">
        <v>0</v>
      </c>
      <c r="AI80" s="401">
        <v>0</v>
      </c>
      <c r="AJ80" s="401">
        <v>0</v>
      </c>
      <c r="AK80" s="401">
        <v>0</v>
      </c>
      <c r="AL80" s="401">
        <v>0</v>
      </c>
      <c r="AM80" s="401">
        <v>0</v>
      </c>
      <c r="AN80" s="401">
        <v>0</v>
      </c>
      <c r="AO80" s="401">
        <v>0</v>
      </c>
      <c r="AP80" s="401">
        <v>0</v>
      </c>
      <c r="AQ80" s="401">
        <v>0</v>
      </c>
      <c r="AR80" s="401">
        <v>0</v>
      </c>
      <c r="AS80" s="401">
        <v>0</v>
      </c>
      <c r="AT80" s="401">
        <v>0</v>
      </c>
      <c r="AU80" s="401">
        <v>0</v>
      </c>
      <c r="AV80" s="401">
        <v>0</v>
      </c>
      <c r="AW80" s="401">
        <v>0</v>
      </c>
      <c r="AX80" s="401">
        <v>0</v>
      </c>
      <c r="AY80" s="401">
        <v>0</v>
      </c>
      <c r="AZ80" s="401">
        <v>0</v>
      </c>
      <c r="BA80" s="401">
        <v>0</v>
      </c>
      <c r="BB80" s="401">
        <v>0</v>
      </c>
      <c r="BC80" s="401">
        <v>0</v>
      </c>
      <c r="BD80" s="401">
        <v>0</v>
      </c>
      <c r="BE80" s="401">
        <v>0</v>
      </c>
      <c r="BF80" s="401">
        <v>0</v>
      </c>
      <c r="BG80" s="426"/>
      <c r="BH80" s="403"/>
      <c r="BI80" s="404">
        <v>46022</v>
      </c>
      <c r="BJ80" s="405">
        <v>-95.24</v>
      </c>
      <c r="BK80" s="406"/>
      <c r="BL80" s="406"/>
      <c r="BM80" s="407"/>
      <c r="BN80" s="408" t="s">
        <v>124</v>
      </c>
      <c r="BO80" s="409"/>
      <c r="BP80" s="409"/>
      <c r="BQ80" s="409"/>
      <c r="BR80" s="410"/>
      <c r="BS80" s="409"/>
      <c r="BT80" s="409"/>
      <c r="BU80" s="411"/>
      <c r="BV80" s="412"/>
      <c r="BW80" s="413"/>
      <c r="BX80" s="409"/>
      <c r="BY80" s="409"/>
      <c r="BZ80" s="413"/>
      <c r="CA80" s="413"/>
      <c r="CB80" s="413"/>
      <c r="CC80" s="411">
        <f t="shared" si="2"/>
        <v>0</v>
      </c>
      <c r="CD80" s="414"/>
      <c r="CE80" s="415"/>
      <c r="CF80" s="416" t="s">
        <v>166</v>
      </c>
      <c r="CG80" s="416"/>
    </row>
    <row r="81" spans="1:85" s="417" customFormat="1" ht="15" customHeight="1" thickBot="1">
      <c r="A81" s="444" t="s">
        <v>358</v>
      </c>
      <c r="B81" s="445" t="s">
        <v>111</v>
      </c>
      <c r="C81" s="446">
        <v>45839</v>
      </c>
      <c r="D81" s="447" t="s">
        <v>179</v>
      </c>
      <c r="E81" s="448" t="s">
        <v>113</v>
      </c>
      <c r="F81" s="448" t="s">
        <v>114</v>
      </c>
      <c r="G81" s="448" t="s">
        <v>153</v>
      </c>
      <c r="H81" s="448" t="s">
        <v>116</v>
      </c>
      <c r="I81" s="448" t="s">
        <v>116</v>
      </c>
      <c r="J81" s="448" t="s">
        <v>116</v>
      </c>
      <c r="K81" s="448" t="b">
        <v>0</v>
      </c>
      <c r="L81" s="448" t="s">
        <v>116</v>
      </c>
      <c r="M81" s="448" t="s">
        <v>116</v>
      </c>
      <c r="N81" s="448" t="s">
        <v>116</v>
      </c>
      <c r="O81" s="448" t="s">
        <v>118</v>
      </c>
      <c r="P81" s="448" t="s">
        <v>256</v>
      </c>
      <c r="Q81" s="448" t="s">
        <v>359</v>
      </c>
      <c r="R81" s="448" t="s">
        <v>116</v>
      </c>
      <c r="S81" s="448" t="s">
        <v>116</v>
      </c>
      <c r="T81" s="448" t="s">
        <v>116</v>
      </c>
      <c r="U81" s="448" t="s">
        <v>116</v>
      </c>
      <c r="V81" s="448" t="s">
        <v>116</v>
      </c>
      <c r="W81" s="448" t="s">
        <v>116</v>
      </c>
      <c r="X81" s="449" t="s">
        <v>360</v>
      </c>
      <c r="Y81" s="450">
        <v>114.65</v>
      </c>
      <c r="Z81" s="449" t="s">
        <v>116</v>
      </c>
      <c r="AA81" s="451">
        <v>1</v>
      </c>
      <c r="AB81" s="452">
        <v>33.25</v>
      </c>
      <c r="AC81" s="453"/>
      <c r="AD81" s="452">
        <v>4.58</v>
      </c>
      <c r="AE81" s="452">
        <v>0</v>
      </c>
      <c r="AF81" s="452">
        <v>0</v>
      </c>
      <c r="AG81" s="452">
        <v>0</v>
      </c>
      <c r="AH81" s="452">
        <v>0</v>
      </c>
      <c r="AI81" s="452">
        <v>0</v>
      </c>
      <c r="AJ81" s="452">
        <v>1.1499999999999999</v>
      </c>
      <c r="AK81" s="452">
        <v>27.52</v>
      </c>
      <c r="AL81" s="452">
        <v>0</v>
      </c>
      <c r="AM81" s="452">
        <v>0</v>
      </c>
      <c r="AN81" s="452">
        <v>0</v>
      </c>
      <c r="AO81" s="452">
        <v>0</v>
      </c>
      <c r="AP81" s="452">
        <v>0</v>
      </c>
      <c r="AQ81" s="452">
        <v>0</v>
      </c>
      <c r="AR81" s="452">
        <v>0</v>
      </c>
      <c r="AS81" s="452">
        <v>0</v>
      </c>
      <c r="AT81" s="452">
        <v>0</v>
      </c>
      <c r="AU81" s="452">
        <v>0</v>
      </c>
      <c r="AV81" s="452">
        <v>0</v>
      </c>
      <c r="AW81" s="452">
        <v>0</v>
      </c>
      <c r="AX81" s="452">
        <v>0</v>
      </c>
      <c r="AY81" s="452">
        <v>0</v>
      </c>
      <c r="AZ81" s="452">
        <v>0</v>
      </c>
      <c r="BA81" s="452">
        <v>0</v>
      </c>
      <c r="BB81" s="452">
        <v>0</v>
      </c>
      <c r="BC81" s="452">
        <v>0</v>
      </c>
      <c r="BD81" s="452">
        <v>0</v>
      </c>
      <c r="BE81" s="452">
        <v>0</v>
      </c>
      <c r="BF81" s="452">
        <v>0</v>
      </c>
      <c r="BG81" s="454"/>
      <c r="BH81" s="455" t="s">
        <v>361</v>
      </c>
      <c r="BI81" s="404">
        <v>46011</v>
      </c>
      <c r="BJ81" s="405">
        <v>504.9</v>
      </c>
      <c r="BK81" s="425"/>
      <c r="BL81" s="406"/>
      <c r="BM81" s="407"/>
      <c r="BN81" s="408" t="s">
        <v>124</v>
      </c>
      <c r="BO81" s="409"/>
      <c r="BP81" s="409"/>
      <c r="BQ81" s="409"/>
      <c r="BR81" s="410"/>
      <c r="BS81" s="409"/>
      <c r="BT81" s="409"/>
      <c r="BU81" s="411"/>
      <c r="BV81" s="412"/>
      <c r="BW81" s="413"/>
      <c r="BX81" s="409"/>
      <c r="BY81" s="409"/>
      <c r="BZ81" s="413"/>
      <c r="CA81" s="413"/>
      <c r="CB81" s="413"/>
      <c r="CC81" s="411">
        <f t="shared" si="2"/>
        <v>3.5527136788005009E-15</v>
      </c>
      <c r="CD81" s="414"/>
      <c r="CE81" s="415"/>
      <c r="CF81" s="416" t="s">
        <v>166</v>
      </c>
      <c r="CG81" s="416"/>
    </row>
    <row r="82" spans="1:85" ht="15" customHeight="1" thickBot="1">
      <c r="A82" s="456"/>
      <c r="B82" s="456"/>
      <c r="C82" s="457"/>
      <c r="D82" s="456"/>
      <c r="E82" s="456"/>
      <c r="F82" s="456"/>
      <c r="G82" s="456"/>
      <c r="H82" s="456"/>
      <c r="I82" s="456"/>
      <c r="J82" s="456"/>
      <c r="K82" s="456"/>
      <c r="L82" s="456"/>
      <c r="M82" s="456"/>
      <c r="N82" s="456"/>
      <c r="O82" s="456"/>
      <c r="P82" s="456"/>
      <c r="Q82" s="458"/>
      <c r="R82" s="458"/>
      <c r="S82" s="458"/>
      <c r="T82" s="458"/>
      <c r="U82" s="458"/>
      <c r="V82" s="458"/>
      <c r="W82" s="458"/>
      <c r="X82" s="459" t="s">
        <v>140</v>
      </c>
      <c r="Y82" s="460"/>
      <c r="Z82" s="461"/>
      <c r="AA82" s="461">
        <f t="shared" ref="AA82:BG82" si="3">SUM(AA12:AA81)</f>
        <v>70</v>
      </c>
      <c r="AB82" s="462">
        <f t="shared" si="3"/>
        <v>825.19</v>
      </c>
      <c r="AC82" s="462">
        <f t="shared" si="3"/>
        <v>0</v>
      </c>
      <c r="AD82" s="462">
        <f t="shared" si="3"/>
        <v>291.46999999999997</v>
      </c>
      <c r="AE82" s="462">
        <f t="shared" si="3"/>
        <v>0</v>
      </c>
      <c r="AF82" s="462">
        <f t="shared" si="3"/>
        <v>0</v>
      </c>
      <c r="AG82" s="462">
        <f t="shared" si="3"/>
        <v>0</v>
      </c>
      <c r="AH82" s="462">
        <f t="shared" si="3"/>
        <v>0</v>
      </c>
      <c r="AI82" s="462">
        <f t="shared" si="3"/>
        <v>25.410000000000004</v>
      </c>
      <c r="AJ82" s="462">
        <f t="shared" si="3"/>
        <v>75.770000000000024</v>
      </c>
      <c r="AK82" s="462">
        <f t="shared" si="3"/>
        <v>432.54</v>
      </c>
      <c r="AL82" s="462">
        <f t="shared" si="3"/>
        <v>0</v>
      </c>
      <c r="AM82" s="462">
        <f t="shared" si="3"/>
        <v>0</v>
      </c>
      <c r="AN82" s="462">
        <f t="shared" si="3"/>
        <v>0</v>
      </c>
      <c r="AO82" s="462">
        <f t="shared" si="3"/>
        <v>0</v>
      </c>
      <c r="AP82" s="462">
        <f t="shared" si="3"/>
        <v>0</v>
      </c>
      <c r="AQ82" s="462">
        <f t="shared" si="3"/>
        <v>0</v>
      </c>
      <c r="AR82" s="462">
        <f t="shared" si="3"/>
        <v>0</v>
      </c>
      <c r="AS82" s="462">
        <f t="shared" si="3"/>
        <v>0</v>
      </c>
      <c r="AT82" s="462">
        <f t="shared" si="3"/>
        <v>0</v>
      </c>
      <c r="AU82" s="462">
        <f t="shared" si="3"/>
        <v>0</v>
      </c>
      <c r="AV82" s="462">
        <f t="shared" si="3"/>
        <v>0</v>
      </c>
      <c r="AW82" s="462">
        <f t="shared" si="3"/>
        <v>0</v>
      </c>
      <c r="AX82" s="462">
        <f t="shared" si="3"/>
        <v>0</v>
      </c>
      <c r="AY82" s="462">
        <f t="shared" si="3"/>
        <v>0</v>
      </c>
      <c r="AZ82" s="462">
        <f t="shared" si="3"/>
        <v>0</v>
      </c>
      <c r="BA82" s="462">
        <f t="shared" si="3"/>
        <v>0</v>
      </c>
      <c r="BB82" s="462">
        <f t="shared" si="3"/>
        <v>0</v>
      </c>
      <c r="BC82" s="462">
        <f t="shared" si="3"/>
        <v>0</v>
      </c>
      <c r="BD82" s="462">
        <f t="shared" si="3"/>
        <v>0</v>
      </c>
      <c r="BE82" s="462">
        <f t="shared" si="3"/>
        <v>0</v>
      </c>
      <c r="BF82" s="462">
        <f t="shared" si="3"/>
        <v>0</v>
      </c>
      <c r="BG82" s="463">
        <f t="shared" si="3"/>
        <v>0</v>
      </c>
      <c r="BH82" s="464"/>
      <c r="BI82" s="457"/>
      <c r="BJ82" s="465"/>
      <c r="BK82" s="457"/>
      <c r="BL82" s="466"/>
      <c r="BM82" s="467"/>
      <c r="BN82" s="468"/>
      <c r="BO82" s="457"/>
      <c r="BP82" s="457"/>
      <c r="BQ82" s="457"/>
      <c r="BR82" s="469"/>
      <c r="BS82" s="457"/>
      <c r="BT82" s="468"/>
      <c r="BU82" s="470"/>
      <c r="BV82" s="468"/>
      <c r="BW82" s="468"/>
      <c r="BX82" s="457"/>
      <c r="BY82" s="468"/>
      <c r="BZ82" s="468"/>
      <c r="CA82" s="468"/>
      <c r="CB82" s="468"/>
      <c r="CC82" s="471"/>
      <c r="CD82" s="467"/>
      <c r="CE82" s="468"/>
      <c r="CF82" s="468"/>
      <c r="CG82" s="468"/>
    </row>
    <row r="83" spans="1:85" ht="15" customHeight="1" thickBot="1">
      <c r="A83" s="87"/>
      <c r="B83" s="87"/>
      <c r="C83" s="88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9"/>
      <c r="R83" s="89"/>
      <c r="S83" s="89"/>
      <c r="T83" s="89"/>
      <c r="U83" s="89"/>
      <c r="V83" s="89"/>
      <c r="W83" s="89"/>
      <c r="X83" s="90"/>
      <c r="Y83" s="89"/>
      <c r="Z83" s="89"/>
      <c r="AA83" s="87"/>
      <c r="AB83" s="91"/>
      <c r="AC83" s="91"/>
      <c r="AD83" s="91"/>
      <c r="AE83" s="91"/>
      <c r="AF83" s="91"/>
      <c r="AG83" s="91"/>
      <c r="AH83" s="91"/>
      <c r="AI83" s="91"/>
      <c r="AJ83" s="91"/>
      <c r="AK83" s="91"/>
      <c r="AL83" s="91"/>
      <c r="AM83" s="91"/>
      <c r="AN83" s="91"/>
      <c r="AO83" s="91"/>
      <c r="AP83" s="91"/>
      <c r="AQ83" s="91"/>
      <c r="AR83" s="91"/>
      <c r="AS83" s="91"/>
      <c r="AT83" s="91"/>
      <c r="AU83" s="91"/>
      <c r="AV83" s="91"/>
      <c r="AW83" s="91"/>
      <c r="AX83" s="91"/>
      <c r="AY83" s="91"/>
      <c r="AZ83" s="91"/>
      <c r="BA83" s="91"/>
      <c r="BB83" s="91"/>
      <c r="BC83" s="91"/>
      <c r="BD83" s="91"/>
      <c r="BE83" s="91"/>
      <c r="BF83" s="91"/>
      <c r="BG83" s="91"/>
      <c r="BH83" s="92"/>
      <c r="BI83" s="88"/>
      <c r="BJ83" s="243"/>
      <c r="BK83" s="88"/>
      <c r="BL83" s="93"/>
      <c r="BM83" s="94"/>
      <c r="BN83" s="95"/>
      <c r="BO83" s="88"/>
      <c r="BP83" s="88"/>
      <c r="BQ83" s="88"/>
      <c r="BR83" s="203"/>
      <c r="BS83" s="88"/>
      <c r="BT83" s="95"/>
      <c r="BU83" s="96"/>
      <c r="BV83" s="95"/>
      <c r="BW83" s="95"/>
      <c r="BX83" s="88"/>
      <c r="BY83" s="95"/>
      <c r="BZ83" s="95"/>
      <c r="CA83" s="95"/>
      <c r="CB83" s="95"/>
      <c r="CC83" s="95"/>
      <c r="CD83" s="94"/>
      <c r="CE83" s="95"/>
      <c r="CF83" s="95"/>
      <c r="CG83" s="95"/>
    </row>
    <row r="84" spans="1:85" ht="15" customHeight="1">
      <c r="A84" s="87"/>
      <c r="B84" s="87"/>
      <c r="C84" s="88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7"/>
      <c r="O84" s="87"/>
      <c r="P84" s="87"/>
      <c r="Q84" s="97"/>
      <c r="R84" s="98"/>
      <c r="S84" s="98"/>
      <c r="T84" s="98"/>
      <c r="U84" s="98"/>
      <c r="V84" s="98"/>
      <c r="W84" s="98"/>
      <c r="X84" s="99"/>
      <c r="Y84" s="98"/>
      <c r="Z84" s="98"/>
      <c r="AA84" s="100"/>
      <c r="AB84" s="101"/>
      <c r="AC84" s="101"/>
      <c r="AD84" s="101"/>
      <c r="AE84" s="101"/>
      <c r="AF84" s="101"/>
      <c r="AG84" s="101"/>
      <c r="AH84" s="101"/>
      <c r="AI84" s="101"/>
      <c r="AJ84" s="101"/>
      <c r="AK84" s="101"/>
      <c r="AL84" s="101"/>
      <c r="AM84" s="101"/>
      <c r="AN84" s="101"/>
      <c r="AO84" s="101"/>
      <c r="AP84" s="101"/>
      <c r="AQ84" s="101"/>
      <c r="AR84" s="101"/>
      <c r="AS84" s="101"/>
      <c r="AT84" s="101"/>
      <c r="AU84" s="101"/>
      <c r="AV84" s="101"/>
      <c r="AW84" s="101"/>
      <c r="AX84" s="101"/>
      <c r="AY84" s="101"/>
      <c r="AZ84" s="101"/>
      <c r="BA84" s="101"/>
      <c r="BB84" s="101"/>
      <c r="BC84" s="101"/>
      <c r="BD84" s="101"/>
      <c r="BE84" s="101"/>
      <c r="BF84" s="101"/>
      <c r="BG84" s="101"/>
      <c r="BH84" s="102"/>
      <c r="BI84" s="88"/>
      <c r="BJ84" s="243"/>
      <c r="BK84" s="88"/>
      <c r="BL84" s="93"/>
      <c r="BM84" s="94"/>
      <c r="BN84" s="95"/>
      <c r="BO84" s="88"/>
      <c r="BP84" s="88"/>
      <c r="BQ84" s="88"/>
      <c r="BR84" s="203"/>
      <c r="BS84" s="88"/>
      <c r="BT84" s="95"/>
      <c r="BU84" s="96"/>
      <c r="BV84" s="95"/>
      <c r="BW84" s="95"/>
      <c r="BX84" s="88"/>
      <c r="BY84" s="95"/>
      <c r="BZ84" s="95"/>
      <c r="CA84" s="95"/>
      <c r="CB84" s="95"/>
      <c r="CC84" s="95"/>
      <c r="CD84" s="94"/>
      <c r="CE84" s="95"/>
      <c r="CF84" s="95"/>
      <c r="CG84" s="95"/>
    </row>
    <row r="85" spans="1:85" ht="30" customHeight="1">
      <c r="A85" s="87"/>
      <c r="B85" s="87"/>
      <c r="C85" s="88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103"/>
      <c r="R85" s="89"/>
      <c r="S85" s="89"/>
      <c r="T85" s="89"/>
      <c r="U85" s="89"/>
      <c r="V85" s="89"/>
      <c r="W85" s="89"/>
      <c r="X85" s="90"/>
      <c r="Y85" s="89"/>
      <c r="Z85" s="89"/>
      <c r="AA85" s="87"/>
      <c r="AB85" s="104" t="s">
        <v>70</v>
      </c>
      <c r="AC85" s="104"/>
      <c r="AD85" s="105" t="s">
        <v>52</v>
      </c>
      <c r="AE85" s="105" t="s">
        <v>71</v>
      </c>
      <c r="AF85" s="105" t="s">
        <v>72</v>
      </c>
      <c r="AG85" s="105" t="s">
        <v>73</v>
      </c>
      <c r="AH85" s="105" t="s">
        <v>362</v>
      </c>
      <c r="AI85" s="105" t="s">
        <v>362</v>
      </c>
      <c r="AJ85" s="105" t="s">
        <v>362</v>
      </c>
      <c r="AK85" s="105" t="s">
        <v>59</v>
      </c>
      <c r="AL85" s="106" t="s">
        <v>363</v>
      </c>
      <c r="AM85" s="105" t="s">
        <v>364</v>
      </c>
      <c r="AN85" s="105" t="s">
        <v>365</v>
      </c>
      <c r="AO85" s="105" t="s">
        <v>366</v>
      </c>
      <c r="AP85" s="105" t="s">
        <v>367</v>
      </c>
      <c r="AQ85" s="105" t="s">
        <v>368</v>
      </c>
      <c r="AR85" s="105" t="s">
        <v>369</v>
      </c>
      <c r="AS85" s="105" t="s">
        <v>370</v>
      </c>
      <c r="AT85" s="105" t="s">
        <v>371</v>
      </c>
      <c r="AU85" s="105" t="s">
        <v>372</v>
      </c>
      <c r="AV85" s="105" t="s">
        <v>373</v>
      </c>
      <c r="AW85" s="105" t="s">
        <v>374</v>
      </c>
      <c r="AX85" s="105" t="s">
        <v>375</v>
      </c>
      <c r="AY85" s="105" t="s">
        <v>376</v>
      </c>
      <c r="AZ85" s="105" t="s">
        <v>377</v>
      </c>
      <c r="BA85" s="105" t="s">
        <v>378</v>
      </c>
      <c r="BB85" s="105" t="s">
        <v>379</v>
      </c>
      <c r="BC85" s="105"/>
      <c r="BD85" s="105"/>
      <c r="BE85" s="105" t="s">
        <v>380</v>
      </c>
      <c r="BF85" s="105" t="s">
        <v>381</v>
      </c>
      <c r="BG85" s="105" t="s">
        <v>382</v>
      </c>
      <c r="BH85" s="107"/>
      <c r="BI85" s="96"/>
      <c r="BJ85" s="93"/>
      <c r="BK85" s="94"/>
      <c r="BL85" s="91"/>
      <c r="BM85" s="95"/>
      <c r="BN85" s="88"/>
      <c r="BO85" s="88"/>
      <c r="BP85" s="88"/>
      <c r="BQ85" s="88"/>
      <c r="BR85" s="203"/>
      <c r="BS85" s="95"/>
      <c r="BT85" s="96"/>
      <c r="BU85" s="95"/>
      <c r="BV85" s="95"/>
      <c r="BW85" s="88"/>
      <c r="BX85" s="95"/>
      <c r="BY85" s="95"/>
      <c r="BZ85" s="95"/>
      <c r="CA85" s="95"/>
      <c r="CB85" s="95"/>
      <c r="CC85" s="95"/>
      <c r="CD85" s="94"/>
      <c r="CE85" s="95"/>
      <c r="CF85" s="95"/>
      <c r="CG85" s="95"/>
    </row>
    <row r="86" spans="1:85" ht="15" customHeight="1">
      <c r="A86" s="87"/>
      <c r="B86" s="87"/>
      <c r="C86" s="88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7"/>
      <c r="O86" s="87"/>
      <c r="P86" s="87"/>
      <c r="Q86" s="103"/>
      <c r="R86" s="89"/>
      <c r="S86" s="89"/>
      <c r="T86" s="89"/>
      <c r="U86" s="89"/>
      <c r="V86" s="89"/>
      <c r="W86" s="89"/>
      <c r="X86" s="90"/>
      <c r="Y86" s="89"/>
      <c r="Z86" s="89"/>
      <c r="AA86" s="87"/>
      <c r="AB86" s="91"/>
      <c r="AC86" s="91"/>
      <c r="AD86" s="108"/>
      <c r="AE86" s="108"/>
      <c r="AF86" s="108"/>
      <c r="AG86" s="108"/>
      <c r="AH86" s="108"/>
      <c r="AI86" s="108"/>
      <c r="AJ86" s="108"/>
      <c r="AK86" s="108"/>
      <c r="AL86" s="108"/>
      <c r="AM86" s="108"/>
      <c r="AN86" s="108"/>
      <c r="AO86" s="108"/>
      <c r="AP86" s="108"/>
      <c r="AQ86" s="108"/>
      <c r="AR86" s="108"/>
      <c r="AS86" s="108"/>
      <c r="AT86" s="108"/>
      <c r="AU86" s="108"/>
      <c r="AV86" s="108"/>
      <c r="AW86" s="108"/>
      <c r="AX86" s="108"/>
      <c r="AY86" s="108"/>
      <c r="AZ86" s="108"/>
      <c r="BA86" s="108"/>
      <c r="BB86" s="108"/>
      <c r="BC86" s="108"/>
      <c r="BD86" s="108"/>
      <c r="BE86" s="108"/>
      <c r="BF86" s="108"/>
      <c r="BG86" s="108"/>
      <c r="BH86" s="107"/>
      <c r="BI86" s="96"/>
      <c r="BJ86" s="93"/>
      <c r="BK86" s="94"/>
      <c r="BL86" s="91"/>
      <c r="BM86" s="95"/>
      <c r="BN86" s="88"/>
      <c r="BO86" s="88"/>
      <c r="BP86" s="88"/>
      <c r="BQ86" s="88"/>
      <c r="BR86" s="203"/>
      <c r="BS86" s="95"/>
      <c r="BT86" s="96"/>
      <c r="BU86" s="95"/>
      <c r="BV86" s="95"/>
      <c r="BW86" s="88"/>
      <c r="BX86" s="95"/>
      <c r="BY86" s="95"/>
      <c r="BZ86" s="95"/>
      <c r="CA86" s="95"/>
      <c r="CB86" s="95"/>
      <c r="CC86" s="95"/>
      <c r="CD86" s="94"/>
      <c r="CE86" s="95"/>
      <c r="CF86" s="95"/>
      <c r="CG86" s="95"/>
    </row>
    <row r="87" spans="1:85" ht="15" customHeight="1">
      <c r="A87" s="87"/>
      <c r="B87" s="87"/>
      <c r="C87" s="472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103"/>
      <c r="R87" s="87"/>
      <c r="S87" s="87"/>
      <c r="T87" s="87"/>
      <c r="U87" s="87"/>
      <c r="V87" s="87"/>
      <c r="W87" s="87"/>
      <c r="X87" s="109" t="s">
        <v>383</v>
      </c>
      <c r="Y87" s="89"/>
      <c r="Z87" s="87"/>
      <c r="AA87" s="88"/>
      <c r="AB87" s="91">
        <v>0</v>
      </c>
      <c r="AC87" s="91"/>
      <c r="AD87" s="108">
        <f>SUM(AD82)</f>
        <v>291.46999999999997</v>
      </c>
      <c r="AE87" s="108">
        <f t="shared" ref="AE87:BB87" si="4">SUM(AE82)</f>
        <v>0</v>
      </c>
      <c r="AF87" s="108">
        <f t="shared" si="4"/>
        <v>0</v>
      </c>
      <c r="AG87" s="108">
        <f t="shared" si="4"/>
        <v>0</v>
      </c>
      <c r="AH87" s="108">
        <f t="shared" si="4"/>
        <v>0</v>
      </c>
      <c r="AI87" s="108">
        <f t="shared" si="4"/>
        <v>25.410000000000004</v>
      </c>
      <c r="AJ87" s="108">
        <f t="shared" si="4"/>
        <v>75.770000000000024</v>
      </c>
      <c r="AK87" s="108">
        <f t="shared" si="4"/>
        <v>432.54</v>
      </c>
      <c r="AL87" s="108"/>
      <c r="AM87" s="108">
        <f t="shared" si="4"/>
        <v>0</v>
      </c>
      <c r="AN87" s="108">
        <f t="shared" si="4"/>
        <v>0</v>
      </c>
      <c r="AO87" s="108">
        <f t="shared" si="4"/>
        <v>0</v>
      </c>
      <c r="AP87" s="108">
        <f t="shared" si="4"/>
        <v>0</v>
      </c>
      <c r="AQ87" s="108">
        <f t="shared" si="4"/>
        <v>0</v>
      </c>
      <c r="AR87" s="108">
        <f t="shared" si="4"/>
        <v>0</v>
      </c>
      <c r="AS87" s="108">
        <f t="shared" si="4"/>
        <v>0</v>
      </c>
      <c r="AT87" s="108">
        <f t="shared" si="4"/>
        <v>0</v>
      </c>
      <c r="AU87" s="108"/>
      <c r="AV87" s="108"/>
      <c r="AW87" s="108">
        <f t="shared" si="4"/>
        <v>0</v>
      </c>
      <c r="AX87" s="108">
        <f t="shared" si="4"/>
        <v>0</v>
      </c>
      <c r="AY87" s="108">
        <f t="shared" si="4"/>
        <v>0</v>
      </c>
      <c r="AZ87" s="108">
        <f t="shared" si="4"/>
        <v>0</v>
      </c>
      <c r="BA87" s="108">
        <f t="shared" si="4"/>
        <v>0</v>
      </c>
      <c r="BB87" s="108">
        <f t="shared" si="4"/>
        <v>0</v>
      </c>
      <c r="BC87" s="108"/>
      <c r="BD87" s="108"/>
      <c r="BE87" s="108">
        <f t="shared" ref="BE87:BG87" si="5">SUM(BE82)</f>
        <v>0</v>
      </c>
      <c r="BF87" s="108">
        <f t="shared" si="5"/>
        <v>0</v>
      </c>
      <c r="BG87" s="108">
        <f t="shared" si="5"/>
        <v>0</v>
      </c>
      <c r="BH87" s="107"/>
      <c r="BI87" s="89"/>
      <c r="BJ87" s="93"/>
      <c r="BK87" s="110"/>
      <c r="BL87" s="91"/>
      <c r="BM87" s="95"/>
      <c r="BN87" s="111"/>
      <c r="BO87" s="88"/>
      <c r="BP87" s="88"/>
      <c r="BQ87" s="88"/>
      <c r="BR87" s="203"/>
      <c r="BS87" s="88"/>
      <c r="BT87" s="96"/>
      <c r="BU87" s="95"/>
      <c r="BV87" s="95"/>
      <c r="BW87" s="111"/>
      <c r="BX87" s="88"/>
      <c r="BY87" s="95"/>
      <c r="BZ87" s="95"/>
      <c r="CA87" s="95"/>
      <c r="CB87" s="95"/>
      <c r="CC87" s="95"/>
      <c r="CD87" s="94"/>
      <c r="CE87" s="95"/>
      <c r="CF87" s="95"/>
      <c r="CG87" s="95"/>
    </row>
    <row r="88" spans="1:85" ht="15" customHeight="1">
      <c r="A88" s="87"/>
      <c r="B88" s="87"/>
      <c r="C88" s="472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7"/>
      <c r="O88" s="87"/>
      <c r="P88" s="87"/>
      <c r="Q88" s="103"/>
      <c r="R88" s="89"/>
      <c r="S88" s="89"/>
      <c r="T88" s="89"/>
      <c r="U88" s="89"/>
      <c r="V88" s="89"/>
      <c r="W88" s="89"/>
      <c r="X88" s="109"/>
      <c r="Y88" s="89"/>
      <c r="Z88" s="89"/>
      <c r="AA88" s="88"/>
      <c r="AB88" s="91"/>
      <c r="AC88" s="91"/>
      <c r="AD88" s="108"/>
      <c r="AE88" s="108"/>
      <c r="AF88" s="108"/>
      <c r="AG88" s="108"/>
      <c r="AH88" s="108"/>
      <c r="AI88" s="108"/>
      <c r="AJ88" s="108"/>
      <c r="AK88" s="108"/>
      <c r="AL88" s="108"/>
      <c r="AM88" s="108"/>
      <c r="AN88" s="108"/>
      <c r="AO88" s="108"/>
      <c r="AP88" s="108"/>
      <c r="AQ88" s="108"/>
      <c r="AR88" s="108"/>
      <c r="AS88" s="108"/>
      <c r="AT88" s="108"/>
      <c r="AU88" s="108"/>
      <c r="AV88" s="108"/>
      <c r="AW88" s="108"/>
      <c r="AX88" s="108"/>
      <c r="AY88" s="108"/>
      <c r="AZ88" s="108"/>
      <c r="BA88" s="108"/>
      <c r="BB88" s="108"/>
      <c r="BC88" s="108"/>
      <c r="BD88" s="108"/>
      <c r="BE88" s="108"/>
      <c r="BF88" s="108"/>
      <c r="BG88" s="108"/>
      <c r="BH88" s="107"/>
      <c r="BI88" s="89"/>
      <c r="BJ88" s="93"/>
      <c r="BK88" s="110"/>
      <c r="BL88" s="91"/>
      <c r="BM88" s="95"/>
      <c r="BN88" s="111"/>
      <c r="BO88" s="88"/>
      <c r="BP88" s="88"/>
      <c r="BQ88" s="88"/>
      <c r="BR88" s="203"/>
      <c r="BS88" s="88"/>
      <c r="BT88" s="96"/>
      <c r="BU88" s="95"/>
      <c r="BV88" s="95"/>
      <c r="BW88" s="111"/>
      <c r="BX88" s="88"/>
      <c r="BY88" s="95"/>
      <c r="BZ88" s="95"/>
      <c r="CA88" s="95"/>
      <c r="CB88" s="95"/>
      <c r="CC88" s="95"/>
      <c r="CD88" s="94"/>
      <c r="CE88" s="95"/>
      <c r="CF88" s="95"/>
      <c r="CG88" s="95"/>
    </row>
    <row r="89" spans="1:85" ht="15" customHeight="1">
      <c r="A89" s="87"/>
      <c r="B89" s="87"/>
      <c r="C89" s="88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103"/>
      <c r="R89" s="89"/>
      <c r="S89" s="89"/>
      <c r="T89" s="89"/>
      <c r="U89" s="89"/>
      <c r="V89" s="89"/>
      <c r="W89" s="89"/>
      <c r="X89" s="109" t="s">
        <v>384</v>
      </c>
      <c r="Y89" s="89"/>
      <c r="Z89" s="89"/>
      <c r="AA89" s="88"/>
      <c r="AB89" s="91"/>
      <c r="AC89" s="91"/>
      <c r="AD89" s="108">
        <v>0</v>
      </c>
      <c r="AE89" s="108"/>
      <c r="AF89" s="108"/>
      <c r="AG89" s="108"/>
      <c r="AH89" s="108">
        <v>0</v>
      </c>
      <c r="AI89" s="108">
        <v>0</v>
      </c>
      <c r="AJ89" s="108">
        <v>0</v>
      </c>
      <c r="AK89" s="108">
        <v>0</v>
      </c>
      <c r="AL89" s="108"/>
      <c r="AM89" s="108">
        <v>0</v>
      </c>
      <c r="AN89" s="108">
        <v>0</v>
      </c>
      <c r="AO89" s="108"/>
      <c r="AP89" s="108"/>
      <c r="AQ89" s="108"/>
      <c r="AR89" s="108"/>
      <c r="AS89" s="108"/>
      <c r="AT89" s="108"/>
      <c r="AU89" s="108"/>
      <c r="AV89" s="108"/>
      <c r="AW89" s="108"/>
      <c r="AX89" s="108"/>
      <c r="AY89" s="108"/>
      <c r="AZ89" s="108"/>
      <c r="BA89" s="108"/>
      <c r="BB89" s="108"/>
      <c r="BC89" s="108"/>
      <c r="BD89" s="108"/>
      <c r="BE89" s="108">
        <v>0</v>
      </c>
      <c r="BF89" s="108">
        <v>0</v>
      </c>
      <c r="BG89" s="108">
        <v>0</v>
      </c>
      <c r="BH89" s="107"/>
      <c r="BI89" s="89"/>
      <c r="BJ89" s="93"/>
      <c r="BK89" s="110"/>
      <c r="BL89" s="91"/>
      <c r="BM89" s="95"/>
      <c r="BN89" s="111"/>
      <c r="BO89" s="88"/>
      <c r="BP89" s="88"/>
      <c r="BQ89" s="88"/>
      <c r="BR89" s="203"/>
      <c r="BS89" s="88"/>
      <c r="BT89" s="96"/>
      <c r="BU89" s="95"/>
      <c r="BV89" s="95"/>
      <c r="BW89" s="111"/>
      <c r="BX89" s="88"/>
      <c r="BY89" s="95"/>
      <c r="BZ89" s="95"/>
      <c r="CA89" s="95"/>
      <c r="CB89" s="95"/>
      <c r="CC89" s="95"/>
      <c r="CD89" s="94"/>
      <c r="CE89" s="95"/>
      <c r="CF89" s="95"/>
      <c r="CG89" s="95"/>
    </row>
    <row r="90" spans="1:85" ht="15" customHeight="1">
      <c r="A90" s="87"/>
      <c r="B90" s="87"/>
      <c r="C90" s="88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103"/>
      <c r="R90" s="89"/>
      <c r="S90" s="89"/>
      <c r="T90" s="89"/>
      <c r="U90" s="89"/>
      <c r="V90" s="89"/>
      <c r="W90" s="89"/>
      <c r="X90" s="109"/>
      <c r="Y90" s="89"/>
      <c r="Z90" s="89"/>
      <c r="AA90" s="88"/>
      <c r="AB90" s="91"/>
      <c r="AC90" s="91"/>
      <c r="AD90" s="112"/>
      <c r="AE90" s="112"/>
      <c r="AF90" s="112"/>
      <c r="AG90" s="112"/>
      <c r="AH90" s="112"/>
      <c r="AI90" s="112"/>
      <c r="AJ90" s="112"/>
      <c r="AK90" s="112"/>
      <c r="AL90" s="112"/>
      <c r="AM90" s="112"/>
      <c r="AN90" s="112"/>
      <c r="AO90" s="112"/>
      <c r="AP90" s="112"/>
      <c r="AQ90" s="112"/>
      <c r="AR90" s="112"/>
      <c r="AS90" s="112"/>
      <c r="AT90" s="112"/>
      <c r="AU90" s="112"/>
      <c r="AV90" s="112"/>
      <c r="AW90" s="112"/>
      <c r="AX90" s="112"/>
      <c r="AY90" s="112"/>
      <c r="AZ90" s="112"/>
      <c r="BA90" s="112"/>
      <c r="BB90" s="112"/>
      <c r="BC90" s="112"/>
      <c r="BD90" s="112"/>
      <c r="BE90" s="112"/>
      <c r="BF90" s="112"/>
      <c r="BG90" s="112"/>
      <c r="BH90" s="113"/>
      <c r="BI90" s="114"/>
      <c r="BJ90" s="244"/>
      <c r="BK90" s="115"/>
      <c r="BL90" s="116"/>
      <c r="BM90" s="117"/>
      <c r="BN90" s="118"/>
      <c r="BO90" s="119"/>
      <c r="BP90" s="119"/>
      <c r="BQ90" s="119"/>
      <c r="BR90" s="204"/>
      <c r="BS90" s="119"/>
      <c r="BT90" s="120"/>
      <c r="BU90" s="117"/>
      <c r="BV90" s="117"/>
      <c r="BW90" s="118"/>
      <c r="BX90" s="119"/>
      <c r="BY90" s="117"/>
      <c r="BZ90" s="117"/>
      <c r="CA90" s="117"/>
      <c r="CB90" s="117"/>
      <c r="CC90" s="117"/>
      <c r="CD90" s="121"/>
      <c r="CE90" s="117"/>
      <c r="CF90" s="117"/>
      <c r="CG90" s="117"/>
    </row>
    <row r="91" spans="1:85" ht="15" customHeight="1" thickBot="1">
      <c r="A91" s="87"/>
      <c r="B91" s="87"/>
      <c r="C91" s="88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103"/>
      <c r="R91" s="89"/>
      <c r="S91" s="89"/>
      <c r="T91" s="89"/>
      <c r="U91" s="89"/>
      <c r="V91" s="89"/>
      <c r="W91" s="89"/>
      <c r="X91" s="109" t="s">
        <v>385</v>
      </c>
      <c r="Y91" s="89"/>
      <c r="Z91" s="89"/>
      <c r="AA91" s="88"/>
      <c r="AB91" s="91"/>
      <c r="AC91" s="91"/>
      <c r="AD91" s="122">
        <f>SUM(AD87:AD89)</f>
        <v>291.46999999999997</v>
      </c>
      <c r="AE91" s="122"/>
      <c r="AF91" s="122"/>
      <c r="AG91" s="122"/>
      <c r="AH91" s="122">
        <f t="shared" ref="AH91:BG91" si="6">SUM(AH87:AH89)</f>
        <v>0</v>
      </c>
      <c r="AI91" s="122">
        <f t="shared" si="6"/>
        <v>25.410000000000004</v>
      </c>
      <c r="AJ91" s="122">
        <f t="shared" si="6"/>
        <v>75.770000000000024</v>
      </c>
      <c r="AK91" s="122">
        <f t="shared" si="6"/>
        <v>432.54</v>
      </c>
      <c r="AL91" s="122"/>
      <c r="AM91" s="122">
        <f t="shared" si="6"/>
        <v>0</v>
      </c>
      <c r="AN91" s="122">
        <f t="shared" si="6"/>
        <v>0</v>
      </c>
      <c r="AO91" s="122">
        <f t="shared" si="6"/>
        <v>0</v>
      </c>
      <c r="AP91" s="122">
        <f t="shared" si="6"/>
        <v>0</v>
      </c>
      <c r="AQ91" s="122">
        <f t="shared" si="6"/>
        <v>0</v>
      </c>
      <c r="AR91" s="122">
        <f t="shared" si="6"/>
        <v>0</v>
      </c>
      <c r="AS91" s="122">
        <f t="shared" si="6"/>
        <v>0</v>
      </c>
      <c r="AT91" s="122">
        <f t="shared" si="6"/>
        <v>0</v>
      </c>
      <c r="AU91" s="122"/>
      <c r="AV91" s="122"/>
      <c r="AW91" s="122">
        <f t="shared" si="6"/>
        <v>0</v>
      </c>
      <c r="AX91" s="122">
        <f t="shared" si="6"/>
        <v>0</v>
      </c>
      <c r="AY91" s="122">
        <f t="shared" si="6"/>
        <v>0</v>
      </c>
      <c r="AZ91" s="122">
        <f t="shared" si="6"/>
        <v>0</v>
      </c>
      <c r="BA91" s="122">
        <f t="shared" si="6"/>
        <v>0</v>
      </c>
      <c r="BB91" s="122">
        <f t="shared" si="6"/>
        <v>0</v>
      </c>
      <c r="BC91" s="122"/>
      <c r="BD91" s="122"/>
      <c r="BE91" s="122">
        <f t="shared" si="6"/>
        <v>0</v>
      </c>
      <c r="BF91" s="122">
        <f t="shared" si="6"/>
        <v>0</v>
      </c>
      <c r="BG91" s="122">
        <f t="shared" si="6"/>
        <v>0</v>
      </c>
      <c r="BH91" s="113"/>
      <c r="BI91" s="114"/>
      <c r="BJ91" s="244"/>
      <c r="BK91" s="115"/>
      <c r="BL91" s="116"/>
      <c r="BM91" s="117"/>
      <c r="BN91" s="118"/>
      <c r="BO91" s="119"/>
      <c r="BP91" s="119"/>
      <c r="BQ91" s="119"/>
      <c r="BR91" s="204"/>
      <c r="BS91" s="119"/>
      <c r="BT91" s="120"/>
      <c r="BU91" s="117"/>
      <c r="BV91" s="117"/>
      <c r="BW91" s="118"/>
      <c r="BX91" s="119"/>
      <c r="BY91" s="117"/>
      <c r="BZ91" s="117"/>
      <c r="CA91" s="117"/>
      <c r="CB91" s="117"/>
      <c r="CC91" s="117"/>
      <c r="CD91" s="121"/>
      <c r="CE91" s="117"/>
      <c r="CF91" s="117"/>
      <c r="CG91" s="117"/>
    </row>
    <row r="92" spans="1:85" ht="15" customHeight="1" thickTop="1" thickBot="1">
      <c r="A92" s="87"/>
      <c r="B92" s="87"/>
      <c r="C92" s="88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87"/>
      <c r="Q92" s="123"/>
      <c r="R92" s="124"/>
      <c r="S92" s="124"/>
      <c r="T92" s="124"/>
      <c r="U92" s="124"/>
      <c r="V92" s="124"/>
      <c r="W92" s="124"/>
      <c r="X92" s="125"/>
      <c r="Y92" s="124"/>
      <c r="Z92" s="124"/>
      <c r="AA92" s="126"/>
      <c r="AB92" s="127"/>
      <c r="AC92" s="127"/>
      <c r="AD92" s="127"/>
      <c r="AE92" s="127"/>
      <c r="AF92" s="127"/>
      <c r="AG92" s="127"/>
      <c r="AH92" s="127"/>
      <c r="AI92" s="127"/>
      <c r="AJ92" s="127"/>
      <c r="AK92" s="127"/>
      <c r="AL92" s="127"/>
      <c r="AM92" s="127"/>
      <c r="AN92" s="127"/>
      <c r="AO92" s="127"/>
      <c r="AP92" s="127"/>
      <c r="AQ92" s="127"/>
      <c r="AR92" s="127"/>
      <c r="AS92" s="127"/>
      <c r="AT92" s="127"/>
      <c r="AU92" s="127"/>
      <c r="AV92" s="127"/>
      <c r="AW92" s="127"/>
      <c r="AX92" s="127"/>
      <c r="AY92" s="127"/>
      <c r="AZ92" s="127"/>
      <c r="BA92" s="127"/>
      <c r="BB92" s="127"/>
      <c r="BC92" s="127"/>
      <c r="BD92" s="127"/>
      <c r="BE92" s="127"/>
      <c r="BF92" s="127"/>
      <c r="BG92" s="128"/>
      <c r="BH92" s="129"/>
      <c r="BI92" s="120"/>
      <c r="BJ92" s="244"/>
      <c r="BK92" s="121"/>
      <c r="BL92" s="116"/>
      <c r="BM92" s="117"/>
      <c r="BN92" s="119"/>
      <c r="BO92" s="119"/>
      <c r="BP92" s="119"/>
      <c r="BQ92" s="119"/>
      <c r="BR92" s="204"/>
      <c r="BS92" s="117"/>
      <c r="BT92" s="120"/>
      <c r="BU92" s="117"/>
      <c r="BV92" s="117"/>
      <c r="BW92" s="119"/>
      <c r="BX92" s="117"/>
      <c r="BY92" s="117"/>
      <c r="BZ92" s="117"/>
      <c r="CA92" s="117"/>
      <c r="CB92" s="117"/>
      <c r="CC92" s="117"/>
      <c r="CD92" s="121"/>
      <c r="CE92" s="117"/>
      <c r="CF92" s="117"/>
      <c r="CG92" s="117"/>
    </row>
    <row r="93" spans="1:85" ht="15" customHeight="1"/>
  </sheetData>
  <autoFilter ref="A11:CG82" xr:uid="{19414DA4-C1FB-44B1-8E81-98EE130350A4}"/>
  <mergeCells count="2">
    <mergeCell ref="A2:F2"/>
    <mergeCell ref="A9:BH10"/>
  </mergeCells>
  <printOptions horizontalCentered="1"/>
  <pageMargins left="0.5" right="0.5" top="0.5" bottom="0.5" header="0.3" footer="0.3"/>
  <pageSetup scale="61" fitToHeight="0" orientation="landscape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promptTitle="Carriers" prompt="Please select a carrier from the list" xr:uid="{9B7A94D7-3737-4231-A794-ACAA732CCDAC}">
          <x14:formula1>
            <xm:f>'Carrier Names'!$A$2:$A$104</xm:f>
          </x14:formula1>
          <xm:sqref>C4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7EB7E-7A1F-4E05-888E-8BF070F510D4}">
  <sheetPr>
    <tabColor rgb="FFFFCCFF"/>
    <pageSetUpPr fitToPage="1"/>
  </sheetPr>
  <dimension ref="A1:CG93"/>
  <sheetViews>
    <sheetView zoomScale="80" zoomScaleNormal="80" workbookViewId="0">
      <selection activeCell="G25" sqref="G25"/>
    </sheetView>
  </sheetViews>
  <sheetFormatPr defaultColWidth="8.85546875" defaultRowHeight="14.45"/>
  <cols>
    <col min="1" max="1" width="21.140625" style="42" customWidth="1"/>
    <col min="2" max="2" width="1.28515625" style="42" hidden="1" customWidth="1"/>
    <col min="3" max="3" width="14" style="130" customWidth="1"/>
    <col min="4" max="4" width="4" style="42" customWidth="1"/>
    <col min="5" max="5" width="1.28515625" style="42" hidden="1" customWidth="1"/>
    <col min="6" max="6" width="11.42578125" style="42" customWidth="1"/>
    <col min="7" max="7" width="16.28515625" style="42" bestFit="1" customWidth="1"/>
    <col min="8" max="9" width="1.28515625" style="42" hidden="1" customWidth="1"/>
    <col min="10" max="10" width="1.5703125" style="42" hidden="1" customWidth="1"/>
    <col min="11" max="14" width="1.28515625" style="42" hidden="1" customWidth="1"/>
    <col min="15" max="15" width="8.28515625" style="42" hidden="1" customWidth="1"/>
    <col min="16" max="16" width="24.5703125" style="42" hidden="1" customWidth="1"/>
    <col min="17" max="17" width="22.42578125" style="42" bestFit="1" customWidth="1"/>
    <col min="18" max="23" width="0.5703125" style="42" hidden="1" customWidth="1"/>
    <col min="24" max="24" width="14" style="131" customWidth="1"/>
    <col min="25" max="26" width="1.28515625" style="42" hidden="1" customWidth="1"/>
    <col min="27" max="27" width="2.85546875" style="42" customWidth="1"/>
    <col min="28" max="28" width="11.7109375" style="25" hidden="1" customWidth="1"/>
    <col min="29" max="29" width="1.28515625" style="25" hidden="1" customWidth="1"/>
    <col min="30" max="30" width="10.28515625" style="25" customWidth="1"/>
    <col min="31" max="35" width="1.42578125" style="25" hidden="1" customWidth="1"/>
    <col min="36" max="36" width="10.85546875" style="25" hidden="1" customWidth="1"/>
    <col min="37" max="37" width="14.28515625" style="25" hidden="1" customWidth="1"/>
    <col min="38" max="59" width="1.28515625" style="25" hidden="1" customWidth="1"/>
    <col min="60" max="60" width="10.28515625" style="42" customWidth="1"/>
    <col min="61" max="61" width="14.42578125" style="42" bestFit="1" customWidth="1"/>
    <col min="62" max="62" width="11" style="25" bestFit="1" customWidth="1"/>
    <col min="63" max="63" width="0.85546875" style="42" customWidth="1"/>
    <col min="64" max="64" width="0.85546875" style="25" customWidth="1"/>
    <col min="65" max="65" width="15" style="86" bestFit="1" customWidth="1"/>
    <col min="66" max="66" width="3.85546875" style="42" customWidth="1"/>
    <col min="67" max="67" width="1.7109375" style="42" customWidth="1"/>
    <col min="68" max="68" width="8.28515625" style="42" customWidth="1"/>
    <col min="69" max="69" width="14.28515625" style="42" bestFit="1" customWidth="1"/>
    <col min="70" max="70" width="2.28515625" style="42" customWidth="1"/>
    <col min="71" max="74" width="0.7109375" style="42" customWidth="1"/>
    <col min="75" max="80" width="0.5703125" style="42" customWidth="1"/>
    <col min="81" max="81" width="9.42578125" style="42" customWidth="1"/>
    <col min="82" max="82" width="14.5703125" style="42" bestFit="1" customWidth="1"/>
    <col min="83" max="83" width="8.85546875" style="42"/>
    <col min="84" max="84" width="13.28515625" style="42" customWidth="1"/>
    <col min="85" max="16384" width="8.85546875" style="42"/>
  </cols>
  <sheetData>
    <row r="1" spans="1:85" ht="4.5" customHeight="1">
      <c r="A1" s="1"/>
      <c r="B1" s="1"/>
      <c r="C1" s="10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6"/>
      <c r="R1" s="6"/>
      <c r="S1" s="6"/>
      <c r="T1" s="6"/>
      <c r="U1" s="6"/>
      <c r="V1" s="6"/>
      <c r="W1" s="6"/>
      <c r="X1" s="23"/>
      <c r="Y1" s="6"/>
      <c r="Z1" s="6"/>
      <c r="AA1" s="2"/>
      <c r="AB1" s="24"/>
      <c r="AC1" s="24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7"/>
      <c r="BI1" s="3"/>
      <c r="BK1" s="3"/>
      <c r="BL1" s="40"/>
      <c r="BM1" s="28"/>
      <c r="BN1" s="5"/>
      <c r="BO1" s="3"/>
      <c r="BP1" s="3"/>
      <c r="BQ1" s="3"/>
      <c r="BR1" s="200"/>
      <c r="BS1" s="3"/>
      <c r="BT1" s="5"/>
      <c r="BU1" s="8"/>
      <c r="BV1" s="5"/>
      <c r="BW1" s="5"/>
      <c r="BX1" s="3"/>
      <c r="BY1" s="5"/>
      <c r="BZ1" s="5"/>
      <c r="CA1" s="5"/>
      <c r="CB1" s="5"/>
      <c r="CC1" s="5"/>
      <c r="CD1" s="4"/>
      <c r="CE1" s="5"/>
      <c r="CF1" s="5"/>
      <c r="CG1" s="5"/>
    </row>
    <row r="2" spans="1:85" ht="25.9">
      <c r="A2" s="484" t="s">
        <v>25</v>
      </c>
      <c r="B2" s="484"/>
      <c r="C2" s="484"/>
      <c r="D2" s="484"/>
      <c r="E2" s="484"/>
      <c r="F2" s="484"/>
      <c r="G2" s="1"/>
      <c r="H2" s="1"/>
      <c r="I2" s="1"/>
      <c r="J2" s="1"/>
      <c r="K2" s="1"/>
      <c r="L2" s="1"/>
      <c r="M2" s="1"/>
      <c r="N2" s="1"/>
      <c r="O2" s="1"/>
      <c r="P2" s="1"/>
      <c r="Q2" s="6"/>
      <c r="R2" s="6"/>
      <c r="S2" s="6"/>
      <c r="T2" s="6"/>
      <c r="U2" s="6"/>
      <c r="V2" s="6"/>
      <c r="W2" s="6"/>
      <c r="X2" s="23"/>
      <c r="Y2" s="6"/>
      <c r="Z2" s="6"/>
      <c r="AA2" s="2"/>
      <c r="AB2" s="24"/>
      <c r="AC2" s="24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7"/>
      <c r="BI2" s="3"/>
      <c r="BK2" s="3"/>
      <c r="BL2" s="40"/>
      <c r="BM2" s="28"/>
      <c r="BN2" s="5"/>
      <c r="BO2" s="3"/>
      <c r="BP2" s="3"/>
      <c r="BQ2" s="3"/>
      <c r="BR2" s="200"/>
      <c r="BS2" s="3"/>
      <c r="BT2" s="5"/>
      <c r="BU2" s="8"/>
      <c r="BV2" s="5"/>
      <c r="BW2" s="5"/>
      <c r="BX2" s="3"/>
      <c r="BY2" s="5"/>
      <c r="BZ2" s="5"/>
      <c r="CA2" s="5"/>
      <c r="CB2" s="5"/>
      <c r="CC2" s="5"/>
      <c r="CD2" s="4"/>
      <c r="CE2" s="5"/>
      <c r="CF2" s="5"/>
      <c r="CG2" s="5"/>
    </row>
    <row r="3" spans="1:85" ht="4.5" customHeight="1">
      <c r="A3" s="43"/>
      <c r="B3" s="44"/>
      <c r="C3" s="45"/>
      <c r="D3" s="44"/>
      <c r="E3" s="44"/>
      <c r="F3" s="44"/>
      <c r="G3" s="1"/>
      <c r="H3" s="1"/>
      <c r="I3" s="1"/>
      <c r="J3" s="1"/>
      <c r="K3" s="1"/>
      <c r="L3" s="1"/>
      <c r="M3" s="1"/>
      <c r="N3" s="1"/>
      <c r="O3" s="1"/>
      <c r="P3" s="1"/>
      <c r="Q3" s="6"/>
      <c r="R3" s="6"/>
      <c r="S3" s="6"/>
      <c r="T3" s="6"/>
      <c r="U3" s="6"/>
      <c r="V3" s="6"/>
      <c r="W3" s="6"/>
      <c r="X3" s="23"/>
      <c r="Y3" s="6"/>
      <c r="Z3" s="6"/>
      <c r="AA3" s="2"/>
      <c r="AB3" s="24"/>
      <c r="AC3" s="24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7"/>
      <c r="BI3" s="3"/>
      <c r="BK3" s="3"/>
      <c r="BL3" s="40"/>
      <c r="BM3" s="28"/>
      <c r="BN3" s="5"/>
      <c r="BO3" s="3"/>
      <c r="BP3" s="3"/>
      <c r="BQ3" s="3"/>
      <c r="BR3" s="200"/>
      <c r="BS3" s="3"/>
      <c r="BT3" s="5"/>
      <c r="BU3" s="8"/>
      <c r="BV3" s="5"/>
      <c r="BW3" s="5"/>
      <c r="BX3" s="3"/>
      <c r="BY3" s="5"/>
      <c r="BZ3" s="5"/>
      <c r="CA3" s="5"/>
      <c r="CB3" s="5"/>
      <c r="CC3" s="5"/>
      <c r="CD3" s="4"/>
      <c r="CE3" s="5"/>
      <c r="CF3" s="5"/>
      <c r="CG3" s="5"/>
    </row>
    <row r="4" spans="1:85" ht="15.6">
      <c r="A4" s="43" t="s">
        <v>141</v>
      </c>
      <c r="B4" s="44"/>
      <c r="C4" s="46" t="s">
        <v>113</v>
      </c>
      <c r="D4" s="44"/>
      <c r="E4" s="44"/>
      <c r="F4" s="44"/>
      <c r="G4" s="1"/>
      <c r="H4" s="1"/>
      <c r="I4" s="1"/>
      <c r="J4" s="1"/>
      <c r="K4" s="1"/>
      <c r="L4" s="1"/>
      <c r="M4" s="1"/>
      <c r="N4" s="1"/>
      <c r="O4" s="1"/>
      <c r="P4" s="1"/>
      <c r="Q4" s="6"/>
      <c r="R4" s="6"/>
      <c r="S4" s="6"/>
      <c r="T4" s="6"/>
      <c r="U4" s="6"/>
      <c r="V4" s="6"/>
      <c r="W4" s="6"/>
      <c r="X4" s="23"/>
      <c r="Y4" s="6"/>
      <c r="Z4" s="6"/>
      <c r="AA4" s="2"/>
      <c r="AB4" s="24"/>
      <c r="AC4" s="24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7"/>
      <c r="BI4" s="3"/>
      <c r="BK4" s="3"/>
      <c r="BL4" s="40"/>
      <c r="BM4" s="28"/>
      <c r="BN4" s="5"/>
      <c r="BO4" s="3"/>
      <c r="BP4" s="3"/>
      <c r="BQ4" s="3"/>
      <c r="BR4" s="200"/>
      <c r="BS4" s="3"/>
      <c r="BT4" s="5"/>
      <c r="BU4" s="8"/>
      <c r="BV4" s="5"/>
      <c r="BW4" s="5"/>
      <c r="BX4" s="3"/>
      <c r="BY4" s="5"/>
      <c r="BZ4" s="5"/>
      <c r="CA4" s="5"/>
      <c r="CB4" s="5"/>
      <c r="CC4" s="5"/>
      <c r="CD4" s="4"/>
      <c r="CE4" s="5"/>
      <c r="CF4" s="5"/>
      <c r="CG4" s="5"/>
    </row>
    <row r="5" spans="1:85" ht="15.6">
      <c r="A5" s="47" t="s">
        <v>27</v>
      </c>
      <c r="B5" s="1"/>
      <c r="C5" s="46" t="s">
        <v>142</v>
      </c>
      <c r="D5" s="48"/>
      <c r="E5" s="48"/>
      <c r="F5" s="48"/>
      <c r="G5" s="1"/>
      <c r="H5" s="1"/>
      <c r="I5" s="1"/>
      <c r="J5" s="1"/>
      <c r="K5" s="1"/>
      <c r="L5" s="1"/>
      <c r="M5" s="1"/>
      <c r="N5" s="1"/>
      <c r="O5" s="1"/>
      <c r="P5" s="1"/>
      <c r="Q5" s="6"/>
      <c r="R5" s="6"/>
      <c r="S5" s="6"/>
      <c r="T5" s="6"/>
      <c r="U5" s="6"/>
      <c r="V5" s="6"/>
      <c r="W5" s="6"/>
      <c r="X5" s="23"/>
      <c r="Y5" s="6"/>
      <c r="Z5" s="6"/>
      <c r="AA5" s="2"/>
      <c r="AB5" s="24"/>
      <c r="AC5" s="24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7"/>
      <c r="BI5" s="3"/>
      <c r="BK5" s="3"/>
      <c r="BL5" s="40"/>
      <c r="BM5" s="28"/>
      <c r="BN5" s="5"/>
      <c r="BO5" s="3"/>
      <c r="BP5" s="3"/>
      <c r="BQ5" s="3"/>
      <c r="BR5" s="200"/>
      <c r="BS5" s="3"/>
      <c r="BT5" s="5"/>
      <c r="BU5" s="8"/>
      <c r="BV5" s="5"/>
      <c r="BW5" s="5"/>
      <c r="BX5" s="3"/>
      <c r="BY5" s="5"/>
      <c r="BZ5" s="5"/>
      <c r="CA5" s="5"/>
      <c r="CB5" s="5"/>
      <c r="CC5" s="5"/>
      <c r="CD5" s="4"/>
      <c r="CE5" s="5"/>
      <c r="CF5" s="5"/>
      <c r="CG5" s="5"/>
    </row>
    <row r="6" spans="1:85" ht="15.6">
      <c r="A6" s="43" t="s">
        <v>29</v>
      </c>
      <c r="B6" s="45"/>
      <c r="C6" s="46">
        <v>46022</v>
      </c>
      <c r="D6" s="1"/>
      <c r="E6" s="1"/>
      <c r="F6" s="1"/>
      <c r="G6" s="1"/>
      <c r="H6" s="1"/>
      <c r="I6" s="1"/>
      <c r="J6" s="44"/>
      <c r="K6" s="44"/>
      <c r="L6" s="44"/>
      <c r="M6" s="44"/>
      <c r="N6" s="44"/>
      <c r="O6" s="44"/>
      <c r="P6" s="44"/>
      <c r="Q6" s="49"/>
      <c r="R6" s="49"/>
      <c r="S6" s="49"/>
      <c r="T6" s="49"/>
      <c r="U6" s="49"/>
      <c r="V6" s="49"/>
      <c r="W6" s="49"/>
      <c r="X6" s="39"/>
      <c r="Y6" s="49"/>
      <c r="Z6" s="49"/>
      <c r="AA6" s="2"/>
      <c r="AB6" s="24"/>
      <c r="AC6" s="24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50" t="s">
        <v>143</v>
      </c>
      <c r="BI6" s="3"/>
      <c r="BK6" s="3"/>
      <c r="BL6" s="40"/>
      <c r="BM6" s="28"/>
      <c r="BN6" s="5"/>
      <c r="BO6" s="3"/>
      <c r="BP6" s="3"/>
      <c r="BQ6" s="3"/>
      <c r="BR6" s="200"/>
      <c r="BS6" s="3"/>
      <c r="BT6" s="5"/>
      <c r="BU6" s="8"/>
      <c r="BV6" s="5"/>
      <c r="BW6" s="5"/>
      <c r="BX6" s="3"/>
      <c r="BY6" s="5"/>
      <c r="BZ6" s="5"/>
      <c r="CA6" s="5"/>
      <c r="CB6" s="5"/>
      <c r="CC6" s="5"/>
      <c r="CD6" s="4"/>
      <c r="CE6" s="5"/>
      <c r="CF6" s="5"/>
      <c r="CG6" s="5"/>
    </row>
    <row r="7" spans="1:85" ht="15.6">
      <c r="A7" s="43"/>
      <c r="B7" s="45"/>
      <c r="C7" s="46"/>
      <c r="D7" s="1"/>
      <c r="E7" s="1"/>
      <c r="F7" s="1"/>
      <c r="G7" s="1"/>
      <c r="H7" s="1"/>
      <c r="I7" s="1"/>
      <c r="J7" s="51"/>
      <c r="K7" s="51"/>
      <c r="L7" s="51"/>
      <c r="M7" s="51"/>
      <c r="N7" s="51"/>
      <c r="O7" s="51"/>
      <c r="P7" s="51"/>
      <c r="Q7" s="52"/>
      <c r="R7" s="52"/>
      <c r="S7" s="52"/>
      <c r="T7" s="52"/>
      <c r="U7" s="52"/>
      <c r="V7" s="52"/>
      <c r="W7" s="52"/>
      <c r="X7" s="53"/>
      <c r="Y7" s="52"/>
      <c r="Z7" s="52"/>
      <c r="AA7" s="2"/>
      <c r="AB7" s="24"/>
      <c r="AC7" s="24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54" t="s">
        <v>144</v>
      </c>
      <c r="BI7" s="3"/>
      <c r="BK7" s="3"/>
      <c r="BL7" s="40"/>
      <c r="BM7" s="28"/>
      <c r="BN7" s="5"/>
      <c r="BO7" s="3"/>
      <c r="BP7" s="3"/>
      <c r="BQ7" s="3"/>
      <c r="BR7" s="200"/>
      <c r="BS7" s="3"/>
      <c r="BT7" s="5"/>
      <c r="BU7" s="8"/>
      <c r="BV7" s="5"/>
      <c r="BW7" s="5"/>
      <c r="BX7" s="3"/>
      <c r="BY7" s="5"/>
      <c r="BZ7" s="5"/>
      <c r="CA7" s="5"/>
      <c r="CB7" s="5"/>
      <c r="CC7" s="5"/>
      <c r="CD7" s="4"/>
      <c r="CE7" s="5"/>
      <c r="CF7" s="5"/>
      <c r="CG7" s="5"/>
    </row>
    <row r="8" spans="1:85" ht="9.75" customHeight="1" thickBot="1">
      <c r="A8" s="1"/>
      <c r="B8" s="1"/>
      <c r="C8" s="10"/>
      <c r="D8" s="1"/>
      <c r="E8" s="1"/>
      <c r="F8" s="1"/>
      <c r="G8" s="1"/>
      <c r="H8" s="1"/>
      <c r="I8" s="1"/>
      <c r="J8" s="51"/>
      <c r="K8" s="51"/>
      <c r="L8" s="51"/>
      <c r="M8" s="51"/>
      <c r="N8" s="51"/>
      <c r="O8" s="51"/>
      <c r="P8" s="51"/>
      <c r="Q8" s="52"/>
      <c r="R8" s="52"/>
      <c r="S8" s="52"/>
      <c r="T8" s="52"/>
      <c r="U8" s="52"/>
      <c r="V8" s="52"/>
      <c r="W8" s="52"/>
      <c r="X8" s="53"/>
      <c r="Y8" s="52"/>
      <c r="Z8" s="52"/>
      <c r="AA8" s="2"/>
      <c r="AB8" s="24"/>
      <c r="AC8" s="24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7"/>
      <c r="BI8" s="3"/>
      <c r="BK8" s="3"/>
      <c r="BL8" s="40"/>
      <c r="BM8" s="28"/>
      <c r="BN8" s="5"/>
      <c r="BO8" s="3"/>
      <c r="BP8" s="3"/>
      <c r="BQ8" s="3"/>
      <c r="BR8" s="200"/>
      <c r="BS8" s="3"/>
      <c r="BT8" s="5"/>
      <c r="BU8" s="8"/>
      <c r="BV8" s="5"/>
      <c r="BW8" s="5"/>
      <c r="BX8" s="3"/>
      <c r="BY8" s="5"/>
      <c r="BZ8" s="5"/>
      <c r="CA8" s="5"/>
      <c r="CB8" s="5"/>
      <c r="CC8" s="5"/>
      <c r="CD8" s="4"/>
      <c r="CE8" s="5"/>
      <c r="CF8" s="5"/>
      <c r="CG8" s="5"/>
    </row>
    <row r="9" spans="1:85" ht="15" customHeight="1">
      <c r="A9" s="485" t="str">
        <f>UPPER(C4)</f>
        <v>CIGNA LOYAL AMERICAN</v>
      </c>
      <c r="B9" s="486"/>
      <c r="C9" s="487"/>
      <c r="D9" s="486"/>
      <c r="E9" s="486"/>
      <c r="F9" s="486"/>
      <c r="G9" s="488"/>
      <c r="H9" s="486"/>
      <c r="I9" s="486"/>
      <c r="J9" s="486"/>
      <c r="K9" s="486"/>
      <c r="L9" s="486"/>
      <c r="M9" s="486"/>
      <c r="N9" s="486"/>
      <c r="O9" s="486"/>
      <c r="P9" s="485"/>
      <c r="Q9" s="486"/>
      <c r="R9" s="486"/>
      <c r="S9" s="486"/>
      <c r="T9" s="486"/>
      <c r="U9" s="486"/>
      <c r="V9" s="486"/>
      <c r="W9" s="486"/>
      <c r="X9" s="486"/>
      <c r="Y9" s="486"/>
      <c r="Z9" s="486"/>
      <c r="AA9" s="486"/>
      <c r="AB9" s="486"/>
      <c r="AC9" s="486"/>
      <c r="AD9" s="486"/>
      <c r="AE9" s="486"/>
      <c r="AF9" s="486"/>
      <c r="AG9" s="486"/>
      <c r="AH9" s="486"/>
      <c r="AI9" s="486"/>
      <c r="AJ9" s="486"/>
      <c r="AK9" s="486"/>
      <c r="AL9" s="486"/>
      <c r="AM9" s="486"/>
      <c r="AN9" s="486"/>
      <c r="AO9" s="486"/>
      <c r="AP9" s="486"/>
      <c r="AQ9" s="486"/>
      <c r="AR9" s="486"/>
      <c r="AS9" s="486"/>
      <c r="AT9" s="486"/>
      <c r="AU9" s="486"/>
      <c r="AV9" s="486"/>
      <c r="AW9" s="486"/>
      <c r="AX9" s="486"/>
      <c r="AY9" s="486"/>
      <c r="AZ9" s="486"/>
      <c r="BA9" s="486"/>
      <c r="BB9" s="486"/>
      <c r="BC9" s="486"/>
      <c r="BD9" s="486"/>
      <c r="BE9" s="486"/>
      <c r="BF9" s="486"/>
      <c r="BG9" s="486"/>
      <c r="BH9" s="487"/>
      <c r="BI9" s="55"/>
      <c r="BJ9" s="242"/>
      <c r="BK9" s="55"/>
      <c r="BL9" s="56"/>
      <c r="BM9" s="29"/>
      <c r="BN9" s="43"/>
      <c r="BO9" s="58"/>
      <c r="BP9" s="55"/>
      <c r="BQ9" s="55"/>
      <c r="BR9" s="201"/>
      <c r="BS9" s="55"/>
      <c r="BT9" s="59"/>
      <c r="BU9" s="60"/>
      <c r="BV9" s="59"/>
      <c r="BW9" s="59"/>
      <c r="BX9" s="55"/>
      <c r="BY9" s="59"/>
      <c r="BZ9" s="59"/>
      <c r="CA9" s="59"/>
      <c r="CB9" s="59"/>
      <c r="CC9" s="59"/>
      <c r="CD9" s="61"/>
      <c r="CE9" s="59"/>
      <c r="CF9" s="59"/>
      <c r="CG9" s="59"/>
    </row>
    <row r="10" spans="1:85" ht="15" customHeight="1" thickBot="1">
      <c r="A10" s="489"/>
      <c r="B10" s="490"/>
      <c r="C10" s="491"/>
      <c r="D10" s="490"/>
      <c r="E10" s="490"/>
      <c r="F10" s="490"/>
      <c r="G10" s="492"/>
      <c r="H10" s="490"/>
      <c r="I10" s="490"/>
      <c r="J10" s="490"/>
      <c r="K10" s="490"/>
      <c r="L10" s="490"/>
      <c r="M10" s="490"/>
      <c r="N10" s="490"/>
      <c r="O10" s="490"/>
      <c r="P10" s="489"/>
      <c r="Q10" s="490"/>
      <c r="R10" s="490"/>
      <c r="S10" s="490"/>
      <c r="T10" s="490"/>
      <c r="U10" s="490"/>
      <c r="V10" s="490"/>
      <c r="W10" s="490"/>
      <c r="X10" s="490"/>
      <c r="Y10" s="490"/>
      <c r="Z10" s="490"/>
      <c r="AA10" s="490"/>
      <c r="AB10" s="490"/>
      <c r="AC10" s="490"/>
      <c r="AD10" s="490"/>
      <c r="AE10" s="490"/>
      <c r="AF10" s="490"/>
      <c r="AG10" s="490"/>
      <c r="AH10" s="490"/>
      <c r="AI10" s="490"/>
      <c r="AJ10" s="490"/>
      <c r="AK10" s="490"/>
      <c r="AL10" s="490"/>
      <c r="AM10" s="490"/>
      <c r="AN10" s="490"/>
      <c r="AO10" s="490"/>
      <c r="AP10" s="490"/>
      <c r="AQ10" s="490"/>
      <c r="AR10" s="490"/>
      <c r="AS10" s="490"/>
      <c r="AT10" s="490"/>
      <c r="AU10" s="490"/>
      <c r="AV10" s="490"/>
      <c r="AW10" s="490"/>
      <c r="AX10" s="490"/>
      <c r="AY10" s="490"/>
      <c r="AZ10" s="490"/>
      <c r="BA10" s="490"/>
      <c r="BB10" s="490"/>
      <c r="BC10" s="490"/>
      <c r="BD10" s="490"/>
      <c r="BE10" s="490"/>
      <c r="BF10" s="490"/>
      <c r="BG10" s="490"/>
      <c r="BH10" s="491"/>
      <c r="BI10" s="55"/>
      <c r="BJ10" s="242"/>
      <c r="BK10" s="55"/>
      <c r="BL10" s="56"/>
      <c r="BM10" s="29"/>
      <c r="BN10" s="43"/>
      <c r="BO10" s="58"/>
      <c r="BP10" s="55"/>
      <c r="BQ10" s="55"/>
      <c r="BR10" s="201"/>
      <c r="BS10" s="55"/>
      <c r="BT10" s="59"/>
      <c r="BU10" s="60"/>
      <c r="BV10" s="59"/>
      <c r="BW10" s="59"/>
      <c r="BX10" s="55"/>
      <c r="BY10" s="59"/>
      <c r="BZ10" s="59"/>
      <c r="CA10" s="59"/>
      <c r="CB10" s="59"/>
      <c r="CC10" s="59"/>
      <c r="CD10" s="61"/>
      <c r="CE10" s="59"/>
      <c r="CF10" s="59"/>
      <c r="CG10" s="59"/>
    </row>
    <row r="11" spans="1:85" s="86" customFormat="1" ht="30" customHeight="1">
      <c r="A11" s="62" t="s">
        <v>43</v>
      </c>
      <c r="B11" s="63" t="s">
        <v>44</v>
      </c>
      <c r="C11" s="64" t="s">
        <v>45</v>
      </c>
      <c r="D11" s="65" t="s">
        <v>46</v>
      </c>
      <c r="E11" s="63" t="s">
        <v>47</v>
      </c>
      <c r="F11" s="65" t="s">
        <v>48</v>
      </c>
      <c r="G11" s="65" t="s">
        <v>49</v>
      </c>
      <c r="H11" s="65" t="s">
        <v>50</v>
      </c>
      <c r="I11" s="65" t="s">
        <v>51</v>
      </c>
      <c r="J11" s="66" t="s">
        <v>52</v>
      </c>
      <c r="K11" s="66" t="s">
        <v>53</v>
      </c>
      <c r="L11" s="66" t="s">
        <v>54</v>
      </c>
      <c r="M11" s="66" t="s">
        <v>55</v>
      </c>
      <c r="N11" s="66" t="s">
        <v>56</v>
      </c>
      <c r="O11" s="66" t="s">
        <v>57</v>
      </c>
      <c r="P11" s="67" t="s">
        <v>58</v>
      </c>
      <c r="Q11" s="65" t="s">
        <v>59</v>
      </c>
      <c r="R11" s="66" t="s">
        <v>60</v>
      </c>
      <c r="S11" s="66" t="s">
        <v>61</v>
      </c>
      <c r="T11" s="66" t="s">
        <v>62</v>
      </c>
      <c r="U11" s="66" t="s">
        <v>63</v>
      </c>
      <c r="V11" s="66" t="s">
        <v>64</v>
      </c>
      <c r="W11" s="66" t="s">
        <v>65</v>
      </c>
      <c r="X11" s="68" t="s">
        <v>66</v>
      </c>
      <c r="Y11" s="69" t="s">
        <v>67</v>
      </c>
      <c r="Z11" s="70" t="s">
        <v>68</v>
      </c>
      <c r="AA11" s="65"/>
      <c r="AB11" s="71" t="s">
        <v>70</v>
      </c>
      <c r="AC11" s="71"/>
      <c r="AD11" s="72" t="s">
        <v>52</v>
      </c>
      <c r="AE11" s="71" t="s">
        <v>71</v>
      </c>
      <c r="AF11" s="71" t="s">
        <v>72</v>
      </c>
      <c r="AG11" s="71" t="s">
        <v>73</v>
      </c>
      <c r="AH11" s="71" t="s">
        <v>74</v>
      </c>
      <c r="AI11" s="71" t="s">
        <v>75</v>
      </c>
      <c r="AJ11" s="71" t="s">
        <v>76</v>
      </c>
      <c r="AK11" s="72" t="s">
        <v>77</v>
      </c>
      <c r="AL11" s="73" t="s">
        <v>145</v>
      </c>
      <c r="AM11" s="72" t="s">
        <v>79</v>
      </c>
      <c r="AN11" s="72" t="s">
        <v>79</v>
      </c>
      <c r="AO11" s="72" t="s">
        <v>80</v>
      </c>
      <c r="AP11" s="72" t="s">
        <v>80</v>
      </c>
      <c r="AQ11" s="72" t="s">
        <v>81</v>
      </c>
      <c r="AR11" s="72" t="s">
        <v>81</v>
      </c>
      <c r="AS11" s="72" t="s">
        <v>82</v>
      </c>
      <c r="AT11" s="72" t="s">
        <v>82</v>
      </c>
      <c r="AU11" s="72" t="s">
        <v>83</v>
      </c>
      <c r="AV11" s="72" t="s">
        <v>83</v>
      </c>
      <c r="AW11" s="72" t="s">
        <v>84</v>
      </c>
      <c r="AX11" s="72" t="s">
        <v>84</v>
      </c>
      <c r="AY11" s="72" t="s">
        <v>85</v>
      </c>
      <c r="AZ11" s="72" t="s">
        <v>85</v>
      </c>
      <c r="BA11" s="72" t="s">
        <v>146</v>
      </c>
      <c r="BB11" s="72" t="s">
        <v>146</v>
      </c>
      <c r="BC11" s="72" t="s">
        <v>147</v>
      </c>
      <c r="BD11" s="72" t="s">
        <v>147</v>
      </c>
      <c r="BE11" s="72" t="s">
        <v>148</v>
      </c>
      <c r="BF11" s="72" t="s">
        <v>148</v>
      </c>
      <c r="BG11" s="72" t="s">
        <v>88</v>
      </c>
      <c r="BH11" s="74" t="s">
        <v>89</v>
      </c>
      <c r="BI11" s="75" t="s">
        <v>90</v>
      </c>
      <c r="BJ11" s="76" t="s">
        <v>91</v>
      </c>
      <c r="BK11" s="77" t="s">
        <v>92</v>
      </c>
      <c r="BL11" s="76" t="s">
        <v>93</v>
      </c>
      <c r="BM11" s="77" t="s">
        <v>94</v>
      </c>
      <c r="BN11" s="78" t="s">
        <v>95</v>
      </c>
      <c r="BO11" s="77" t="s">
        <v>96</v>
      </c>
      <c r="BP11" s="79" t="s">
        <v>97</v>
      </c>
      <c r="BQ11" s="77" t="s">
        <v>98</v>
      </c>
      <c r="BR11" s="202" t="s">
        <v>99</v>
      </c>
      <c r="BS11" s="77" t="s">
        <v>100</v>
      </c>
      <c r="BT11" s="77" t="s">
        <v>8</v>
      </c>
      <c r="BU11" s="80" t="s">
        <v>101</v>
      </c>
      <c r="BV11" s="81" t="s">
        <v>102</v>
      </c>
      <c r="BW11" s="82" t="s">
        <v>103</v>
      </c>
      <c r="BX11" s="77" t="s">
        <v>104</v>
      </c>
      <c r="BY11" s="77" t="s">
        <v>105</v>
      </c>
      <c r="BZ11" s="82" t="s">
        <v>106</v>
      </c>
      <c r="CA11" s="82"/>
      <c r="CB11" s="82"/>
      <c r="CC11" s="80" t="s">
        <v>107</v>
      </c>
      <c r="CD11" s="83" t="s">
        <v>149</v>
      </c>
      <c r="CE11" s="84" t="s">
        <v>150</v>
      </c>
      <c r="CF11" s="225" t="s">
        <v>151</v>
      </c>
      <c r="CG11" s="85"/>
    </row>
    <row r="12" spans="1:85" s="417" customFormat="1" ht="15" customHeight="1">
      <c r="A12" s="393" t="s">
        <v>152</v>
      </c>
      <c r="B12" s="394" t="s">
        <v>111</v>
      </c>
      <c r="C12" s="395">
        <v>45292</v>
      </c>
      <c r="D12" s="396" t="s">
        <v>112</v>
      </c>
      <c r="E12" s="397" t="s">
        <v>113</v>
      </c>
      <c r="F12" s="397" t="s">
        <v>114</v>
      </c>
      <c r="G12" s="397" t="s">
        <v>153</v>
      </c>
      <c r="H12" s="397" t="s">
        <v>116</v>
      </c>
      <c r="I12" s="397" t="s">
        <v>116</v>
      </c>
      <c r="J12" s="397" t="s">
        <v>116</v>
      </c>
      <c r="K12" s="397" t="b">
        <v>0</v>
      </c>
      <c r="L12" s="397" t="s">
        <v>116</v>
      </c>
      <c r="M12" s="397" t="s">
        <v>116</v>
      </c>
      <c r="N12" s="397" t="s">
        <v>116</v>
      </c>
      <c r="O12" s="397" t="s">
        <v>118</v>
      </c>
      <c r="P12" s="397" t="s">
        <v>154</v>
      </c>
      <c r="Q12" s="397" t="s">
        <v>154</v>
      </c>
      <c r="R12" s="397" t="s">
        <v>116</v>
      </c>
      <c r="S12" s="397" t="s">
        <v>116</v>
      </c>
      <c r="T12" s="397" t="s">
        <v>116</v>
      </c>
      <c r="U12" s="397" t="s">
        <v>116</v>
      </c>
      <c r="V12" s="397" t="s">
        <v>116</v>
      </c>
      <c r="W12" s="397" t="s">
        <v>116</v>
      </c>
      <c r="X12" s="398" t="s">
        <v>155</v>
      </c>
      <c r="Y12" s="399">
        <v>139.81</v>
      </c>
      <c r="Z12" s="398" t="s">
        <v>116</v>
      </c>
      <c r="AA12" s="400">
        <v>1</v>
      </c>
      <c r="AB12" s="401">
        <v>0</v>
      </c>
      <c r="AC12" s="402"/>
      <c r="AD12" s="401">
        <v>2.79</v>
      </c>
      <c r="AE12" s="401">
        <v>0</v>
      </c>
      <c r="AF12" s="401">
        <v>0</v>
      </c>
      <c r="AG12" s="401">
        <v>0</v>
      </c>
      <c r="AH12" s="401">
        <v>0</v>
      </c>
      <c r="AI12" s="401">
        <v>0</v>
      </c>
      <c r="AJ12" s="401">
        <v>0</v>
      </c>
      <c r="AK12" s="401">
        <v>0</v>
      </c>
      <c r="AL12" s="401">
        <v>0</v>
      </c>
      <c r="AM12" s="401">
        <v>0</v>
      </c>
      <c r="AN12" s="401">
        <v>0</v>
      </c>
      <c r="AO12" s="401">
        <v>0</v>
      </c>
      <c r="AP12" s="401">
        <v>0</v>
      </c>
      <c r="AQ12" s="401">
        <v>0</v>
      </c>
      <c r="AR12" s="401">
        <v>0</v>
      </c>
      <c r="AS12" s="401">
        <v>0</v>
      </c>
      <c r="AT12" s="401">
        <v>0</v>
      </c>
      <c r="AU12" s="401">
        <v>0</v>
      </c>
      <c r="AV12" s="401">
        <v>0</v>
      </c>
      <c r="AW12" s="401">
        <v>0</v>
      </c>
      <c r="AX12" s="401">
        <v>0</v>
      </c>
      <c r="AY12" s="401">
        <v>0</v>
      </c>
      <c r="AZ12" s="401">
        <v>0</v>
      </c>
      <c r="BA12" s="401">
        <v>0</v>
      </c>
      <c r="BB12" s="401">
        <v>0</v>
      </c>
      <c r="BC12" s="401">
        <v>0</v>
      </c>
      <c r="BD12" s="401">
        <v>0</v>
      </c>
      <c r="BE12" s="401">
        <v>0</v>
      </c>
      <c r="BF12" s="401">
        <v>0</v>
      </c>
      <c r="BG12" s="402"/>
      <c r="BH12" s="403" t="s">
        <v>156</v>
      </c>
      <c r="BI12" s="404">
        <v>46004</v>
      </c>
      <c r="BJ12" s="405">
        <v>10.57</v>
      </c>
      <c r="BK12" s="406"/>
      <c r="BL12" s="406"/>
      <c r="BM12" s="409" t="s">
        <v>118</v>
      </c>
      <c r="BN12" s="408" t="s">
        <v>386</v>
      </c>
      <c r="BO12" s="409"/>
      <c r="BP12" s="409"/>
      <c r="BQ12" s="409">
        <v>46022</v>
      </c>
      <c r="BR12" s="410"/>
      <c r="BS12" s="409"/>
      <c r="BT12" s="409"/>
      <c r="BU12" s="411"/>
      <c r="BV12" s="412"/>
      <c r="BW12" s="413"/>
      <c r="BX12" s="409"/>
      <c r="BY12" s="409"/>
      <c r="BZ12" s="413"/>
      <c r="CA12" s="413"/>
      <c r="CB12" s="413"/>
      <c r="CC12" s="411"/>
      <c r="CD12" s="414"/>
      <c r="CE12" s="415"/>
      <c r="CF12" s="416" t="s">
        <v>157</v>
      </c>
      <c r="CG12" s="416"/>
    </row>
    <row r="13" spans="1:85" s="417" customFormat="1" ht="15" customHeight="1">
      <c r="A13" s="418" t="s">
        <v>158</v>
      </c>
      <c r="B13" s="397" t="s">
        <v>111</v>
      </c>
      <c r="C13" s="419">
        <v>45170.291666666664</v>
      </c>
      <c r="D13" s="420" t="s">
        <v>112</v>
      </c>
      <c r="E13" s="397" t="s">
        <v>113</v>
      </c>
      <c r="F13" s="420" t="s">
        <v>114</v>
      </c>
      <c r="G13" s="420" t="s">
        <v>115</v>
      </c>
      <c r="H13" s="420" t="s">
        <v>116</v>
      </c>
      <c r="I13" s="420" t="s">
        <v>116</v>
      </c>
      <c r="J13" s="421" t="s">
        <v>116</v>
      </c>
      <c r="K13" s="421" t="b">
        <v>0</v>
      </c>
      <c r="L13" s="421" t="s">
        <v>116</v>
      </c>
      <c r="M13" s="421" t="s">
        <v>116</v>
      </c>
      <c r="N13" s="421" t="s">
        <v>116</v>
      </c>
      <c r="O13" s="421" t="s">
        <v>118</v>
      </c>
      <c r="P13" s="420" t="s">
        <v>159</v>
      </c>
      <c r="Q13" s="420" t="s">
        <v>160</v>
      </c>
      <c r="R13" s="421" t="s">
        <v>116</v>
      </c>
      <c r="S13" s="421" t="s">
        <v>116</v>
      </c>
      <c r="T13" s="421" t="s">
        <v>116</v>
      </c>
      <c r="U13" s="421" t="s">
        <v>116</v>
      </c>
      <c r="V13" s="421" t="s">
        <v>116</v>
      </c>
      <c r="W13" s="421" t="s">
        <v>116</v>
      </c>
      <c r="X13" s="420" t="s">
        <v>161</v>
      </c>
      <c r="Y13" s="399">
        <v>270.17</v>
      </c>
      <c r="Z13" s="420" t="s">
        <v>123</v>
      </c>
      <c r="AA13" s="400">
        <v>1</v>
      </c>
      <c r="AB13" s="401">
        <v>0</v>
      </c>
      <c r="AC13" s="402"/>
      <c r="AD13" s="401">
        <v>6.22</v>
      </c>
      <c r="AE13" s="401">
        <v>0</v>
      </c>
      <c r="AF13" s="401">
        <v>0</v>
      </c>
      <c r="AG13" s="401">
        <v>0</v>
      </c>
      <c r="AH13" s="401">
        <v>0</v>
      </c>
      <c r="AI13" s="401">
        <v>0</v>
      </c>
      <c r="AJ13" s="401">
        <v>0</v>
      </c>
      <c r="AK13" s="401">
        <v>0</v>
      </c>
      <c r="AL13" s="401">
        <v>0</v>
      </c>
      <c r="AM13" s="401">
        <v>0</v>
      </c>
      <c r="AN13" s="401">
        <v>0</v>
      </c>
      <c r="AO13" s="401">
        <v>0</v>
      </c>
      <c r="AP13" s="401">
        <v>0</v>
      </c>
      <c r="AQ13" s="401">
        <v>0</v>
      </c>
      <c r="AR13" s="401">
        <v>0</v>
      </c>
      <c r="AS13" s="401">
        <v>0</v>
      </c>
      <c r="AT13" s="401">
        <v>0</v>
      </c>
      <c r="AU13" s="401">
        <v>0</v>
      </c>
      <c r="AV13" s="401">
        <v>0</v>
      </c>
      <c r="AW13" s="401">
        <v>0</v>
      </c>
      <c r="AX13" s="401">
        <v>0</v>
      </c>
      <c r="AY13" s="401">
        <v>0</v>
      </c>
      <c r="AZ13" s="401">
        <v>0</v>
      </c>
      <c r="BA13" s="401">
        <v>0</v>
      </c>
      <c r="BB13" s="401">
        <v>0</v>
      </c>
      <c r="BC13" s="401">
        <v>0</v>
      </c>
      <c r="BD13" s="401">
        <v>0</v>
      </c>
      <c r="BE13" s="401">
        <v>0</v>
      </c>
      <c r="BF13" s="401">
        <v>0</v>
      </c>
      <c r="BG13" s="402"/>
      <c r="BH13" s="403" t="s">
        <v>162</v>
      </c>
      <c r="BI13" s="404">
        <v>46004</v>
      </c>
      <c r="BJ13" s="405">
        <v>43.48</v>
      </c>
      <c r="BK13" s="406"/>
      <c r="BL13" s="406"/>
      <c r="BM13" s="409" t="s">
        <v>118</v>
      </c>
      <c r="BN13" s="408" t="s">
        <v>386</v>
      </c>
      <c r="BO13" s="409"/>
      <c r="BP13" s="409"/>
      <c r="BQ13" s="409">
        <v>46022</v>
      </c>
      <c r="BR13" s="410"/>
      <c r="BS13" s="409"/>
      <c r="BT13" s="409"/>
      <c r="BU13" s="411"/>
      <c r="BV13" s="412"/>
      <c r="BW13" s="413"/>
      <c r="BX13" s="409"/>
      <c r="BY13" s="409"/>
      <c r="BZ13" s="413"/>
      <c r="CA13" s="413"/>
      <c r="CB13" s="413"/>
      <c r="CC13" s="411"/>
      <c r="CD13" s="414"/>
      <c r="CE13" s="415"/>
      <c r="CF13" s="416" t="s">
        <v>157</v>
      </c>
      <c r="CG13" s="416"/>
    </row>
    <row r="14" spans="1:85" s="417" customFormat="1" ht="15" customHeight="1">
      <c r="A14" s="418" t="s">
        <v>163</v>
      </c>
      <c r="B14" s="397" t="s">
        <v>111</v>
      </c>
      <c r="C14" s="419">
        <v>45809</v>
      </c>
      <c r="D14" s="420" t="s">
        <v>112</v>
      </c>
      <c r="E14" s="397" t="s">
        <v>113</v>
      </c>
      <c r="F14" s="420" t="s">
        <v>114</v>
      </c>
      <c r="G14" s="420" t="s">
        <v>153</v>
      </c>
      <c r="H14" s="420" t="s">
        <v>116</v>
      </c>
      <c r="I14" s="420" t="s">
        <v>116</v>
      </c>
      <c r="J14" s="421" t="s">
        <v>116</v>
      </c>
      <c r="K14" s="421" t="b">
        <v>0</v>
      </c>
      <c r="L14" s="421" t="s">
        <v>116</v>
      </c>
      <c r="M14" s="421" t="s">
        <v>116</v>
      </c>
      <c r="N14" s="421" t="s">
        <v>116</v>
      </c>
      <c r="O14" s="421" t="s">
        <v>118</v>
      </c>
      <c r="P14" s="420" t="s">
        <v>159</v>
      </c>
      <c r="Q14" s="420" t="s">
        <v>160</v>
      </c>
      <c r="R14" s="421" t="s">
        <v>116</v>
      </c>
      <c r="S14" s="421" t="s">
        <v>116</v>
      </c>
      <c r="T14" s="421" t="s">
        <v>116</v>
      </c>
      <c r="U14" s="421" t="s">
        <v>116</v>
      </c>
      <c r="V14" s="421" t="s">
        <v>116</v>
      </c>
      <c r="W14" s="421" t="s">
        <v>116</v>
      </c>
      <c r="X14" s="420" t="s">
        <v>164</v>
      </c>
      <c r="Y14" s="399">
        <v>192.38</v>
      </c>
      <c r="Z14" s="420" t="s">
        <v>116</v>
      </c>
      <c r="AA14" s="400">
        <v>1</v>
      </c>
      <c r="AB14" s="401">
        <v>0</v>
      </c>
      <c r="AC14" s="422"/>
      <c r="AD14" s="401">
        <v>3.85</v>
      </c>
      <c r="AE14" s="401">
        <v>0</v>
      </c>
      <c r="AF14" s="401">
        <v>0</v>
      </c>
      <c r="AG14" s="401">
        <v>0</v>
      </c>
      <c r="AH14" s="401">
        <v>0</v>
      </c>
      <c r="AI14" s="401">
        <v>0</v>
      </c>
      <c r="AJ14" s="401">
        <v>0</v>
      </c>
      <c r="AK14" s="401">
        <v>0</v>
      </c>
      <c r="AL14" s="401">
        <v>0</v>
      </c>
      <c r="AM14" s="401">
        <v>0</v>
      </c>
      <c r="AN14" s="401">
        <v>0</v>
      </c>
      <c r="AO14" s="401">
        <v>0</v>
      </c>
      <c r="AP14" s="401">
        <v>0</v>
      </c>
      <c r="AQ14" s="401">
        <v>0</v>
      </c>
      <c r="AR14" s="401">
        <v>0</v>
      </c>
      <c r="AS14" s="401">
        <v>0</v>
      </c>
      <c r="AT14" s="401">
        <v>0</v>
      </c>
      <c r="AU14" s="401">
        <v>0</v>
      </c>
      <c r="AV14" s="401">
        <v>0</v>
      </c>
      <c r="AW14" s="401">
        <v>0</v>
      </c>
      <c r="AX14" s="401">
        <v>0</v>
      </c>
      <c r="AY14" s="401">
        <v>0</v>
      </c>
      <c r="AZ14" s="401">
        <v>0</v>
      </c>
      <c r="BA14" s="401">
        <v>0</v>
      </c>
      <c r="BB14" s="401">
        <v>0</v>
      </c>
      <c r="BC14" s="401">
        <v>0</v>
      </c>
      <c r="BD14" s="401">
        <v>0</v>
      </c>
      <c r="BE14" s="401">
        <v>0</v>
      </c>
      <c r="BF14" s="401">
        <v>0</v>
      </c>
      <c r="BG14" s="423"/>
      <c r="BH14" s="424" t="s">
        <v>165</v>
      </c>
      <c r="BI14" s="404">
        <v>46011</v>
      </c>
      <c r="BJ14" s="405">
        <v>33.81</v>
      </c>
      <c r="BK14" s="406"/>
      <c r="BL14" s="406"/>
      <c r="BM14" s="409" t="s">
        <v>118</v>
      </c>
      <c r="BN14" s="408" t="s">
        <v>386</v>
      </c>
      <c r="BO14" s="409"/>
      <c r="BP14" s="409"/>
      <c r="BQ14" s="409">
        <v>46022</v>
      </c>
      <c r="BR14" s="410"/>
      <c r="BS14" s="409"/>
      <c r="BT14" s="409"/>
      <c r="BU14" s="411"/>
      <c r="BV14" s="412"/>
      <c r="BW14" s="413"/>
      <c r="BX14" s="409"/>
      <c r="BY14" s="409"/>
      <c r="BZ14" s="413"/>
      <c r="CA14" s="413"/>
      <c r="CB14" s="413"/>
      <c r="CC14" s="411"/>
      <c r="CD14" s="414"/>
      <c r="CE14" s="415"/>
      <c r="CF14" s="416" t="s">
        <v>166</v>
      </c>
      <c r="CG14" s="416"/>
    </row>
    <row r="15" spans="1:85" s="417" customFormat="1" ht="15" customHeight="1">
      <c r="A15" s="393" t="s">
        <v>167</v>
      </c>
      <c r="B15" s="394" t="s">
        <v>111</v>
      </c>
      <c r="C15" s="395">
        <v>45778</v>
      </c>
      <c r="D15" s="396" t="s">
        <v>168</v>
      </c>
      <c r="E15" s="397" t="s">
        <v>113</v>
      </c>
      <c r="F15" s="397" t="s">
        <v>114</v>
      </c>
      <c r="G15" s="397" t="s">
        <v>130</v>
      </c>
      <c r="H15" s="397" t="s">
        <v>116</v>
      </c>
      <c r="I15" s="397" t="s">
        <v>116</v>
      </c>
      <c r="J15" s="397" t="s">
        <v>116</v>
      </c>
      <c r="K15" s="397" t="b">
        <v>0</v>
      </c>
      <c r="L15" s="397" t="s">
        <v>116</v>
      </c>
      <c r="M15" s="397" t="s">
        <v>116</v>
      </c>
      <c r="N15" s="397" t="s">
        <v>116</v>
      </c>
      <c r="O15" s="397" t="s">
        <v>118</v>
      </c>
      <c r="P15" s="397" t="s">
        <v>159</v>
      </c>
      <c r="Q15" s="397" t="s">
        <v>160</v>
      </c>
      <c r="R15" s="397" t="s">
        <v>116</v>
      </c>
      <c r="S15" s="397" t="s">
        <v>116</v>
      </c>
      <c r="T15" s="397" t="s">
        <v>116</v>
      </c>
      <c r="U15" s="397" t="s">
        <v>116</v>
      </c>
      <c r="V15" s="397" t="s">
        <v>116</v>
      </c>
      <c r="W15" s="397" t="s">
        <v>116</v>
      </c>
      <c r="X15" s="398" t="s">
        <v>169</v>
      </c>
      <c r="Y15" s="399" t="s">
        <v>116</v>
      </c>
      <c r="Z15" s="398" t="s">
        <v>116</v>
      </c>
      <c r="AA15" s="400">
        <v>1</v>
      </c>
      <c r="AB15" s="401">
        <v>0</v>
      </c>
      <c r="AC15" s="422"/>
      <c r="AD15" s="401">
        <v>2.61</v>
      </c>
      <c r="AE15" s="401">
        <v>0</v>
      </c>
      <c r="AF15" s="401">
        <v>0</v>
      </c>
      <c r="AG15" s="401">
        <v>0</v>
      </c>
      <c r="AH15" s="401">
        <v>0</v>
      </c>
      <c r="AI15" s="401">
        <v>0</v>
      </c>
      <c r="AJ15" s="401">
        <v>0</v>
      </c>
      <c r="AK15" s="401">
        <v>0</v>
      </c>
      <c r="AL15" s="401">
        <v>0</v>
      </c>
      <c r="AM15" s="401">
        <v>0</v>
      </c>
      <c r="AN15" s="401">
        <v>0</v>
      </c>
      <c r="AO15" s="401">
        <v>0</v>
      </c>
      <c r="AP15" s="401">
        <v>0</v>
      </c>
      <c r="AQ15" s="401">
        <v>0</v>
      </c>
      <c r="AR15" s="401">
        <v>0</v>
      </c>
      <c r="AS15" s="401">
        <v>0</v>
      </c>
      <c r="AT15" s="401">
        <v>0</v>
      </c>
      <c r="AU15" s="401">
        <v>0</v>
      </c>
      <c r="AV15" s="401">
        <v>0</v>
      </c>
      <c r="AW15" s="401">
        <v>0</v>
      </c>
      <c r="AX15" s="401">
        <v>0</v>
      </c>
      <c r="AY15" s="401">
        <v>0</v>
      </c>
      <c r="AZ15" s="401">
        <v>0</v>
      </c>
      <c r="BA15" s="401">
        <v>0</v>
      </c>
      <c r="BB15" s="401">
        <v>0</v>
      </c>
      <c r="BC15" s="401">
        <v>0</v>
      </c>
      <c r="BD15" s="401">
        <v>0</v>
      </c>
      <c r="BE15" s="401">
        <v>0</v>
      </c>
      <c r="BF15" s="401">
        <v>0</v>
      </c>
      <c r="BG15" s="423"/>
      <c r="BH15" s="424" t="s">
        <v>170</v>
      </c>
      <c r="BI15" s="404">
        <v>45998</v>
      </c>
      <c r="BJ15" s="405">
        <v>233.1</v>
      </c>
      <c r="BK15" s="425"/>
      <c r="BL15" s="406"/>
      <c r="BM15" s="409" t="s">
        <v>118</v>
      </c>
      <c r="BN15" s="408" t="s">
        <v>386</v>
      </c>
      <c r="BO15" s="409"/>
      <c r="BP15" s="409"/>
      <c r="BQ15" s="409">
        <v>46022</v>
      </c>
      <c r="BR15" s="410"/>
      <c r="BS15" s="409"/>
      <c r="BT15" s="409"/>
      <c r="BU15" s="411"/>
      <c r="BV15" s="412"/>
      <c r="BW15" s="413"/>
      <c r="BX15" s="409"/>
      <c r="BY15" s="409"/>
      <c r="BZ15" s="413"/>
      <c r="CA15" s="413"/>
      <c r="CB15" s="413"/>
      <c r="CC15" s="411"/>
      <c r="CD15" s="414"/>
      <c r="CE15" s="415"/>
      <c r="CF15" s="416" t="s">
        <v>166</v>
      </c>
      <c r="CG15" s="416"/>
    </row>
    <row r="16" spans="1:85" s="417" customFormat="1" ht="15" customHeight="1">
      <c r="A16" s="393" t="s">
        <v>171</v>
      </c>
      <c r="B16" s="394" t="s">
        <v>111</v>
      </c>
      <c r="C16" s="395">
        <v>45839</v>
      </c>
      <c r="D16" s="396" t="s">
        <v>172</v>
      </c>
      <c r="E16" s="397" t="s">
        <v>113</v>
      </c>
      <c r="F16" s="397" t="s">
        <v>114</v>
      </c>
      <c r="G16" s="397" t="s">
        <v>130</v>
      </c>
      <c r="H16" s="397" t="s">
        <v>116</v>
      </c>
      <c r="I16" s="397" t="s">
        <v>116</v>
      </c>
      <c r="J16" s="397" t="s">
        <v>116</v>
      </c>
      <c r="K16" s="397" t="b">
        <v>0</v>
      </c>
      <c r="L16" s="397" t="s">
        <v>116</v>
      </c>
      <c r="M16" s="397" t="s">
        <v>116</v>
      </c>
      <c r="N16" s="397" t="s">
        <v>116</v>
      </c>
      <c r="O16" s="397" t="s">
        <v>118</v>
      </c>
      <c r="P16" s="397" t="s">
        <v>159</v>
      </c>
      <c r="Q16" s="397" t="s">
        <v>160</v>
      </c>
      <c r="R16" s="397" t="s">
        <v>116</v>
      </c>
      <c r="S16" s="397" t="s">
        <v>116</v>
      </c>
      <c r="T16" s="397" t="s">
        <v>116</v>
      </c>
      <c r="U16" s="397" t="s">
        <v>116</v>
      </c>
      <c r="V16" s="397" t="s">
        <v>116</v>
      </c>
      <c r="W16" s="397" t="s">
        <v>116</v>
      </c>
      <c r="X16" s="398" t="s">
        <v>173</v>
      </c>
      <c r="Y16" s="399">
        <v>119.64</v>
      </c>
      <c r="Z16" s="398" t="s">
        <v>123</v>
      </c>
      <c r="AA16" s="400">
        <v>1</v>
      </c>
      <c r="AB16" s="401">
        <v>0</v>
      </c>
      <c r="AC16" s="422"/>
      <c r="AD16" s="401">
        <v>4.78</v>
      </c>
      <c r="AE16" s="401">
        <v>0</v>
      </c>
      <c r="AF16" s="401">
        <v>0</v>
      </c>
      <c r="AG16" s="401">
        <v>0</v>
      </c>
      <c r="AH16" s="401">
        <v>0</v>
      </c>
      <c r="AI16" s="401">
        <v>0</v>
      </c>
      <c r="AJ16" s="401">
        <v>0</v>
      </c>
      <c r="AK16" s="401">
        <v>0</v>
      </c>
      <c r="AL16" s="401">
        <v>0</v>
      </c>
      <c r="AM16" s="401">
        <v>0</v>
      </c>
      <c r="AN16" s="401">
        <v>0</v>
      </c>
      <c r="AO16" s="401">
        <v>0</v>
      </c>
      <c r="AP16" s="401">
        <v>0</v>
      </c>
      <c r="AQ16" s="401">
        <v>0</v>
      </c>
      <c r="AR16" s="401">
        <v>0</v>
      </c>
      <c r="AS16" s="401">
        <v>0</v>
      </c>
      <c r="AT16" s="401">
        <v>0</v>
      </c>
      <c r="AU16" s="401">
        <v>0</v>
      </c>
      <c r="AV16" s="401">
        <v>0</v>
      </c>
      <c r="AW16" s="401">
        <v>0</v>
      </c>
      <c r="AX16" s="401">
        <v>0</v>
      </c>
      <c r="AY16" s="401">
        <v>0</v>
      </c>
      <c r="AZ16" s="401">
        <v>0</v>
      </c>
      <c r="BA16" s="401">
        <v>0</v>
      </c>
      <c r="BB16" s="401">
        <v>0</v>
      </c>
      <c r="BC16" s="401">
        <v>0</v>
      </c>
      <c r="BD16" s="401">
        <v>0</v>
      </c>
      <c r="BE16" s="401">
        <v>0</v>
      </c>
      <c r="BF16" s="401">
        <v>0</v>
      </c>
      <c r="BG16" s="423"/>
      <c r="BH16" s="424" t="s">
        <v>174</v>
      </c>
      <c r="BI16" s="404">
        <v>46004</v>
      </c>
      <c r="BJ16" s="405">
        <v>16.600000000000001</v>
      </c>
      <c r="BK16" s="406"/>
      <c r="BL16" s="406"/>
      <c r="BM16" s="409" t="s">
        <v>118</v>
      </c>
      <c r="BN16" s="408" t="s">
        <v>386</v>
      </c>
      <c r="BO16" s="409"/>
      <c r="BP16" s="409"/>
      <c r="BQ16" s="409">
        <v>46022</v>
      </c>
      <c r="BR16" s="410"/>
      <c r="BS16" s="409"/>
      <c r="BT16" s="409"/>
      <c r="BU16" s="411"/>
      <c r="BV16" s="412"/>
      <c r="BW16" s="413"/>
      <c r="BX16" s="409"/>
      <c r="BY16" s="409"/>
      <c r="BZ16" s="413"/>
      <c r="CA16" s="413"/>
      <c r="CB16" s="413"/>
      <c r="CC16" s="411"/>
      <c r="CD16" s="414"/>
      <c r="CE16" s="415"/>
      <c r="CF16" s="416" t="s">
        <v>166</v>
      </c>
      <c r="CG16" s="416"/>
    </row>
    <row r="17" spans="1:85" s="417" customFormat="1" ht="15" customHeight="1">
      <c r="A17" s="418" t="s">
        <v>175</v>
      </c>
      <c r="B17" s="397" t="s">
        <v>111</v>
      </c>
      <c r="C17" s="419">
        <v>46023</v>
      </c>
      <c r="D17" s="420" t="s">
        <v>112</v>
      </c>
      <c r="E17" s="397" t="s">
        <v>113</v>
      </c>
      <c r="F17" s="420" t="s">
        <v>114</v>
      </c>
      <c r="G17" s="420" t="s">
        <v>115</v>
      </c>
      <c r="H17" s="420" t="s">
        <v>116</v>
      </c>
      <c r="I17" s="420" t="s">
        <v>116</v>
      </c>
      <c r="J17" s="421" t="s">
        <v>116</v>
      </c>
      <c r="K17" s="421" t="b">
        <v>0</v>
      </c>
      <c r="L17" s="421" t="s">
        <v>116</v>
      </c>
      <c r="M17" s="421" t="s">
        <v>116</v>
      </c>
      <c r="N17" s="421" t="s">
        <v>116</v>
      </c>
      <c r="O17" s="397" t="s">
        <v>118</v>
      </c>
      <c r="P17" s="397" t="s">
        <v>159</v>
      </c>
      <c r="Q17" s="420" t="s">
        <v>160</v>
      </c>
      <c r="R17" s="421" t="s">
        <v>116</v>
      </c>
      <c r="S17" s="421" t="s">
        <v>116</v>
      </c>
      <c r="T17" s="421" t="s">
        <v>116</v>
      </c>
      <c r="U17" s="421" t="s">
        <v>116</v>
      </c>
      <c r="V17" s="421" t="s">
        <v>116</v>
      </c>
      <c r="W17" s="421" t="s">
        <v>116</v>
      </c>
      <c r="X17" s="420" t="s">
        <v>176</v>
      </c>
      <c r="Y17" s="399">
        <v>300.23</v>
      </c>
      <c r="Z17" s="420" t="s">
        <v>123</v>
      </c>
      <c r="AA17" s="400">
        <v>1</v>
      </c>
      <c r="AB17" s="401">
        <v>0</v>
      </c>
      <c r="AC17" s="422"/>
      <c r="AD17" s="401">
        <v>5.53</v>
      </c>
      <c r="AE17" s="401">
        <v>0</v>
      </c>
      <c r="AF17" s="401">
        <v>0</v>
      </c>
      <c r="AG17" s="401">
        <v>0</v>
      </c>
      <c r="AH17" s="401">
        <v>0</v>
      </c>
      <c r="AI17" s="401">
        <v>0</v>
      </c>
      <c r="AJ17" s="401">
        <v>0</v>
      </c>
      <c r="AK17" s="401">
        <v>0</v>
      </c>
      <c r="AL17" s="401">
        <v>0</v>
      </c>
      <c r="AM17" s="401">
        <v>0</v>
      </c>
      <c r="AN17" s="401">
        <v>0</v>
      </c>
      <c r="AO17" s="401">
        <v>0</v>
      </c>
      <c r="AP17" s="401">
        <v>0</v>
      </c>
      <c r="AQ17" s="401">
        <v>0</v>
      </c>
      <c r="AR17" s="401">
        <v>0</v>
      </c>
      <c r="AS17" s="401">
        <v>0</v>
      </c>
      <c r="AT17" s="401">
        <v>0</v>
      </c>
      <c r="AU17" s="401">
        <v>0</v>
      </c>
      <c r="AV17" s="401">
        <v>0</v>
      </c>
      <c r="AW17" s="401">
        <v>0</v>
      </c>
      <c r="AX17" s="401">
        <v>0</v>
      </c>
      <c r="AY17" s="401">
        <v>0</v>
      </c>
      <c r="AZ17" s="401">
        <v>0</v>
      </c>
      <c r="BA17" s="401">
        <v>0</v>
      </c>
      <c r="BB17" s="401">
        <v>0</v>
      </c>
      <c r="BC17" s="401">
        <v>0</v>
      </c>
      <c r="BD17" s="401">
        <v>0</v>
      </c>
      <c r="BE17" s="401">
        <v>0</v>
      </c>
      <c r="BF17" s="401">
        <v>0</v>
      </c>
      <c r="BG17" s="423"/>
      <c r="BH17" s="424" t="s">
        <v>177</v>
      </c>
      <c r="BI17" s="404">
        <v>46011</v>
      </c>
      <c r="BJ17" s="405">
        <v>33.81</v>
      </c>
      <c r="BK17" s="406"/>
      <c r="BL17" s="406"/>
      <c r="BM17" s="409" t="s">
        <v>118</v>
      </c>
      <c r="BN17" s="408" t="s">
        <v>386</v>
      </c>
      <c r="BO17" s="409"/>
      <c r="BP17" s="409"/>
      <c r="BQ17" s="409">
        <v>46022</v>
      </c>
      <c r="BR17" s="410"/>
      <c r="BS17" s="409"/>
      <c r="BT17" s="409"/>
      <c r="BU17" s="411"/>
      <c r="BV17" s="412"/>
      <c r="BW17" s="413"/>
      <c r="BX17" s="409"/>
      <c r="BY17" s="409"/>
      <c r="BZ17" s="413"/>
      <c r="CA17" s="413"/>
      <c r="CB17" s="413"/>
      <c r="CC17" s="411"/>
      <c r="CD17" s="414"/>
      <c r="CE17" s="415"/>
      <c r="CF17" s="416" t="s">
        <v>166</v>
      </c>
      <c r="CG17" s="416"/>
    </row>
    <row r="18" spans="1:85" s="417" customFormat="1" ht="15" customHeight="1">
      <c r="A18" s="393" t="s">
        <v>178</v>
      </c>
      <c r="B18" s="394" t="s">
        <v>111</v>
      </c>
      <c r="C18" s="395">
        <v>46023</v>
      </c>
      <c r="D18" s="396" t="s">
        <v>179</v>
      </c>
      <c r="E18" s="397" t="s">
        <v>113</v>
      </c>
      <c r="F18" s="397" t="s">
        <v>114</v>
      </c>
      <c r="G18" s="397" t="s">
        <v>130</v>
      </c>
      <c r="H18" s="397" t="s">
        <v>116</v>
      </c>
      <c r="I18" s="397" t="s">
        <v>116</v>
      </c>
      <c r="J18" s="397" t="s">
        <v>116</v>
      </c>
      <c r="K18" s="397" t="b">
        <v>0</v>
      </c>
      <c r="L18" s="397" t="s">
        <v>116</v>
      </c>
      <c r="M18" s="397" t="s">
        <v>116</v>
      </c>
      <c r="N18" s="397" t="s">
        <v>116</v>
      </c>
      <c r="O18" s="397" t="s">
        <v>118</v>
      </c>
      <c r="P18" s="397" t="s">
        <v>180</v>
      </c>
      <c r="Q18" s="397" t="s">
        <v>181</v>
      </c>
      <c r="R18" s="397" t="s">
        <v>116</v>
      </c>
      <c r="S18" s="397" t="s">
        <v>116</v>
      </c>
      <c r="T18" s="397" t="s">
        <v>116</v>
      </c>
      <c r="U18" s="397" t="s">
        <v>116</v>
      </c>
      <c r="V18" s="397" t="s">
        <v>116</v>
      </c>
      <c r="W18" s="397" t="s">
        <v>116</v>
      </c>
      <c r="X18" s="398" t="s">
        <v>182</v>
      </c>
      <c r="Y18" s="399">
        <v>149.69</v>
      </c>
      <c r="Z18" s="398" t="s">
        <v>123</v>
      </c>
      <c r="AA18" s="400">
        <v>1</v>
      </c>
      <c r="AB18" s="401">
        <v>0</v>
      </c>
      <c r="AC18" s="422"/>
      <c r="AD18" s="401">
        <v>2.99</v>
      </c>
      <c r="AE18" s="401">
        <v>0</v>
      </c>
      <c r="AF18" s="401">
        <v>0</v>
      </c>
      <c r="AG18" s="401">
        <v>0</v>
      </c>
      <c r="AH18" s="401">
        <v>0</v>
      </c>
      <c r="AI18" s="401">
        <v>0</v>
      </c>
      <c r="AJ18" s="401">
        <v>0</v>
      </c>
      <c r="AK18" s="401">
        <v>0</v>
      </c>
      <c r="AL18" s="401">
        <v>0</v>
      </c>
      <c r="AM18" s="401">
        <v>0</v>
      </c>
      <c r="AN18" s="401">
        <v>0</v>
      </c>
      <c r="AO18" s="401">
        <v>0</v>
      </c>
      <c r="AP18" s="401">
        <v>0</v>
      </c>
      <c r="AQ18" s="401">
        <v>0</v>
      </c>
      <c r="AR18" s="401">
        <v>0</v>
      </c>
      <c r="AS18" s="401">
        <v>0</v>
      </c>
      <c r="AT18" s="401">
        <v>0</v>
      </c>
      <c r="AU18" s="401">
        <v>0</v>
      </c>
      <c r="AV18" s="401">
        <v>0</v>
      </c>
      <c r="AW18" s="401">
        <v>0</v>
      </c>
      <c r="AX18" s="401">
        <v>0</v>
      </c>
      <c r="AY18" s="401">
        <v>0</v>
      </c>
      <c r="AZ18" s="401">
        <v>0</v>
      </c>
      <c r="BA18" s="401">
        <v>0</v>
      </c>
      <c r="BB18" s="401">
        <v>0</v>
      </c>
      <c r="BC18" s="401">
        <v>0</v>
      </c>
      <c r="BD18" s="401">
        <v>0</v>
      </c>
      <c r="BE18" s="401">
        <v>0</v>
      </c>
      <c r="BF18" s="401">
        <v>0</v>
      </c>
      <c r="BG18" s="423"/>
      <c r="BH18" s="424" t="s">
        <v>177</v>
      </c>
      <c r="BI18" s="404">
        <v>46011</v>
      </c>
      <c r="BJ18" s="405">
        <v>504.9</v>
      </c>
      <c r="BK18" s="425"/>
      <c r="BL18" s="406"/>
      <c r="BM18" s="409" t="s">
        <v>118</v>
      </c>
      <c r="BN18" s="408" t="s">
        <v>386</v>
      </c>
      <c r="BO18" s="409"/>
      <c r="BP18" s="409"/>
      <c r="BQ18" s="409">
        <v>46022</v>
      </c>
      <c r="BR18" s="410"/>
      <c r="BS18" s="409"/>
      <c r="BT18" s="409"/>
      <c r="BU18" s="411"/>
      <c r="BV18" s="412"/>
      <c r="BW18" s="413"/>
      <c r="BX18" s="409"/>
      <c r="BY18" s="409"/>
      <c r="BZ18" s="413"/>
      <c r="CA18" s="413"/>
      <c r="CB18" s="413"/>
      <c r="CC18" s="411"/>
      <c r="CD18" s="414"/>
      <c r="CE18" s="415"/>
      <c r="CF18" s="416" t="s">
        <v>166</v>
      </c>
      <c r="CG18" s="416"/>
    </row>
    <row r="19" spans="1:85" s="417" customFormat="1" ht="15" customHeight="1">
      <c r="A19" s="393" t="s">
        <v>183</v>
      </c>
      <c r="B19" s="394" t="s">
        <v>111</v>
      </c>
      <c r="C19" s="395">
        <v>45809</v>
      </c>
      <c r="D19" s="396" t="s">
        <v>179</v>
      </c>
      <c r="E19" s="397" t="s">
        <v>113</v>
      </c>
      <c r="F19" s="397" t="s">
        <v>114</v>
      </c>
      <c r="G19" s="397" t="s">
        <v>153</v>
      </c>
      <c r="H19" s="397" t="s">
        <v>116</v>
      </c>
      <c r="I19" s="397" t="s">
        <v>116</v>
      </c>
      <c r="J19" s="397" t="s">
        <v>116</v>
      </c>
      <c r="K19" s="397" t="b">
        <v>0</v>
      </c>
      <c r="L19" s="397" t="s">
        <v>116</v>
      </c>
      <c r="M19" s="397" t="s">
        <v>116</v>
      </c>
      <c r="N19" s="397" t="s">
        <v>116</v>
      </c>
      <c r="O19" s="397" t="s">
        <v>118</v>
      </c>
      <c r="P19" s="397" t="s">
        <v>180</v>
      </c>
      <c r="Q19" s="397" t="s">
        <v>181</v>
      </c>
      <c r="R19" s="397" t="s">
        <v>116</v>
      </c>
      <c r="S19" s="397" t="s">
        <v>116</v>
      </c>
      <c r="T19" s="397" t="s">
        <v>116</v>
      </c>
      <c r="U19" s="397" t="s">
        <v>116</v>
      </c>
      <c r="V19" s="397" t="s">
        <v>116</v>
      </c>
      <c r="W19" s="397" t="s">
        <v>116</v>
      </c>
      <c r="X19" s="398" t="s">
        <v>184</v>
      </c>
      <c r="Y19" s="399">
        <v>99.7</v>
      </c>
      <c r="Z19" s="398" t="s">
        <v>123</v>
      </c>
      <c r="AA19" s="400">
        <v>1</v>
      </c>
      <c r="AB19" s="401">
        <v>0</v>
      </c>
      <c r="AC19" s="422"/>
      <c r="AD19" s="401">
        <v>1.99</v>
      </c>
      <c r="AE19" s="401">
        <v>0</v>
      </c>
      <c r="AF19" s="401">
        <v>0</v>
      </c>
      <c r="AG19" s="401">
        <v>0</v>
      </c>
      <c r="AH19" s="401">
        <v>0</v>
      </c>
      <c r="AI19" s="401">
        <v>0</v>
      </c>
      <c r="AJ19" s="401">
        <v>0</v>
      </c>
      <c r="AK19" s="401">
        <v>0</v>
      </c>
      <c r="AL19" s="401">
        <v>0</v>
      </c>
      <c r="AM19" s="401">
        <v>0</v>
      </c>
      <c r="AN19" s="401">
        <v>0</v>
      </c>
      <c r="AO19" s="401">
        <v>0</v>
      </c>
      <c r="AP19" s="401">
        <v>0</v>
      </c>
      <c r="AQ19" s="401">
        <v>0</v>
      </c>
      <c r="AR19" s="401">
        <v>0</v>
      </c>
      <c r="AS19" s="401">
        <v>0</v>
      </c>
      <c r="AT19" s="401">
        <v>0</v>
      </c>
      <c r="AU19" s="401">
        <v>0</v>
      </c>
      <c r="AV19" s="401">
        <v>0</v>
      </c>
      <c r="AW19" s="401">
        <v>0</v>
      </c>
      <c r="AX19" s="401">
        <v>0</v>
      </c>
      <c r="AY19" s="401">
        <v>0</v>
      </c>
      <c r="AZ19" s="401">
        <v>0</v>
      </c>
      <c r="BA19" s="401">
        <v>0</v>
      </c>
      <c r="BB19" s="401">
        <v>0</v>
      </c>
      <c r="BC19" s="401">
        <v>0</v>
      </c>
      <c r="BD19" s="401">
        <v>0</v>
      </c>
      <c r="BE19" s="401">
        <v>0</v>
      </c>
      <c r="BF19" s="401">
        <v>0</v>
      </c>
      <c r="BG19" s="423"/>
      <c r="BH19" s="424" t="s">
        <v>165</v>
      </c>
      <c r="BI19" s="404">
        <v>46011</v>
      </c>
      <c r="BJ19" s="405">
        <v>504.9</v>
      </c>
      <c r="BK19" s="425"/>
      <c r="BL19" s="406"/>
      <c r="BM19" s="409" t="s">
        <v>118</v>
      </c>
      <c r="BN19" s="408" t="s">
        <v>386</v>
      </c>
      <c r="BO19" s="409"/>
      <c r="BP19" s="409"/>
      <c r="BQ19" s="409">
        <v>46022</v>
      </c>
      <c r="BR19" s="410"/>
      <c r="BS19" s="409"/>
      <c r="BT19" s="409"/>
      <c r="BU19" s="411"/>
      <c r="BV19" s="412"/>
      <c r="BW19" s="413"/>
      <c r="BX19" s="409"/>
      <c r="BY19" s="409"/>
      <c r="BZ19" s="413"/>
      <c r="CA19" s="413"/>
      <c r="CB19" s="413"/>
      <c r="CC19" s="411"/>
      <c r="CD19" s="414"/>
      <c r="CE19" s="415"/>
      <c r="CF19" s="416" t="s">
        <v>166</v>
      </c>
      <c r="CG19" s="416"/>
    </row>
    <row r="20" spans="1:85" s="417" customFormat="1" ht="15" customHeight="1">
      <c r="A20" s="393" t="s">
        <v>185</v>
      </c>
      <c r="B20" s="394" t="s">
        <v>111</v>
      </c>
      <c r="C20" s="395">
        <v>46023</v>
      </c>
      <c r="D20" s="396" t="s">
        <v>179</v>
      </c>
      <c r="E20" s="397" t="s">
        <v>113</v>
      </c>
      <c r="F20" s="397" t="s">
        <v>114</v>
      </c>
      <c r="G20" s="397" t="s">
        <v>130</v>
      </c>
      <c r="H20" s="397" t="s">
        <v>116</v>
      </c>
      <c r="I20" s="397" t="s">
        <v>116</v>
      </c>
      <c r="J20" s="397" t="s">
        <v>116</v>
      </c>
      <c r="K20" s="397" t="b">
        <v>0</v>
      </c>
      <c r="L20" s="397" t="s">
        <v>116</v>
      </c>
      <c r="M20" s="397" t="s">
        <v>116</v>
      </c>
      <c r="N20" s="397" t="s">
        <v>116</v>
      </c>
      <c r="O20" s="397" t="s">
        <v>118</v>
      </c>
      <c r="P20" s="397" t="s">
        <v>180</v>
      </c>
      <c r="Q20" s="397" t="s">
        <v>181</v>
      </c>
      <c r="R20" s="397" t="s">
        <v>116</v>
      </c>
      <c r="S20" s="397" t="s">
        <v>116</v>
      </c>
      <c r="T20" s="397" t="s">
        <v>116</v>
      </c>
      <c r="U20" s="397" t="s">
        <v>116</v>
      </c>
      <c r="V20" s="397" t="s">
        <v>116</v>
      </c>
      <c r="W20" s="397" t="s">
        <v>116</v>
      </c>
      <c r="X20" s="398" t="s">
        <v>186</v>
      </c>
      <c r="Y20" s="399">
        <v>201.49</v>
      </c>
      <c r="Z20" s="398" t="s">
        <v>123</v>
      </c>
      <c r="AA20" s="400">
        <v>1</v>
      </c>
      <c r="AB20" s="401">
        <v>0</v>
      </c>
      <c r="AC20" s="422"/>
      <c r="AD20" s="401">
        <v>4.03</v>
      </c>
      <c r="AE20" s="401">
        <v>0</v>
      </c>
      <c r="AF20" s="401">
        <v>0</v>
      </c>
      <c r="AG20" s="401">
        <v>0</v>
      </c>
      <c r="AH20" s="401">
        <v>0</v>
      </c>
      <c r="AI20" s="401">
        <v>0</v>
      </c>
      <c r="AJ20" s="401">
        <v>0</v>
      </c>
      <c r="AK20" s="401">
        <v>0</v>
      </c>
      <c r="AL20" s="401">
        <v>0</v>
      </c>
      <c r="AM20" s="401">
        <v>0</v>
      </c>
      <c r="AN20" s="401">
        <v>0</v>
      </c>
      <c r="AO20" s="401">
        <v>0</v>
      </c>
      <c r="AP20" s="401">
        <v>0</v>
      </c>
      <c r="AQ20" s="401">
        <v>0</v>
      </c>
      <c r="AR20" s="401">
        <v>0</v>
      </c>
      <c r="AS20" s="401">
        <v>0</v>
      </c>
      <c r="AT20" s="401">
        <v>0</v>
      </c>
      <c r="AU20" s="401">
        <v>0</v>
      </c>
      <c r="AV20" s="401">
        <v>0</v>
      </c>
      <c r="AW20" s="401">
        <v>0</v>
      </c>
      <c r="AX20" s="401">
        <v>0</v>
      </c>
      <c r="AY20" s="401">
        <v>0</v>
      </c>
      <c r="AZ20" s="401">
        <v>0</v>
      </c>
      <c r="BA20" s="401">
        <v>0</v>
      </c>
      <c r="BB20" s="401">
        <v>0</v>
      </c>
      <c r="BC20" s="401">
        <v>0</v>
      </c>
      <c r="BD20" s="401">
        <v>0</v>
      </c>
      <c r="BE20" s="401">
        <v>0</v>
      </c>
      <c r="BF20" s="401">
        <v>0</v>
      </c>
      <c r="BG20" s="423"/>
      <c r="BH20" s="424" t="s">
        <v>177</v>
      </c>
      <c r="BI20" s="404">
        <v>46011</v>
      </c>
      <c r="BJ20" s="405">
        <v>504.9</v>
      </c>
      <c r="BK20" s="425"/>
      <c r="BL20" s="406"/>
      <c r="BM20" s="409" t="s">
        <v>118</v>
      </c>
      <c r="BN20" s="408" t="s">
        <v>386</v>
      </c>
      <c r="BO20" s="409"/>
      <c r="BP20" s="409"/>
      <c r="BQ20" s="409">
        <v>46022</v>
      </c>
      <c r="BR20" s="410"/>
      <c r="BS20" s="409"/>
      <c r="BT20" s="409"/>
      <c r="BU20" s="411"/>
      <c r="BV20" s="412"/>
      <c r="BW20" s="413"/>
      <c r="BX20" s="409"/>
      <c r="BY20" s="409"/>
      <c r="BZ20" s="413"/>
      <c r="CA20" s="413"/>
      <c r="CB20" s="413"/>
      <c r="CC20" s="411"/>
      <c r="CD20" s="414"/>
      <c r="CE20" s="415"/>
      <c r="CF20" s="416" t="s">
        <v>166</v>
      </c>
      <c r="CG20" s="416"/>
    </row>
    <row r="21" spans="1:85" s="417" customFormat="1" ht="15" customHeight="1">
      <c r="A21" s="393" t="s">
        <v>187</v>
      </c>
      <c r="B21" s="394" t="s">
        <v>111</v>
      </c>
      <c r="C21" s="395">
        <v>45931</v>
      </c>
      <c r="D21" s="396" t="s">
        <v>179</v>
      </c>
      <c r="E21" s="397" t="s">
        <v>113</v>
      </c>
      <c r="F21" s="397" t="s">
        <v>114</v>
      </c>
      <c r="G21" s="397"/>
      <c r="H21" s="397"/>
      <c r="I21" s="397"/>
      <c r="J21" s="397"/>
      <c r="K21" s="397"/>
      <c r="L21" s="397"/>
      <c r="M21" s="397"/>
      <c r="N21" s="397"/>
      <c r="O21" s="397" t="s">
        <v>118</v>
      </c>
      <c r="P21" s="397" t="s">
        <v>180</v>
      </c>
      <c r="Q21" s="397" t="s">
        <v>181</v>
      </c>
      <c r="R21" s="397"/>
      <c r="S21" s="397"/>
      <c r="T21" s="397"/>
      <c r="U21" s="397"/>
      <c r="V21" s="397"/>
      <c r="W21" s="397"/>
      <c r="X21" s="398" t="s">
        <v>188</v>
      </c>
      <c r="Y21" s="399"/>
      <c r="Z21" s="398"/>
      <c r="AA21" s="400">
        <v>1</v>
      </c>
      <c r="AB21" s="401">
        <v>0</v>
      </c>
      <c r="AC21" s="422"/>
      <c r="AD21" s="401">
        <v>2.93</v>
      </c>
      <c r="AE21" s="401">
        <v>0</v>
      </c>
      <c r="AF21" s="401">
        <v>0</v>
      </c>
      <c r="AG21" s="401">
        <v>0</v>
      </c>
      <c r="AH21" s="401">
        <v>0</v>
      </c>
      <c r="AI21" s="401">
        <v>0</v>
      </c>
      <c r="AJ21" s="401">
        <v>0</v>
      </c>
      <c r="AK21" s="401">
        <v>0</v>
      </c>
      <c r="AL21" s="401">
        <v>0</v>
      </c>
      <c r="AM21" s="401">
        <v>0</v>
      </c>
      <c r="AN21" s="401">
        <v>0</v>
      </c>
      <c r="AO21" s="401">
        <v>0</v>
      </c>
      <c r="AP21" s="401">
        <v>0</v>
      </c>
      <c r="AQ21" s="401">
        <v>0</v>
      </c>
      <c r="AR21" s="401">
        <v>0</v>
      </c>
      <c r="AS21" s="401">
        <v>0</v>
      </c>
      <c r="AT21" s="401">
        <v>0</v>
      </c>
      <c r="AU21" s="401">
        <v>0</v>
      </c>
      <c r="AV21" s="401">
        <v>0</v>
      </c>
      <c r="AW21" s="401">
        <v>0</v>
      </c>
      <c r="AX21" s="401">
        <v>0</v>
      </c>
      <c r="AY21" s="401">
        <v>0</v>
      </c>
      <c r="AZ21" s="401">
        <v>0</v>
      </c>
      <c r="BA21" s="401">
        <v>0</v>
      </c>
      <c r="BB21" s="401">
        <v>0</v>
      </c>
      <c r="BC21" s="401">
        <v>0</v>
      </c>
      <c r="BD21" s="401">
        <v>0</v>
      </c>
      <c r="BE21" s="401">
        <v>0</v>
      </c>
      <c r="BF21" s="401">
        <v>0</v>
      </c>
      <c r="BG21" s="423"/>
      <c r="BH21" s="424" t="s">
        <v>189</v>
      </c>
      <c r="BI21" s="404">
        <v>45998</v>
      </c>
      <c r="BJ21" s="405">
        <v>233.1</v>
      </c>
      <c r="BK21" s="425"/>
      <c r="BL21" s="406"/>
      <c r="BM21" s="409" t="s">
        <v>118</v>
      </c>
      <c r="BN21" s="408" t="s">
        <v>386</v>
      </c>
      <c r="BO21" s="409"/>
      <c r="BP21" s="409"/>
      <c r="BQ21" s="409">
        <v>46022</v>
      </c>
      <c r="BR21" s="410"/>
      <c r="BS21" s="409"/>
      <c r="BT21" s="409"/>
      <c r="BU21" s="411"/>
      <c r="BV21" s="412"/>
      <c r="BW21" s="413"/>
      <c r="BX21" s="409"/>
      <c r="BY21" s="409"/>
      <c r="BZ21" s="413"/>
      <c r="CA21" s="413"/>
      <c r="CB21" s="413"/>
      <c r="CC21" s="411"/>
      <c r="CD21" s="414"/>
      <c r="CE21" s="415"/>
      <c r="CF21" s="416" t="s">
        <v>166</v>
      </c>
      <c r="CG21" s="416"/>
    </row>
    <row r="22" spans="1:85" s="417" customFormat="1" ht="15" customHeight="1">
      <c r="A22" s="393" t="s">
        <v>190</v>
      </c>
      <c r="B22" s="394" t="s">
        <v>111</v>
      </c>
      <c r="C22" s="395">
        <v>45931</v>
      </c>
      <c r="D22" s="396" t="s">
        <v>179</v>
      </c>
      <c r="E22" s="397" t="s">
        <v>113</v>
      </c>
      <c r="F22" s="397" t="s">
        <v>114</v>
      </c>
      <c r="G22" s="397"/>
      <c r="H22" s="397"/>
      <c r="I22" s="397"/>
      <c r="J22" s="397"/>
      <c r="K22" s="397"/>
      <c r="L22" s="397"/>
      <c r="M22" s="397"/>
      <c r="N22" s="397"/>
      <c r="O22" s="397" t="s">
        <v>118</v>
      </c>
      <c r="P22" s="397" t="s">
        <v>180</v>
      </c>
      <c r="Q22" s="397" t="s">
        <v>181</v>
      </c>
      <c r="R22" s="397"/>
      <c r="S22" s="397"/>
      <c r="T22" s="397"/>
      <c r="U22" s="397"/>
      <c r="V22" s="397"/>
      <c r="W22" s="397"/>
      <c r="X22" s="398" t="s">
        <v>191</v>
      </c>
      <c r="Y22" s="399"/>
      <c r="Z22" s="398"/>
      <c r="AA22" s="400">
        <v>1</v>
      </c>
      <c r="AB22" s="401">
        <v>0</v>
      </c>
      <c r="AC22" s="422"/>
      <c r="AD22" s="401">
        <v>3.37</v>
      </c>
      <c r="AE22" s="401">
        <v>0</v>
      </c>
      <c r="AF22" s="401">
        <v>0</v>
      </c>
      <c r="AG22" s="401">
        <v>0</v>
      </c>
      <c r="AH22" s="401">
        <v>0</v>
      </c>
      <c r="AI22" s="401">
        <v>0</v>
      </c>
      <c r="AJ22" s="401">
        <v>0</v>
      </c>
      <c r="AK22" s="401">
        <v>0</v>
      </c>
      <c r="AL22" s="401">
        <v>0</v>
      </c>
      <c r="AM22" s="401">
        <v>0</v>
      </c>
      <c r="AN22" s="401">
        <v>0</v>
      </c>
      <c r="AO22" s="401">
        <v>0</v>
      </c>
      <c r="AP22" s="401">
        <v>0</v>
      </c>
      <c r="AQ22" s="401">
        <v>0</v>
      </c>
      <c r="AR22" s="401">
        <v>0</v>
      </c>
      <c r="AS22" s="401">
        <v>0</v>
      </c>
      <c r="AT22" s="401">
        <v>0</v>
      </c>
      <c r="AU22" s="401">
        <v>0</v>
      </c>
      <c r="AV22" s="401">
        <v>0</v>
      </c>
      <c r="AW22" s="401">
        <v>0</v>
      </c>
      <c r="AX22" s="401">
        <v>0</v>
      </c>
      <c r="AY22" s="401">
        <v>0</v>
      </c>
      <c r="AZ22" s="401">
        <v>0</v>
      </c>
      <c r="BA22" s="401">
        <v>0</v>
      </c>
      <c r="BB22" s="401">
        <v>0</v>
      </c>
      <c r="BC22" s="401">
        <v>0</v>
      </c>
      <c r="BD22" s="401">
        <v>0</v>
      </c>
      <c r="BE22" s="401">
        <v>0</v>
      </c>
      <c r="BF22" s="401">
        <v>0</v>
      </c>
      <c r="BG22" s="423"/>
      <c r="BH22" s="424" t="s">
        <v>189</v>
      </c>
      <c r="BI22" s="404">
        <v>45998</v>
      </c>
      <c r="BJ22" s="405">
        <v>233.1</v>
      </c>
      <c r="BK22" s="425"/>
      <c r="BL22" s="406"/>
      <c r="BM22" s="409" t="s">
        <v>118</v>
      </c>
      <c r="BN22" s="408" t="s">
        <v>386</v>
      </c>
      <c r="BO22" s="409"/>
      <c r="BP22" s="409"/>
      <c r="BQ22" s="409">
        <v>46022</v>
      </c>
      <c r="BR22" s="410"/>
      <c r="BS22" s="409"/>
      <c r="BT22" s="409"/>
      <c r="BU22" s="411"/>
      <c r="BV22" s="412"/>
      <c r="BW22" s="413"/>
      <c r="BX22" s="409"/>
      <c r="BY22" s="409"/>
      <c r="BZ22" s="413"/>
      <c r="CA22" s="413"/>
      <c r="CB22" s="413"/>
      <c r="CC22" s="411"/>
      <c r="CD22" s="414"/>
      <c r="CE22" s="415"/>
      <c r="CF22" s="416" t="s">
        <v>166</v>
      </c>
      <c r="CG22" s="416"/>
    </row>
    <row r="23" spans="1:85" s="417" customFormat="1" ht="15" customHeight="1">
      <c r="A23" s="393" t="s">
        <v>192</v>
      </c>
      <c r="B23" s="394" t="s">
        <v>111</v>
      </c>
      <c r="C23" s="395">
        <v>45597</v>
      </c>
      <c r="D23" s="396" t="s">
        <v>179</v>
      </c>
      <c r="E23" s="397" t="s">
        <v>113</v>
      </c>
      <c r="F23" s="397" t="s">
        <v>114</v>
      </c>
      <c r="G23" s="397" t="s">
        <v>153</v>
      </c>
      <c r="H23" s="397" t="s">
        <v>116</v>
      </c>
      <c r="I23" s="397" t="s">
        <v>116</v>
      </c>
      <c r="J23" s="397" t="s">
        <v>116</v>
      </c>
      <c r="K23" s="397" t="b">
        <v>0</v>
      </c>
      <c r="L23" s="397" t="s">
        <v>116</v>
      </c>
      <c r="M23" s="397" t="s">
        <v>116</v>
      </c>
      <c r="N23" s="397" t="s">
        <v>116</v>
      </c>
      <c r="O23" s="397" t="s">
        <v>118</v>
      </c>
      <c r="P23" s="397" t="s">
        <v>180</v>
      </c>
      <c r="Q23" s="397" t="s">
        <v>181</v>
      </c>
      <c r="R23" s="397" t="s">
        <v>116</v>
      </c>
      <c r="S23" s="397" t="s">
        <v>116</v>
      </c>
      <c r="T23" s="397" t="s">
        <v>116</v>
      </c>
      <c r="U23" s="397" t="s">
        <v>116</v>
      </c>
      <c r="V23" s="397" t="s">
        <v>116</v>
      </c>
      <c r="W23" s="397" t="s">
        <v>116</v>
      </c>
      <c r="X23" s="398" t="s">
        <v>193</v>
      </c>
      <c r="Y23" s="399" t="s">
        <v>116</v>
      </c>
      <c r="Z23" s="398" t="s">
        <v>116</v>
      </c>
      <c r="AA23" s="400">
        <v>1</v>
      </c>
      <c r="AB23" s="401">
        <v>0</v>
      </c>
      <c r="AC23" s="422"/>
      <c r="AD23" s="401">
        <v>2.75</v>
      </c>
      <c r="AE23" s="401">
        <v>0</v>
      </c>
      <c r="AF23" s="401">
        <v>0</v>
      </c>
      <c r="AG23" s="401">
        <v>0</v>
      </c>
      <c r="AH23" s="401">
        <v>0</v>
      </c>
      <c r="AI23" s="401">
        <v>0</v>
      </c>
      <c r="AJ23" s="401">
        <v>0</v>
      </c>
      <c r="AK23" s="401">
        <v>0</v>
      </c>
      <c r="AL23" s="401">
        <v>0</v>
      </c>
      <c r="AM23" s="401">
        <v>0</v>
      </c>
      <c r="AN23" s="401">
        <v>0</v>
      </c>
      <c r="AO23" s="401">
        <v>0</v>
      </c>
      <c r="AP23" s="401">
        <v>0</v>
      </c>
      <c r="AQ23" s="401">
        <v>0</v>
      </c>
      <c r="AR23" s="401">
        <v>0</v>
      </c>
      <c r="AS23" s="401">
        <v>0</v>
      </c>
      <c r="AT23" s="401">
        <v>0</v>
      </c>
      <c r="AU23" s="401">
        <v>0</v>
      </c>
      <c r="AV23" s="401">
        <v>0</v>
      </c>
      <c r="AW23" s="401">
        <v>0</v>
      </c>
      <c r="AX23" s="401">
        <v>0</v>
      </c>
      <c r="AY23" s="401">
        <v>0</v>
      </c>
      <c r="AZ23" s="401">
        <v>0</v>
      </c>
      <c r="BA23" s="401">
        <v>0</v>
      </c>
      <c r="BB23" s="401">
        <v>0</v>
      </c>
      <c r="BC23" s="401">
        <v>0</v>
      </c>
      <c r="BD23" s="401">
        <v>0</v>
      </c>
      <c r="BE23" s="401">
        <v>0</v>
      </c>
      <c r="BF23" s="401">
        <v>0</v>
      </c>
      <c r="BG23" s="423"/>
      <c r="BH23" s="424" t="s">
        <v>194</v>
      </c>
      <c r="BI23" s="404">
        <v>45998</v>
      </c>
      <c r="BJ23" s="405">
        <v>233.1</v>
      </c>
      <c r="BK23" s="425"/>
      <c r="BL23" s="406"/>
      <c r="BM23" s="409" t="s">
        <v>118</v>
      </c>
      <c r="BN23" s="408" t="s">
        <v>386</v>
      </c>
      <c r="BO23" s="409"/>
      <c r="BP23" s="409"/>
      <c r="BQ23" s="409">
        <v>46022</v>
      </c>
      <c r="BR23" s="410"/>
      <c r="BS23" s="409"/>
      <c r="BT23" s="409"/>
      <c r="BU23" s="411"/>
      <c r="BV23" s="412"/>
      <c r="BW23" s="413"/>
      <c r="BX23" s="409"/>
      <c r="BY23" s="409"/>
      <c r="BZ23" s="413"/>
      <c r="CA23" s="413"/>
      <c r="CB23" s="413"/>
      <c r="CC23" s="411"/>
      <c r="CD23" s="414"/>
      <c r="CE23" s="415"/>
      <c r="CF23" s="416" t="s">
        <v>166</v>
      </c>
      <c r="CG23" s="416"/>
    </row>
    <row r="24" spans="1:85" s="417" customFormat="1" ht="15" customHeight="1">
      <c r="A24" s="393" t="s">
        <v>195</v>
      </c>
      <c r="B24" s="394" t="s">
        <v>111</v>
      </c>
      <c r="C24" s="395">
        <v>45901</v>
      </c>
      <c r="D24" s="396" t="s">
        <v>179</v>
      </c>
      <c r="E24" s="397" t="s">
        <v>113</v>
      </c>
      <c r="F24" s="397" t="s">
        <v>114</v>
      </c>
      <c r="G24" s="397" t="s">
        <v>130</v>
      </c>
      <c r="H24" s="397" t="s">
        <v>116</v>
      </c>
      <c r="I24" s="397" t="s">
        <v>116</v>
      </c>
      <c r="J24" s="397" t="s">
        <v>116</v>
      </c>
      <c r="K24" s="397" t="b">
        <v>0</v>
      </c>
      <c r="L24" s="397" t="s">
        <v>116</v>
      </c>
      <c r="M24" s="397" t="s">
        <v>116</v>
      </c>
      <c r="N24" s="397" t="s">
        <v>116</v>
      </c>
      <c r="O24" s="397" t="s">
        <v>118</v>
      </c>
      <c r="P24" s="397" t="s">
        <v>180</v>
      </c>
      <c r="Q24" s="397" t="s">
        <v>181</v>
      </c>
      <c r="R24" s="397" t="s">
        <v>116</v>
      </c>
      <c r="S24" s="397" t="s">
        <v>116</v>
      </c>
      <c r="T24" s="397" t="s">
        <v>116</v>
      </c>
      <c r="U24" s="397" t="s">
        <v>116</v>
      </c>
      <c r="V24" s="397" t="s">
        <v>116</v>
      </c>
      <c r="W24" s="397" t="s">
        <v>116</v>
      </c>
      <c r="X24" s="398" t="s">
        <v>196</v>
      </c>
      <c r="Y24" s="399">
        <v>146.76</v>
      </c>
      <c r="Z24" s="398" t="s">
        <v>123</v>
      </c>
      <c r="AA24" s="400">
        <v>1</v>
      </c>
      <c r="AB24" s="401">
        <v>0</v>
      </c>
      <c r="AC24" s="422"/>
      <c r="AD24" s="401">
        <v>2.93</v>
      </c>
      <c r="AE24" s="401">
        <v>0</v>
      </c>
      <c r="AF24" s="401">
        <v>0</v>
      </c>
      <c r="AG24" s="401">
        <v>0</v>
      </c>
      <c r="AH24" s="401">
        <v>0</v>
      </c>
      <c r="AI24" s="401">
        <v>0</v>
      </c>
      <c r="AJ24" s="401">
        <v>0</v>
      </c>
      <c r="AK24" s="401">
        <v>0</v>
      </c>
      <c r="AL24" s="401">
        <v>0</v>
      </c>
      <c r="AM24" s="401">
        <v>0</v>
      </c>
      <c r="AN24" s="401">
        <v>0</v>
      </c>
      <c r="AO24" s="401">
        <v>0</v>
      </c>
      <c r="AP24" s="401">
        <v>0</v>
      </c>
      <c r="AQ24" s="401">
        <v>0</v>
      </c>
      <c r="AR24" s="401">
        <v>0</v>
      </c>
      <c r="AS24" s="401">
        <v>0</v>
      </c>
      <c r="AT24" s="401">
        <v>0</v>
      </c>
      <c r="AU24" s="401">
        <v>0</v>
      </c>
      <c r="AV24" s="401">
        <v>0</v>
      </c>
      <c r="AW24" s="401">
        <v>0</v>
      </c>
      <c r="AX24" s="401">
        <v>0</v>
      </c>
      <c r="AY24" s="401">
        <v>0</v>
      </c>
      <c r="AZ24" s="401">
        <v>0</v>
      </c>
      <c r="BA24" s="401">
        <v>0</v>
      </c>
      <c r="BB24" s="401">
        <v>0</v>
      </c>
      <c r="BC24" s="401">
        <v>0</v>
      </c>
      <c r="BD24" s="401">
        <v>0</v>
      </c>
      <c r="BE24" s="401">
        <v>0</v>
      </c>
      <c r="BF24" s="401">
        <v>0</v>
      </c>
      <c r="BG24" s="423"/>
      <c r="BH24" s="424" t="s">
        <v>197</v>
      </c>
      <c r="BI24" s="404">
        <v>46011</v>
      </c>
      <c r="BJ24" s="405">
        <v>504.9</v>
      </c>
      <c r="BK24" s="425"/>
      <c r="BL24" s="406"/>
      <c r="BM24" s="409" t="s">
        <v>118</v>
      </c>
      <c r="BN24" s="408" t="s">
        <v>386</v>
      </c>
      <c r="BO24" s="409"/>
      <c r="BP24" s="409"/>
      <c r="BQ24" s="409">
        <v>46022</v>
      </c>
      <c r="BR24" s="410"/>
      <c r="BS24" s="409"/>
      <c r="BT24" s="409"/>
      <c r="BU24" s="411"/>
      <c r="BV24" s="412"/>
      <c r="BW24" s="413"/>
      <c r="BX24" s="409"/>
      <c r="BY24" s="409"/>
      <c r="BZ24" s="413"/>
      <c r="CA24" s="413"/>
      <c r="CB24" s="413"/>
      <c r="CC24" s="411"/>
      <c r="CD24" s="414"/>
      <c r="CE24" s="415"/>
      <c r="CF24" s="416" t="s">
        <v>166</v>
      </c>
      <c r="CG24" s="416"/>
    </row>
    <row r="25" spans="1:85" s="417" customFormat="1" ht="15" customHeight="1">
      <c r="A25" s="393" t="s">
        <v>198</v>
      </c>
      <c r="B25" s="394" t="s">
        <v>111</v>
      </c>
      <c r="C25" s="395">
        <v>45901</v>
      </c>
      <c r="D25" s="396" t="s">
        <v>179</v>
      </c>
      <c r="E25" s="397" t="s">
        <v>113</v>
      </c>
      <c r="F25" s="397" t="s">
        <v>114</v>
      </c>
      <c r="G25" s="397" t="s">
        <v>130</v>
      </c>
      <c r="H25" s="397" t="s">
        <v>116</v>
      </c>
      <c r="I25" s="397" t="s">
        <v>116</v>
      </c>
      <c r="J25" s="397" t="s">
        <v>116</v>
      </c>
      <c r="K25" s="397" t="b">
        <v>0</v>
      </c>
      <c r="L25" s="397" t="s">
        <v>116</v>
      </c>
      <c r="M25" s="397" t="s">
        <v>116</v>
      </c>
      <c r="N25" s="397" t="s">
        <v>116</v>
      </c>
      <c r="O25" s="397" t="s">
        <v>118</v>
      </c>
      <c r="P25" s="397" t="s">
        <v>180</v>
      </c>
      <c r="Q25" s="397" t="s">
        <v>181</v>
      </c>
      <c r="R25" s="397" t="s">
        <v>116</v>
      </c>
      <c r="S25" s="397" t="s">
        <v>116</v>
      </c>
      <c r="T25" s="397" t="s">
        <v>116</v>
      </c>
      <c r="U25" s="397" t="s">
        <v>116</v>
      </c>
      <c r="V25" s="397" t="s">
        <v>116</v>
      </c>
      <c r="W25" s="397" t="s">
        <v>116</v>
      </c>
      <c r="X25" s="398" t="s">
        <v>199</v>
      </c>
      <c r="Y25" s="399">
        <v>168.77</v>
      </c>
      <c r="Z25" s="398" t="s">
        <v>123</v>
      </c>
      <c r="AA25" s="400">
        <v>1</v>
      </c>
      <c r="AB25" s="401">
        <v>0</v>
      </c>
      <c r="AC25" s="422"/>
      <c r="AD25" s="401">
        <v>3.37</v>
      </c>
      <c r="AE25" s="401">
        <v>0</v>
      </c>
      <c r="AF25" s="401">
        <v>0</v>
      </c>
      <c r="AG25" s="401">
        <v>0</v>
      </c>
      <c r="AH25" s="401">
        <v>0</v>
      </c>
      <c r="AI25" s="401">
        <v>0</v>
      </c>
      <c r="AJ25" s="401">
        <v>0</v>
      </c>
      <c r="AK25" s="401">
        <v>0</v>
      </c>
      <c r="AL25" s="401">
        <v>0</v>
      </c>
      <c r="AM25" s="401">
        <v>0</v>
      </c>
      <c r="AN25" s="401">
        <v>0</v>
      </c>
      <c r="AO25" s="401">
        <v>0</v>
      </c>
      <c r="AP25" s="401">
        <v>0</v>
      </c>
      <c r="AQ25" s="401">
        <v>0</v>
      </c>
      <c r="AR25" s="401">
        <v>0</v>
      </c>
      <c r="AS25" s="401">
        <v>0</v>
      </c>
      <c r="AT25" s="401">
        <v>0</v>
      </c>
      <c r="AU25" s="401">
        <v>0</v>
      </c>
      <c r="AV25" s="401">
        <v>0</v>
      </c>
      <c r="AW25" s="401">
        <v>0</v>
      </c>
      <c r="AX25" s="401">
        <v>0</v>
      </c>
      <c r="AY25" s="401">
        <v>0</v>
      </c>
      <c r="AZ25" s="401">
        <v>0</v>
      </c>
      <c r="BA25" s="401">
        <v>0</v>
      </c>
      <c r="BB25" s="401">
        <v>0</v>
      </c>
      <c r="BC25" s="401">
        <v>0</v>
      </c>
      <c r="BD25" s="401">
        <v>0</v>
      </c>
      <c r="BE25" s="401">
        <v>0</v>
      </c>
      <c r="BF25" s="401">
        <v>0</v>
      </c>
      <c r="BG25" s="423"/>
      <c r="BH25" s="424" t="s">
        <v>197</v>
      </c>
      <c r="BI25" s="404">
        <v>46011</v>
      </c>
      <c r="BJ25" s="405">
        <v>504.9</v>
      </c>
      <c r="BK25" s="425"/>
      <c r="BL25" s="406"/>
      <c r="BM25" s="409" t="s">
        <v>118</v>
      </c>
      <c r="BN25" s="408" t="s">
        <v>386</v>
      </c>
      <c r="BO25" s="409"/>
      <c r="BP25" s="409"/>
      <c r="BQ25" s="409">
        <v>46022</v>
      </c>
      <c r="BR25" s="410"/>
      <c r="BS25" s="409"/>
      <c r="BT25" s="409"/>
      <c r="BU25" s="411"/>
      <c r="BV25" s="412"/>
      <c r="BW25" s="413"/>
      <c r="BX25" s="409"/>
      <c r="BY25" s="409"/>
      <c r="BZ25" s="413"/>
      <c r="CA25" s="413"/>
      <c r="CB25" s="413"/>
      <c r="CC25" s="411"/>
      <c r="CD25" s="414"/>
      <c r="CE25" s="415"/>
      <c r="CF25" s="416" t="s">
        <v>166</v>
      </c>
      <c r="CG25" s="416"/>
    </row>
    <row r="26" spans="1:85" s="417" customFormat="1" ht="15" customHeight="1">
      <c r="A26" s="393" t="s">
        <v>200</v>
      </c>
      <c r="B26" s="394" t="s">
        <v>111</v>
      </c>
      <c r="C26" s="395">
        <v>45931</v>
      </c>
      <c r="D26" s="396" t="s">
        <v>179</v>
      </c>
      <c r="E26" s="397" t="s">
        <v>113</v>
      </c>
      <c r="F26" s="397" t="s">
        <v>114</v>
      </c>
      <c r="G26" s="397"/>
      <c r="H26" s="397"/>
      <c r="I26" s="397"/>
      <c r="J26" s="397"/>
      <c r="K26" s="397"/>
      <c r="L26" s="397"/>
      <c r="M26" s="397"/>
      <c r="N26" s="397"/>
      <c r="O26" s="397" t="s">
        <v>118</v>
      </c>
      <c r="P26" s="397" t="s">
        <v>180</v>
      </c>
      <c r="Q26" s="397" t="s">
        <v>181</v>
      </c>
      <c r="R26" s="397"/>
      <c r="S26" s="397"/>
      <c r="T26" s="397"/>
      <c r="U26" s="397"/>
      <c r="V26" s="397"/>
      <c r="W26" s="397"/>
      <c r="X26" s="398" t="s">
        <v>201</v>
      </c>
      <c r="Y26" s="399"/>
      <c r="Z26" s="398"/>
      <c r="AA26" s="400">
        <v>1</v>
      </c>
      <c r="AB26" s="401">
        <v>0</v>
      </c>
      <c r="AC26" s="422"/>
      <c r="AD26" s="401">
        <v>3.15</v>
      </c>
      <c r="AE26" s="401">
        <v>0</v>
      </c>
      <c r="AF26" s="401">
        <v>0</v>
      </c>
      <c r="AG26" s="401">
        <v>0</v>
      </c>
      <c r="AH26" s="401">
        <v>0</v>
      </c>
      <c r="AI26" s="401">
        <v>0</v>
      </c>
      <c r="AJ26" s="401">
        <v>0</v>
      </c>
      <c r="AK26" s="401">
        <v>0</v>
      </c>
      <c r="AL26" s="401">
        <v>0</v>
      </c>
      <c r="AM26" s="401">
        <v>0</v>
      </c>
      <c r="AN26" s="401">
        <v>0</v>
      </c>
      <c r="AO26" s="401">
        <v>0</v>
      </c>
      <c r="AP26" s="401">
        <v>0</v>
      </c>
      <c r="AQ26" s="401">
        <v>0</v>
      </c>
      <c r="AR26" s="401">
        <v>0</v>
      </c>
      <c r="AS26" s="401">
        <v>0</v>
      </c>
      <c r="AT26" s="401">
        <v>0</v>
      </c>
      <c r="AU26" s="401">
        <v>0</v>
      </c>
      <c r="AV26" s="401">
        <v>0</v>
      </c>
      <c r="AW26" s="401">
        <v>0</v>
      </c>
      <c r="AX26" s="401">
        <v>0</v>
      </c>
      <c r="AY26" s="401">
        <v>0</v>
      </c>
      <c r="AZ26" s="401">
        <v>0</v>
      </c>
      <c r="BA26" s="401">
        <v>0</v>
      </c>
      <c r="BB26" s="401">
        <v>0</v>
      </c>
      <c r="BC26" s="401">
        <v>0</v>
      </c>
      <c r="BD26" s="401">
        <v>0</v>
      </c>
      <c r="BE26" s="401">
        <v>0</v>
      </c>
      <c r="BF26" s="401">
        <v>0</v>
      </c>
      <c r="BG26" s="423"/>
      <c r="BH26" s="424" t="s">
        <v>202</v>
      </c>
      <c r="BI26" s="404">
        <v>45998</v>
      </c>
      <c r="BJ26" s="405">
        <v>233.1</v>
      </c>
      <c r="BK26" s="425"/>
      <c r="BL26" s="406"/>
      <c r="BM26" s="409" t="s">
        <v>118</v>
      </c>
      <c r="BN26" s="408" t="s">
        <v>386</v>
      </c>
      <c r="BO26" s="409"/>
      <c r="BP26" s="409"/>
      <c r="BQ26" s="409">
        <v>46022</v>
      </c>
      <c r="BR26" s="410"/>
      <c r="BS26" s="409"/>
      <c r="BT26" s="409"/>
      <c r="BU26" s="411"/>
      <c r="BV26" s="412"/>
      <c r="BW26" s="413"/>
      <c r="BX26" s="409"/>
      <c r="BY26" s="409"/>
      <c r="BZ26" s="413"/>
      <c r="CA26" s="413"/>
      <c r="CB26" s="413"/>
      <c r="CC26" s="411"/>
      <c r="CD26" s="414"/>
      <c r="CE26" s="415"/>
      <c r="CF26" s="416" t="s">
        <v>166</v>
      </c>
      <c r="CG26" s="416"/>
    </row>
    <row r="27" spans="1:85" s="417" customFormat="1" ht="15" customHeight="1">
      <c r="A27" s="418" t="s">
        <v>200</v>
      </c>
      <c r="B27" s="397" t="s">
        <v>111</v>
      </c>
      <c r="C27" s="419">
        <v>45931</v>
      </c>
      <c r="D27" s="420" t="s">
        <v>179</v>
      </c>
      <c r="E27" s="397" t="s">
        <v>113</v>
      </c>
      <c r="F27" s="420" t="s">
        <v>114</v>
      </c>
      <c r="G27" s="420"/>
      <c r="H27" s="420"/>
      <c r="I27" s="420"/>
      <c r="J27" s="421"/>
      <c r="K27" s="421"/>
      <c r="L27" s="421"/>
      <c r="M27" s="421"/>
      <c r="N27" s="421"/>
      <c r="O27" s="397" t="s">
        <v>118</v>
      </c>
      <c r="P27" s="397" t="s">
        <v>180</v>
      </c>
      <c r="Q27" s="420" t="s">
        <v>181</v>
      </c>
      <c r="R27" s="421"/>
      <c r="S27" s="421"/>
      <c r="T27" s="421"/>
      <c r="U27" s="421"/>
      <c r="V27" s="421"/>
      <c r="W27" s="421"/>
      <c r="X27" s="420" t="s">
        <v>201</v>
      </c>
      <c r="Y27" s="399"/>
      <c r="Z27" s="420"/>
      <c r="AA27" s="420">
        <v>1</v>
      </c>
      <c r="AB27" s="401">
        <v>0</v>
      </c>
      <c r="AC27" s="422"/>
      <c r="AD27" s="401">
        <v>3.15</v>
      </c>
      <c r="AE27" s="401">
        <v>0</v>
      </c>
      <c r="AF27" s="401">
        <v>0</v>
      </c>
      <c r="AG27" s="401">
        <v>0</v>
      </c>
      <c r="AH27" s="401">
        <v>0</v>
      </c>
      <c r="AI27" s="401">
        <v>0</v>
      </c>
      <c r="AJ27" s="401">
        <v>0</v>
      </c>
      <c r="AK27" s="401">
        <v>0</v>
      </c>
      <c r="AL27" s="401">
        <v>0</v>
      </c>
      <c r="AM27" s="401">
        <v>0</v>
      </c>
      <c r="AN27" s="401">
        <v>0</v>
      </c>
      <c r="AO27" s="401">
        <v>0</v>
      </c>
      <c r="AP27" s="401">
        <v>0</v>
      </c>
      <c r="AQ27" s="401">
        <v>0</v>
      </c>
      <c r="AR27" s="401">
        <v>0</v>
      </c>
      <c r="AS27" s="401">
        <v>0</v>
      </c>
      <c r="AT27" s="401">
        <v>0</v>
      </c>
      <c r="AU27" s="401">
        <v>0</v>
      </c>
      <c r="AV27" s="401">
        <v>0</v>
      </c>
      <c r="AW27" s="401">
        <v>0</v>
      </c>
      <c r="AX27" s="401">
        <v>0</v>
      </c>
      <c r="AY27" s="401">
        <v>0</v>
      </c>
      <c r="AZ27" s="401">
        <v>0</v>
      </c>
      <c r="BA27" s="401">
        <v>0</v>
      </c>
      <c r="BB27" s="401">
        <v>0</v>
      </c>
      <c r="BC27" s="401">
        <v>0</v>
      </c>
      <c r="BD27" s="401">
        <v>0</v>
      </c>
      <c r="BE27" s="401">
        <v>0</v>
      </c>
      <c r="BF27" s="401">
        <v>0</v>
      </c>
      <c r="BG27" s="423"/>
      <c r="BH27" s="424" t="s">
        <v>189</v>
      </c>
      <c r="BI27" s="404">
        <v>46022</v>
      </c>
      <c r="BJ27" s="405">
        <v>-95.24</v>
      </c>
      <c r="BK27" s="406"/>
      <c r="BL27" s="406"/>
      <c r="BM27" s="409" t="s">
        <v>118</v>
      </c>
      <c r="BN27" s="408" t="s">
        <v>386</v>
      </c>
      <c r="BO27" s="409"/>
      <c r="BP27" s="409"/>
      <c r="BQ27" s="409">
        <v>46022</v>
      </c>
      <c r="BR27" s="410"/>
      <c r="BS27" s="409"/>
      <c r="BT27" s="409"/>
      <c r="BU27" s="411"/>
      <c r="BV27" s="412"/>
      <c r="BW27" s="413"/>
      <c r="BX27" s="409"/>
      <c r="BY27" s="409"/>
      <c r="BZ27" s="413"/>
      <c r="CA27" s="413"/>
      <c r="CB27" s="413"/>
      <c r="CC27" s="411"/>
      <c r="CD27" s="414"/>
      <c r="CE27" s="415"/>
      <c r="CF27" s="416" t="s">
        <v>166</v>
      </c>
      <c r="CG27" s="416"/>
    </row>
    <row r="28" spans="1:85" s="417" customFormat="1" ht="15" customHeight="1">
      <c r="A28" s="393" t="s">
        <v>203</v>
      </c>
      <c r="B28" s="394" t="s">
        <v>111</v>
      </c>
      <c r="C28" s="395">
        <v>45839</v>
      </c>
      <c r="D28" s="396" t="s">
        <v>179</v>
      </c>
      <c r="E28" s="397" t="s">
        <v>113</v>
      </c>
      <c r="F28" s="397" t="s">
        <v>114</v>
      </c>
      <c r="G28" s="397" t="s">
        <v>153</v>
      </c>
      <c r="H28" s="397" t="s">
        <v>116</v>
      </c>
      <c r="I28" s="397" t="s">
        <v>116</v>
      </c>
      <c r="J28" s="397" t="s">
        <v>116</v>
      </c>
      <c r="K28" s="397" t="b">
        <v>0</v>
      </c>
      <c r="L28" s="397" t="s">
        <v>116</v>
      </c>
      <c r="M28" s="397" t="s">
        <v>116</v>
      </c>
      <c r="N28" s="397" t="s">
        <v>116</v>
      </c>
      <c r="O28" s="397" t="s">
        <v>118</v>
      </c>
      <c r="P28" s="397" t="s">
        <v>180</v>
      </c>
      <c r="Q28" s="397" t="s">
        <v>181</v>
      </c>
      <c r="R28" s="397" t="s">
        <v>116</v>
      </c>
      <c r="S28" s="397" t="s">
        <v>116</v>
      </c>
      <c r="T28" s="397" t="s">
        <v>116</v>
      </c>
      <c r="U28" s="397" t="s">
        <v>116</v>
      </c>
      <c r="V28" s="397" t="s">
        <v>116</v>
      </c>
      <c r="W28" s="397" t="s">
        <v>116</v>
      </c>
      <c r="X28" s="398" t="s">
        <v>204</v>
      </c>
      <c r="Y28" s="399">
        <v>92.72</v>
      </c>
      <c r="Z28" s="398" t="s">
        <v>116</v>
      </c>
      <c r="AA28" s="400">
        <v>1</v>
      </c>
      <c r="AB28" s="401">
        <v>0</v>
      </c>
      <c r="AC28" s="422"/>
      <c r="AD28" s="401">
        <v>1.85</v>
      </c>
      <c r="AE28" s="401">
        <v>0</v>
      </c>
      <c r="AF28" s="401">
        <v>0</v>
      </c>
      <c r="AG28" s="401">
        <v>0</v>
      </c>
      <c r="AH28" s="401">
        <v>0</v>
      </c>
      <c r="AI28" s="401">
        <v>0</v>
      </c>
      <c r="AJ28" s="401">
        <v>0</v>
      </c>
      <c r="AK28" s="401">
        <v>0</v>
      </c>
      <c r="AL28" s="401">
        <v>0</v>
      </c>
      <c r="AM28" s="401">
        <v>0</v>
      </c>
      <c r="AN28" s="401">
        <v>0</v>
      </c>
      <c r="AO28" s="401">
        <v>0</v>
      </c>
      <c r="AP28" s="401">
        <v>0</v>
      </c>
      <c r="AQ28" s="401">
        <v>0</v>
      </c>
      <c r="AR28" s="401">
        <v>0</v>
      </c>
      <c r="AS28" s="401">
        <v>0</v>
      </c>
      <c r="AT28" s="401">
        <v>0</v>
      </c>
      <c r="AU28" s="401">
        <v>0</v>
      </c>
      <c r="AV28" s="401">
        <v>0</v>
      </c>
      <c r="AW28" s="401">
        <v>0</v>
      </c>
      <c r="AX28" s="401">
        <v>0</v>
      </c>
      <c r="AY28" s="401">
        <v>0</v>
      </c>
      <c r="AZ28" s="401">
        <v>0</v>
      </c>
      <c r="BA28" s="401">
        <v>0</v>
      </c>
      <c r="BB28" s="401">
        <v>0</v>
      </c>
      <c r="BC28" s="401">
        <v>0</v>
      </c>
      <c r="BD28" s="401">
        <v>0</v>
      </c>
      <c r="BE28" s="401">
        <v>0</v>
      </c>
      <c r="BF28" s="401">
        <v>0</v>
      </c>
      <c r="BG28" s="423"/>
      <c r="BH28" s="424" t="s">
        <v>174</v>
      </c>
      <c r="BI28" s="404">
        <v>45998</v>
      </c>
      <c r="BJ28" s="405">
        <v>233.1</v>
      </c>
      <c r="BK28" s="425"/>
      <c r="BL28" s="406"/>
      <c r="BM28" s="409" t="s">
        <v>118</v>
      </c>
      <c r="BN28" s="408" t="s">
        <v>386</v>
      </c>
      <c r="BO28" s="409"/>
      <c r="BP28" s="409"/>
      <c r="BQ28" s="409">
        <v>46022</v>
      </c>
      <c r="BR28" s="410"/>
      <c r="BS28" s="409"/>
      <c r="BT28" s="409"/>
      <c r="BU28" s="411"/>
      <c r="BV28" s="412"/>
      <c r="BW28" s="413"/>
      <c r="BX28" s="409"/>
      <c r="BY28" s="409"/>
      <c r="BZ28" s="413"/>
      <c r="CA28" s="413"/>
      <c r="CB28" s="413"/>
      <c r="CC28" s="411"/>
      <c r="CD28" s="414"/>
      <c r="CE28" s="415"/>
      <c r="CF28" s="416" t="s">
        <v>166</v>
      </c>
      <c r="CG28" s="416"/>
    </row>
    <row r="29" spans="1:85" s="417" customFormat="1" ht="15" customHeight="1">
      <c r="A29" s="393" t="s">
        <v>205</v>
      </c>
      <c r="B29" s="394" t="s">
        <v>111</v>
      </c>
      <c r="C29" s="395">
        <v>45839</v>
      </c>
      <c r="D29" s="396" t="s">
        <v>179</v>
      </c>
      <c r="E29" s="397" t="s">
        <v>113</v>
      </c>
      <c r="F29" s="397" t="s">
        <v>114</v>
      </c>
      <c r="G29" s="397" t="s">
        <v>153</v>
      </c>
      <c r="H29" s="397" t="s">
        <v>116</v>
      </c>
      <c r="I29" s="397" t="s">
        <v>116</v>
      </c>
      <c r="J29" s="397" t="s">
        <v>116</v>
      </c>
      <c r="K29" s="397" t="b">
        <v>0</v>
      </c>
      <c r="L29" s="397" t="s">
        <v>116</v>
      </c>
      <c r="M29" s="397" t="s">
        <v>116</v>
      </c>
      <c r="N29" s="397" t="s">
        <v>116</v>
      </c>
      <c r="O29" s="397" t="s">
        <v>118</v>
      </c>
      <c r="P29" s="397" t="s">
        <v>180</v>
      </c>
      <c r="Q29" s="397" t="s">
        <v>181</v>
      </c>
      <c r="R29" s="397" t="s">
        <v>116</v>
      </c>
      <c r="S29" s="397" t="s">
        <v>116</v>
      </c>
      <c r="T29" s="397" t="s">
        <v>116</v>
      </c>
      <c r="U29" s="397" t="s">
        <v>116</v>
      </c>
      <c r="V29" s="397" t="s">
        <v>116</v>
      </c>
      <c r="W29" s="397" t="s">
        <v>116</v>
      </c>
      <c r="X29" s="398" t="s">
        <v>206</v>
      </c>
      <c r="Y29" s="399">
        <v>106.62</v>
      </c>
      <c r="Z29" s="398" t="s">
        <v>123</v>
      </c>
      <c r="AA29" s="400">
        <v>1</v>
      </c>
      <c r="AB29" s="401">
        <v>0</v>
      </c>
      <c r="AC29" s="422"/>
      <c r="AD29" s="401">
        <v>2.13</v>
      </c>
      <c r="AE29" s="401">
        <v>0</v>
      </c>
      <c r="AF29" s="401">
        <v>0</v>
      </c>
      <c r="AG29" s="401">
        <v>0</v>
      </c>
      <c r="AH29" s="401">
        <v>0</v>
      </c>
      <c r="AI29" s="401">
        <v>0</v>
      </c>
      <c r="AJ29" s="401">
        <v>0</v>
      </c>
      <c r="AK29" s="401">
        <v>0</v>
      </c>
      <c r="AL29" s="401">
        <v>0</v>
      </c>
      <c r="AM29" s="401">
        <v>0</v>
      </c>
      <c r="AN29" s="401">
        <v>0</v>
      </c>
      <c r="AO29" s="401">
        <v>0</v>
      </c>
      <c r="AP29" s="401">
        <v>0</v>
      </c>
      <c r="AQ29" s="401">
        <v>0</v>
      </c>
      <c r="AR29" s="401">
        <v>0</v>
      </c>
      <c r="AS29" s="401">
        <v>0</v>
      </c>
      <c r="AT29" s="401">
        <v>0</v>
      </c>
      <c r="AU29" s="401">
        <v>0</v>
      </c>
      <c r="AV29" s="401">
        <v>0</v>
      </c>
      <c r="AW29" s="401">
        <v>0</v>
      </c>
      <c r="AX29" s="401">
        <v>0</v>
      </c>
      <c r="AY29" s="401">
        <v>0</v>
      </c>
      <c r="AZ29" s="401">
        <v>0</v>
      </c>
      <c r="BA29" s="401">
        <v>0</v>
      </c>
      <c r="BB29" s="401">
        <v>0</v>
      </c>
      <c r="BC29" s="401">
        <v>0</v>
      </c>
      <c r="BD29" s="401">
        <v>0</v>
      </c>
      <c r="BE29" s="401">
        <v>0</v>
      </c>
      <c r="BF29" s="401">
        <v>0</v>
      </c>
      <c r="BG29" s="423"/>
      <c r="BH29" s="424" t="s">
        <v>174</v>
      </c>
      <c r="BI29" s="404">
        <v>45998</v>
      </c>
      <c r="BJ29" s="405">
        <v>233.1</v>
      </c>
      <c r="BK29" s="425"/>
      <c r="BL29" s="406"/>
      <c r="BM29" s="409" t="s">
        <v>118</v>
      </c>
      <c r="BN29" s="408" t="s">
        <v>386</v>
      </c>
      <c r="BO29" s="409"/>
      <c r="BP29" s="409"/>
      <c r="BQ29" s="409">
        <v>46022</v>
      </c>
      <c r="BR29" s="410"/>
      <c r="BS29" s="409"/>
      <c r="BT29" s="409"/>
      <c r="BU29" s="411"/>
      <c r="BV29" s="412"/>
      <c r="BW29" s="413"/>
      <c r="BX29" s="409"/>
      <c r="BY29" s="409"/>
      <c r="BZ29" s="413"/>
      <c r="CA29" s="413"/>
      <c r="CB29" s="413"/>
      <c r="CC29" s="411"/>
      <c r="CD29" s="414"/>
      <c r="CE29" s="415"/>
      <c r="CF29" s="416" t="s">
        <v>166</v>
      </c>
      <c r="CG29" s="416"/>
    </row>
    <row r="30" spans="1:85" s="417" customFormat="1" ht="15" customHeight="1">
      <c r="A30" s="393" t="s">
        <v>207</v>
      </c>
      <c r="B30" s="394" t="s">
        <v>111</v>
      </c>
      <c r="C30" s="395">
        <v>45931</v>
      </c>
      <c r="D30" s="396" t="s">
        <v>179</v>
      </c>
      <c r="E30" s="397" t="s">
        <v>113</v>
      </c>
      <c r="F30" s="397" t="s">
        <v>114</v>
      </c>
      <c r="G30" s="397"/>
      <c r="H30" s="397"/>
      <c r="I30" s="397"/>
      <c r="J30" s="397"/>
      <c r="K30" s="397"/>
      <c r="L30" s="397"/>
      <c r="M30" s="397"/>
      <c r="N30" s="397"/>
      <c r="O30" s="397" t="s">
        <v>118</v>
      </c>
      <c r="P30" s="397" t="s">
        <v>180</v>
      </c>
      <c r="Q30" s="397" t="s">
        <v>181</v>
      </c>
      <c r="R30" s="397"/>
      <c r="S30" s="397"/>
      <c r="T30" s="397"/>
      <c r="U30" s="397"/>
      <c r="V30" s="397"/>
      <c r="W30" s="397"/>
      <c r="X30" s="398" t="s">
        <v>208</v>
      </c>
      <c r="Y30" s="399"/>
      <c r="Z30" s="398"/>
      <c r="AA30" s="400">
        <v>1</v>
      </c>
      <c r="AB30" s="401">
        <v>0</v>
      </c>
      <c r="AC30" s="422"/>
      <c r="AD30" s="401">
        <v>3.39</v>
      </c>
      <c r="AE30" s="401">
        <v>0</v>
      </c>
      <c r="AF30" s="401">
        <v>0</v>
      </c>
      <c r="AG30" s="401">
        <v>0</v>
      </c>
      <c r="AH30" s="401">
        <v>0</v>
      </c>
      <c r="AI30" s="401">
        <v>0</v>
      </c>
      <c r="AJ30" s="401">
        <v>0</v>
      </c>
      <c r="AK30" s="401">
        <v>0</v>
      </c>
      <c r="AL30" s="401">
        <v>0</v>
      </c>
      <c r="AM30" s="401">
        <v>0</v>
      </c>
      <c r="AN30" s="401">
        <v>0</v>
      </c>
      <c r="AO30" s="401">
        <v>0</v>
      </c>
      <c r="AP30" s="401">
        <v>0</v>
      </c>
      <c r="AQ30" s="401">
        <v>0</v>
      </c>
      <c r="AR30" s="401">
        <v>0</v>
      </c>
      <c r="AS30" s="401">
        <v>0</v>
      </c>
      <c r="AT30" s="401">
        <v>0</v>
      </c>
      <c r="AU30" s="401">
        <v>0</v>
      </c>
      <c r="AV30" s="401">
        <v>0</v>
      </c>
      <c r="AW30" s="401">
        <v>0</v>
      </c>
      <c r="AX30" s="401">
        <v>0</v>
      </c>
      <c r="AY30" s="401">
        <v>0</v>
      </c>
      <c r="AZ30" s="401">
        <v>0</v>
      </c>
      <c r="BA30" s="401">
        <v>0</v>
      </c>
      <c r="BB30" s="401">
        <v>0</v>
      </c>
      <c r="BC30" s="401">
        <v>0</v>
      </c>
      <c r="BD30" s="401">
        <v>0</v>
      </c>
      <c r="BE30" s="401">
        <v>0</v>
      </c>
      <c r="BF30" s="401">
        <v>0</v>
      </c>
      <c r="BG30" s="423"/>
      <c r="BH30" s="424" t="s">
        <v>202</v>
      </c>
      <c r="BI30" s="404">
        <v>45998</v>
      </c>
      <c r="BJ30" s="405">
        <v>233.1</v>
      </c>
      <c r="BK30" s="425"/>
      <c r="BL30" s="406"/>
      <c r="BM30" s="409" t="s">
        <v>118</v>
      </c>
      <c r="BN30" s="408" t="s">
        <v>386</v>
      </c>
      <c r="BO30" s="409"/>
      <c r="BP30" s="409"/>
      <c r="BQ30" s="409">
        <v>46022</v>
      </c>
      <c r="BR30" s="410"/>
      <c r="BS30" s="409"/>
      <c r="BT30" s="409"/>
      <c r="BU30" s="411"/>
      <c r="BV30" s="412"/>
      <c r="BW30" s="413"/>
      <c r="BX30" s="409"/>
      <c r="BY30" s="409"/>
      <c r="BZ30" s="413"/>
      <c r="CA30" s="413"/>
      <c r="CB30" s="413"/>
      <c r="CC30" s="411"/>
      <c r="CD30" s="414"/>
      <c r="CE30" s="415"/>
      <c r="CF30" s="416" t="s">
        <v>166</v>
      </c>
      <c r="CG30" s="416"/>
    </row>
    <row r="31" spans="1:85" s="417" customFormat="1" ht="15" customHeight="1">
      <c r="A31" s="418" t="s">
        <v>209</v>
      </c>
      <c r="B31" s="397" t="s">
        <v>111</v>
      </c>
      <c r="C31" s="419">
        <v>45261.333333333336</v>
      </c>
      <c r="D31" s="420" t="s">
        <v>112</v>
      </c>
      <c r="E31" s="397" t="s">
        <v>113</v>
      </c>
      <c r="F31" s="420" t="s">
        <v>114</v>
      </c>
      <c r="G31" s="420" t="s">
        <v>210</v>
      </c>
      <c r="H31" s="420" t="s">
        <v>116</v>
      </c>
      <c r="I31" s="420" t="s">
        <v>117</v>
      </c>
      <c r="J31" s="421" t="s">
        <v>116</v>
      </c>
      <c r="K31" s="421" t="b">
        <v>0</v>
      </c>
      <c r="L31" s="421" t="s">
        <v>116</v>
      </c>
      <c r="M31" s="421" t="s">
        <v>116</v>
      </c>
      <c r="N31" s="421" t="s">
        <v>118</v>
      </c>
      <c r="O31" s="421" t="s">
        <v>119</v>
      </c>
      <c r="P31" s="420" t="s">
        <v>120</v>
      </c>
      <c r="Q31" s="420" t="s">
        <v>121</v>
      </c>
      <c r="R31" s="421" t="s">
        <v>116</v>
      </c>
      <c r="S31" s="421" t="s">
        <v>116</v>
      </c>
      <c r="T31" s="421" t="s">
        <v>116</v>
      </c>
      <c r="U31" s="421" t="s">
        <v>116</v>
      </c>
      <c r="V31" s="421" t="s">
        <v>116</v>
      </c>
      <c r="W31" s="421" t="s">
        <v>116</v>
      </c>
      <c r="X31" s="420" t="s">
        <v>211</v>
      </c>
      <c r="Y31" s="399">
        <v>56.49</v>
      </c>
      <c r="Z31" s="420" t="s">
        <v>123</v>
      </c>
      <c r="AA31" s="400">
        <v>1</v>
      </c>
      <c r="AB31" s="401">
        <v>0</v>
      </c>
      <c r="AC31" s="422"/>
      <c r="AD31" s="401">
        <v>1.1299999999999999</v>
      </c>
      <c r="AE31" s="401">
        <v>0</v>
      </c>
      <c r="AF31" s="401">
        <v>0</v>
      </c>
      <c r="AG31" s="401">
        <v>0</v>
      </c>
      <c r="AH31" s="401">
        <v>0</v>
      </c>
      <c r="AI31" s="401">
        <v>0</v>
      </c>
      <c r="AJ31" s="401">
        <v>0</v>
      </c>
      <c r="AK31" s="401">
        <v>0</v>
      </c>
      <c r="AL31" s="401">
        <v>0</v>
      </c>
      <c r="AM31" s="401">
        <v>0</v>
      </c>
      <c r="AN31" s="401">
        <v>0</v>
      </c>
      <c r="AO31" s="401">
        <v>0</v>
      </c>
      <c r="AP31" s="401">
        <v>0</v>
      </c>
      <c r="AQ31" s="401">
        <v>0</v>
      </c>
      <c r="AR31" s="401">
        <v>0</v>
      </c>
      <c r="AS31" s="401">
        <v>0</v>
      </c>
      <c r="AT31" s="401">
        <v>0</v>
      </c>
      <c r="AU31" s="401">
        <v>0</v>
      </c>
      <c r="AV31" s="401">
        <v>0</v>
      </c>
      <c r="AW31" s="401">
        <v>0</v>
      </c>
      <c r="AX31" s="401">
        <v>0</v>
      </c>
      <c r="AY31" s="401">
        <v>0</v>
      </c>
      <c r="AZ31" s="401">
        <v>0</v>
      </c>
      <c r="BA31" s="401">
        <v>0</v>
      </c>
      <c r="BB31" s="401">
        <v>0</v>
      </c>
      <c r="BC31" s="401">
        <v>0</v>
      </c>
      <c r="BD31" s="401">
        <v>0</v>
      </c>
      <c r="BE31" s="401">
        <v>0</v>
      </c>
      <c r="BF31" s="401">
        <v>0</v>
      </c>
      <c r="BG31" s="423"/>
      <c r="BH31" s="424" t="s">
        <v>212</v>
      </c>
      <c r="BI31" s="404">
        <v>46004</v>
      </c>
      <c r="BJ31" s="405">
        <v>43.48</v>
      </c>
      <c r="BK31" s="406"/>
      <c r="BL31" s="406"/>
      <c r="BM31" s="409" t="s">
        <v>118</v>
      </c>
      <c r="BN31" s="408" t="s">
        <v>386</v>
      </c>
      <c r="BO31" s="409"/>
      <c r="BP31" s="409"/>
      <c r="BQ31" s="409">
        <v>46022</v>
      </c>
      <c r="BR31" s="410"/>
      <c r="BS31" s="409"/>
      <c r="BT31" s="409"/>
      <c r="BU31" s="411"/>
      <c r="BV31" s="412"/>
      <c r="BW31" s="413"/>
      <c r="BX31" s="409"/>
      <c r="BY31" s="409"/>
      <c r="BZ31" s="413"/>
      <c r="CA31" s="413"/>
      <c r="CB31" s="413"/>
      <c r="CC31" s="411"/>
      <c r="CD31" s="414"/>
      <c r="CE31" s="415"/>
      <c r="CF31" s="416" t="s">
        <v>157</v>
      </c>
      <c r="CG31" s="416"/>
    </row>
    <row r="32" spans="1:85" s="417" customFormat="1" ht="15" customHeight="1">
      <c r="A32" s="393" t="s">
        <v>213</v>
      </c>
      <c r="B32" s="394" t="s">
        <v>111</v>
      </c>
      <c r="C32" s="395">
        <v>44927</v>
      </c>
      <c r="D32" s="396" t="s">
        <v>112</v>
      </c>
      <c r="E32" s="397" t="s">
        <v>113</v>
      </c>
      <c r="F32" s="397" t="s">
        <v>114</v>
      </c>
      <c r="G32" s="397" t="s">
        <v>153</v>
      </c>
      <c r="H32" s="397" t="s">
        <v>116</v>
      </c>
      <c r="I32" s="397" t="s">
        <v>214</v>
      </c>
      <c r="J32" s="397" t="s">
        <v>116</v>
      </c>
      <c r="K32" s="397" t="b">
        <v>0</v>
      </c>
      <c r="L32" s="397" t="s">
        <v>116</v>
      </c>
      <c r="M32" s="397" t="s">
        <v>116</v>
      </c>
      <c r="N32" s="421" t="s">
        <v>118</v>
      </c>
      <c r="O32" s="421" t="s">
        <v>119</v>
      </c>
      <c r="P32" s="420" t="s">
        <v>120</v>
      </c>
      <c r="Q32" s="397" t="s">
        <v>121</v>
      </c>
      <c r="R32" s="397" t="s">
        <v>138</v>
      </c>
      <c r="S32" s="397" t="s">
        <v>116</v>
      </c>
      <c r="T32" s="397" t="s">
        <v>116</v>
      </c>
      <c r="U32" s="397" t="s">
        <v>116</v>
      </c>
      <c r="V32" s="397" t="s">
        <v>116</v>
      </c>
      <c r="W32" s="397" t="s">
        <v>116</v>
      </c>
      <c r="X32" s="398" t="s">
        <v>215</v>
      </c>
      <c r="Y32" s="399">
        <v>170.35</v>
      </c>
      <c r="Z32" s="398" t="s">
        <v>123</v>
      </c>
      <c r="AA32" s="400">
        <v>1</v>
      </c>
      <c r="AB32" s="401">
        <v>0</v>
      </c>
      <c r="AC32" s="422"/>
      <c r="AD32" s="401">
        <v>1.53</v>
      </c>
      <c r="AE32" s="401">
        <v>0</v>
      </c>
      <c r="AF32" s="401">
        <v>0</v>
      </c>
      <c r="AG32" s="401">
        <v>0</v>
      </c>
      <c r="AH32" s="401">
        <v>0</v>
      </c>
      <c r="AI32" s="401">
        <v>0</v>
      </c>
      <c r="AJ32" s="401">
        <v>0</v>
      </c>
      <c r="AK32" s="401">
        <v>0</v>
      </c>
      <c r="AL32" s="401">
        <v>0</v>
      </c>
      <c r="AM32" s="401">
        <v>0</v>
      </c>
      <c r="AN32" s="401">
        <v>0</v>
      </c>
      <c r="AO32" s="401">
        <v>0</v>
      </c>
      <c r="AP32" s="401">
        <v>0</v>
      </c>
      <c r="AQ32" s="401">
        <v>0</v>
      </c>
      <c r="AR32" s="401">
        <v>0</v>
      </c>
      <c r="AS32" s="401">
        <v>0</v>
      </c>
      <c r="AT32" s="401">
        <v>0</v>
      </c>
      <c r="AU32" s="401">
        <v>0</v>
      </c>
      <c r="AV32" s="401">
        <v>0</v>
      </c>
      <c r="AW32" s="401">
        <v>0</v>
      </c>
      <c r="AX32" s="401">
        <v>0</v>
      </c>
      <c r="AY32" s="401">
        <v>0</v>
      </c>
      <c r="AZ32" s="401">
        <v>0</v>
      </c>
      <c r="BA32" s="401">
        <v>0</v>
      </c>
      <c r="BB32" s="401">
        <v>0</v>
      </c>
      <c r="BC32" s="401">
        <v>0</v>
      </c>
      <c r="BD32" s="401">
        <v>0</v>
      </c>
      <c r="BE32" s="401">
        <v>0</v>
      </c>
      <c r="BF32" s="401">
        <v>0</v>
      </c>
      <c r="BG32" s="423"/>
      <c r="BH32" s="424" t="s">
        <v>216</v>
      </c>
      <c r="BI32" s="404">
        <v>46004</v>
      </c>
      <c r="BJ32" s="405">
        <v>43.48</v>
      </c>
      <c r="BK32" s="425"/>
      <c r="BL32" s="406"/>
      <c r="BM32" s="409" t="s">
        <v>118</v>
      </c>
      <c r="BN32" s="408" t="s">
        <v>386</v>
      </c>
      <c r="BO32" s="409"/>
      <c r="BP32" s="409"/>
      <c r="BQ32" s="409">
        <v>46022</v>
      </c>
      <c r="BR32" s="410"/>
      <c r="BS32" s="409"/>
      <c r="BT32" s="409"/>
      <c r="BU32" s="411"/>
      <c r="BV32" s="412"/>
      <c r="BW32" s="413"/>
      <c r="BX32" s="409"/>
      <c r="BY32" s="409"/>
      <c r="BZ32" s="413"/>
      <c r="CA32" s="413"/>
      <c r="CB32" s="413"/>
      <c r="CC32" s="411"/>
      <c r="CD32" s="414"/>
      <c r="CE32" s="415"/>
      <c r="CF32" s="416" t="s">
        <v>157</v>
      </c>
      <c r="CG32" s="416"/>
    </row>
    <row r="33" spans="1:85" s="417" customFormat="1" ht="15" customHeight="1">
      <c r="A33" s="393" t="s">
        <v>217</v>
      </c>
      <c r="B33" s="394" t="s">
        <v>111</v>
      </c>
      <c r="C33" s="395">
        <v>44927</v>
      </c>
      <c r="D33" s="396" t="s">
        <v>179</v>
      </c>
      <c r="E33" s="397" t="s">
        <v>113</v>
      </c>
      <c r="F33" s="397" t="s">
        <v>114</v>
      </c>
      <c r="G33" s="397" t="s">
        <v>153</v>
      </c>
      <c r="H33" s="397" t="s">
        <v>116</v>
      </c>
      <c r="I33" s="397" t="s">
        <v>214</v>
      </c>
      <c r="J33" s="397" t="s">
        <v>116</v>
      </c>
      <c r="K33" s="397" t="b">
        <v>0</v>
      </c>
      <c r="L33" s="397" t="s">
        <v>116</v>
      </c>
      <c r="M33" s="397" t="s">
        <v>116</v>
      </c>
      <c r="N33" s="397" t="s">
        <v>116</v>
      </c>
      <c r="O33" s="397" t="s">
        <v>118</v>
      </c>
      <c r="P33" s="397" t="s">
        <v>218</v>
      </c>
      <c r="Q33" s="397" t="s">
        <v>219</v>
      </c>
      <c r="R33" s="397" t="s">
        <v>138</v>
      </c>
      <c r="S33" s="397" t="s">
        <v>116</v>
      </c>
      <c r="T33" s="397" t="s">
        <v>116</v>
      </c>
      <c r="U33" s="397" t="s">
        <v>116</v>
      </c>
      <c r="V33" s="397" t="s">
        <v>116</v>
      </c>
      <c r="W33" s="397" t="s">
        <v>116</v>
      </c>
      <c r="X33" s="398" t="s">
        <v>220</v>
      </c>
      <c r="Y33" s="399">
        <v>206.44</v>
      </c>
      <c r="Z33" s="398" t="s">
        <v>116</v>
      </c>
      <c r="AA33" s="400">
        <v>1</v>
      </c>
      <c r="AB33" s="401">
        <v>0</v>
      </c>
      <c r="AC33" s="422"/>
      <c r="AD33" s="401">
        <v>2.88</v>
      </c>
      <c r="AE33" s="401">
        <v>0</v>
      </c>
      <c r="AF33" s="401">
        <v>0</v>
      </c>
      <c r="AG33" s="401">
        <v>0</v>
      </c>
      <c r="AH33" s="401">
        <v>0</v>
      </c>
      <c r="AI33" s="401">
        <v>0</v>
      </c>
      <c r="AJ33" s="401">
        <v>0</v>
      </c>
      <c r="AK33" s="401">
        <v>0</v>
      </c>
      <c r="AL33" s="401">
        <v>0</v>
      </c>
      <c r="AM33" s="401">
        <v>0</v>
      </c>
      <c r="AN33" s="401">
        <v>0</v>
      </c>
      <c r="AO33" s="401">
        <v>0</v>
      </c>
      <c r="AP33" s="401">
        <v>0</v>
      </c>
      <c r="AQ33" s="401">
        <v>0</v>
      </c>
      <c r="AR33" s="401">
        <v>0</v>
      </c>
      <c r="AS33" s="401">
        <v>0</v>
      </c>
      <c r="AT33" s="401">
        <v>0</v>
      </c>
      <c r="AU33" s="401">
        <v>0</v>
      </c>
      <c r="AV33" s="401">
        <v>0</v>
      </c>
      <c r="AW33" s="401">
        <v>0</v>
      </c>
      <c r="AX33" s="401">
        <v>0</v>
      </c>
      <c r="AY33" s="401">
        <v>0</v>
      </c>
      <c r="AZ33" s="401">
        <v>0</v>
      </c>
      <c r="BA33" s="401">
        <v>0</v>
      </c>
      <c r="BB33" s="401">
        <v>0</v>
      </c>
      <c r="BC33" s="401">
        <v>0</v>
      </c>
      <c r="BD33" s="401">
        <v>0</v>
      </c>
      <c r="BE33" s="401">
        <v>0</v>
      </c>
      <c r="BF33" s="401">
        <v>0</v>
      </c>
      <c r="BG33" s="423"/>
      <c r="BH33" s="424" t="s">
        <v>221</v>
      </c>
      <c r="BI33" s="404">
        <v>46018</v>
      </c>
      <c r="BJ33" s="405">
        <v>2.88</v>
      </c>
      <c r="BK33" s="425"/>
      <c r="BL33" s="406"/>
      <c r="BM33" s="409" t="s">
        <v>118</v>
      </c>
      <c r="BN33" s="408" t="s">
        <v>386</v>
      </c>
      <c r="BO33" s="409"/>
      <c r="BP33" s="409"/>
      <c r="BQ33" s="409">
        <v>46022</v>
      </c>
      <c r="BR33" s="410"/>
      <c r="BS33" s="409"/>
      <c r="BT33" s="409"/>
      <c r="BU33" s="411"/>
      <c r="BV33" s="412"/>
      <c r="BW33" s="413"/>
      <c r="BX33" s="409"/>
      <c r="BY33" s="409"/>
      <c r="BZ33" s="413"/>
      <c r="CA33" s="413"/>
      <c r="CB33" s="413"/>
      <c r="CC33" s="411"/>
      <c r="CD33" s="414"/>
      <c r="CE33" s="415"/>
      <c r="CF33" s="416" t="s">
        <v>157</v>
      </c>
      <c r="CG33" s="416"/>
    </row>
    <row r="34" spans="1:85" s="417" customFormat="1" ht="15" customHeight="1">
      <c r="A34" s="393" t="s">
        <v>222</v>
      </c>
      <c r="B34" s="394" t="s">
        <v>111</v>
      </c>
      <c r="C34" s="395">
        <v>45505</v>
      </c>
      <c r="D34" s="396" t="s">
        <v>179</v>
      </c>
      <c r="E34" s="397" t="s">
        <v>113</v>
      </c>
      <c r="F34" s="397" t="s">
        <v>114</v>
      </c>
      <c r="G34" s="397" t="s">
        <v>153</v>
      </c>
      <c r="H34" s="397" t="s">
        <v>116</v>
      </c>
      <c r="I34" s="397" t="s">
        <v>223</v>
      </c>
      <c r="J34" s="397" t="s">
        <v>116</v>
      </c>
      <c r="K34" s="397" t="b">
        <v>0</v>
      </c>
      <c r="L34" s="397" t="s">
        <v>116</v>
      </c>
      <c r="M34" s="397" t="s">
        <v>116</v>
      </c>
      <c r="N34" s="397" t="s">
        <v>116</v>
      </c>
      <c r="O34" s="397" t="s">
        <v>118</v>
      </c>
      <c r="P34" s="397" t="s">
        <v>224</v>
      </c>
      <c r="Q34" s="397" t="s">
        <v>225</v>
      </c>
      <c r="R34" s="397" t="s">
        <v>116</v>
      </c>
      <c r="S34" s="397" t="s">
        <v>116</v>
      </c>
      <c r="T34" s="397" t="s">
        <v>116</v>
      </c>
      <c r="U34" s="397" t="s">
        <v>116</v>
      </c>
      <c r="V34" s="397" t="s">
        <v>116</v>
      </c>
      <c r="W34" s="397" t="s">
        <v>116</v>
      </c>
      <c r="X34" s="398" t="s">
        <v>226</v>
      </c>
      <c r="Y34" s="399">
        <v>114.82</v>
      </c>
      <c r="Z34" s="398" t="s">
        <v>123</v>
      </c>
      <c r="AA34" s="400">
        <v>1</v>
      </c>
      <c r="AB34" s="401">
        <v>0</v>
      </c>
      <c r="AC34" s="402"/>
      <c r="AD34" s="401">
        <v>4.59</v>
      </c>
      <c r="AE34" s="401">
        <v>0</v>
      </c>
      <c r="AF34" s="401">
        <v>0</v>
      </c>
      <c r="AG34" s="401">
        <v>0</v>
      </c>
      <c r="AH34" s="401">
        <v>0</v>
      </c>
      <c r="AI34" s="401">
        <v>0</v>
      </c>
      <c r="AJ34" s="401">
        <v>0</v>
      </c>
      <c r="AK34" s="401">
        <v>0</v>
      </c>
      <c r="AL34" s="401">
        <v>0</v>
      </c>
      <c r="AM34" s="401">
        <v>0</v>
      </c>
      <c r="AN34" s="401">
        <v>0</v>
      </c>
      <c r="AO34" s="401">
        <v>0</v>
      </c>
      <c r="AP34" s="401">
        <v>0</v>
      </c>
      <c r="AQ34" s="401">
        <v>0</v>
      </c>
      <c r="AR34" s="401">
        <v>0</v>
      </c>
      <c r="AS34" s="401">
        <v>0</v>
      </c>
      <c r="AT34" s="401">
        <v>0</v>
      </c>
      <c r="AU34" s="401">
        <v>0</v>
      </c>
      <c r="AV34" s="401">
        <v>0</v>
      </c>
      <c r="AW34" s="401">
        <v>0</v>
      </c>
      <c r="AX34" s="401">
        <v>0</v>
      </c>
      <c r="AY34" s="401">
        <v>0</v>
      </c>
      <c r="AZ34" s="401">
        <v>0</v>
      </c>
      <c r="BA34" s="401">
        <v>0</v>
      </c>
      <c r="BB34" s="401">
        <v>0</v>
      </c>
      <c r="BC34" s="401">
        <v>0</v>
      </c>
      <c r="BD34" s="401">
        <v>0</v>
      </c>
      <c r="BE34" s="401">
        <v>0</v>
      </c>
      <c r="BF34" s="401">
        <v>0</v>
      </c>
      <c r="BG34" s="426"/>
      <c r="BH34" s="403" t="s">
        <v>227</v>
      </c>
      <c r="BI34" s="404">
        <v>46011</v>
      </c>
      <c r="BJ34" s="405">
        <v>504.9</v>
      </c>
      <c r="BK34" s="425"/>
      <c r="BL34" s="406"/>
      <c r="BM34" s="409" t="s">
        <v>118</v>
      </c>
      <c r="BN34" s="408" t="s">
        <v>386</v>
      </c>
      <c r="BO34" s="409"/>
      <c r="BP34" s="409"/>
      <c r="BQ34" s="409">
        <v>46022</v>
      </c>
      <c r="BR34" s="410"/>
      <c r="BS34" s="409"/>
      <c r="BT34" s="409"/>
      <c r="BU34" s="411"/>
      <c r="BV34" s="412"/>
      <c r="BW34" s="413"/>
      <c r="BX34" s="409"/>
      <c r="BY34" s="409"/>
      <c r="BZ34" s="413"/>
      <c r="CA34" s="413"/>
      <c r="CB34" s="413"/>
      <c r="CC34" s="411"/>
      <c r="CD34" s="414"/>
      <c r="CE34" s="415"/>
      <c r="CF34" s="416" t="s">
        <v>157</v>
      </c>
      <c r="CG34" s="416"/>
    </row>
    <row r="35" spans="1:85" s="417" customFormat="1" ht="15" customHeight="1">
      <c r="A35" s="393" t="s">
        <v>228</v>
      </c>
      <c r="B35" s="394" t="s">
        <v>111</v>
      </c>
      <c r="C35" s="395">
        <v>45658</v>
      </c>
      <c r="D35" s="396" t="s">
        <v>179</v>
      </c>
      <c r="E35" s="397" t="s">
        <v>113</v>
      </c>
      <c r="F35" s="397" t="s">
        <v>114</v>
      </c>
      <c r="G35" s="397" t="s">
        <v>229</v>
      </c>
      <c r="H35" s="397" t="s">
        <v>116</v>
      </c>
      <c r="I35" s="397" t="s">
        <v>214</v>
      </c>
      <c r="J35" s="397" t="s">
        <v>116</v>
      </c>
      <c r="K35" s="397" t="b">
        <v>0</v>
      </c>
      <c r="L35" s="397" t="s">
        <v>116</v>
      </c>
      <c r="M35" s="397" t="s">
        <v>116</v>
      </c>
      <c r="N35" s="397" t="s">
        <v>116</v>
      </c>
      <c r="O35" s="397" t="s">
        <v>118</v>
      </c>
      <c r="P35" s="397" t="s">
        <v>224</v>
      </c>
      <c r="Q35" s="397" t="s">
        <v>225</v>
      </c>
      <c r="R35" s="397" t="s">
        <v>116</v>
      </c>
      <c r="S35" s="397" t="s">
        <v>116</v>
      </c>
      <c r="T35" s="397" t="s">
        <v>116</v>
      </c>
      <c r="U35" s="397" t="s">
        <v>116</v>
      </c>
      <c r="V35" s="397" t="s">
        <v>116</v>
      </c>
      <c r="W35" s="397" t="s">
        <v>116</v>
      </c>
      <c r="X35" s="398" t="s">
        <v>230</v>
      </c>
      <c r="Y35" s="399">
        <v>105.92</v>
      </c>
      <c r="Z35" s="398" t="s">
        <v>123</v>
      </c>
      <c r="AA35" s="400">
        <v>1</v>
      </c>
      <c r="AB35" s="401">
        <v>0</v>
      </c>
      <c r="AC35" s="402"/>
      <c r="AD35" s="401">
        <v>2.12</v>
      </c>
      <c r="AE35" s="401">
        <v>0</v>
      </c>
      <c r="AF35" s="401">
        <v>0</v>
      </c>
      <c r="AG35" s="401">
        <v>0</v>
      </c>
      <c r="AH35" s="401">
        <v>0</v>
      </c>
      <c r="AI35" s="401">
        <v>0</v>
      </c>
      <c r="AJ35" s="401">
        <v>0</v>
      </c>
      <c r="AK35" s="401">
        <v>0</v>
      </c>
      <c r="AL35" s="401">
        <v>0</v>
      </c>
      <c r="AM35" s="401">
        <v>0</v>
      </c>
      <c r="AN35" s="401">
        <v>0</v>
      </c>
      <c r="AO35" s="401">
        <v>0</v>
      </c>
      <c r="AP35" s="401">
        <v>0</v>
      </c>
      <c r="AQ35" s="401">
        <v>0</v>
      </c>
      <c r="AR35" s="401">
        <v>0</v>
      </c>
      <c r="AS35" s="401">
        <v>0</v>
      </c>
      <c r="AT35" s="401">
        <v>0</v>
      </c>
      <c r="AU35" s="401">
        <v>0</v>
      </c>
      <c r="AV35" s="401">
        <v>0</v>
      </c>
      <c r="AW35" s="401">
        <v>0</v>
      </c>
      <c r="AX35" s="401">
        <v>0</v>
      </c>
      <c r="AY35" s="401">
        <v>0</v>
      </c>
      <c r="AZ35" s="401">
        <v>0</v>
      </c>
      <c r="BA35" s="401">
        <v>0</v>
      </c>
      <c r="BB35" s="401">
        <v>0</v>
      </c>
      <c r="BC35" s="401">
        <v>0</v>
      </c>
      <c r="BD35" s="401">
        <v>0</v>
      </c>
      <c r="BE35" s="401">
        <v>0</v>
      </c>
      <c r="BF35" s="401">
        <v>0</v>
      </c>
      <c r="BG35" s="426"/>
      <c r="BH35" s="403" t="s">
        <v>231</v>
      </c>
      <c r="BI35" s="404">
        <v>45998</v>
      </c>
      <c r="BJ35" s="405">
        <v>233.1</v>
      </c>
      <c r="BK35" s="425"/>
      <c r="BL35" s="406"/>
      <c r="BM35" s="409" t="s">
        <v>118</v>
      </c>
      <c r="BN35" s="408" t="s">
        <v>386</v>
      </c>
      <c r="BO35" s="409"/>
      <c r="BP35" s="409"/>
      <c r="BQ35" s="409">
        <v>46022</v>
      </c>
      <c r="BR35" s="410"/>
      <c r="BS35" s="409"/>
      <c r="BT35" s="409"/>
      <c r="BU35" s="411"/>
      <c r="BV35" s="412"/>
      <c r="BW35" s="413"/>
      <c r="BX35" s="409"/>
      <c r="BY35" s="409"/>
      <c r="BZ35" s="413"/>
      <c r="CA35" s="413"/>
      <c r="CB35" s="413"/>
      <c r="CC35" s="411"/>
      <c r="CD35" s="414"/>
      <c r="CE35" s="415"/>
      <c r="CF35" s="416" t="s">
        <v>166</v>
      </c>
      <c r="CG35" s="416"/>
    </row>
    <row r="36" spans="1:85" s="417" customFormat="1" ht="15" customHeight="1">
      <c r="A36" s="418" t="s">
        <v>228</v>
      </c>
      <c r="B36" s="397" t="s">
        <v>111</v>
      </c>
      <c r="C36" s="419">
        <v>45658</v>
      </c>
      <c r="D36" s="420" t="s">
        <v>179</v>
      </c>
      <c r="E36" s="397" t="s">
        <v>113</v>
      </c>
      <c r="F36" s="420" t="s">
        <v>114</v>
      </c>
      <c r="G36" s="420" t="s">
        <v>229</v>
      </c>
      <c r="H36" s="420" t="s">
        <v>116</v>
      </c>
      <c r="I36" s="420" t="s">
        <v>214</v>
      </c>
      <c r="J36" s="421" t="s">
        <v>116</v>
      </c>
      <c r="K36" s="421" t="b">
        <v>0</v>
      </c>
      <c r="L36" s="421" t="s">
        <v>116</v>
      </c>
      <c r="M36" s="421" t="s">
        <v>116</v>
      </c>
      <c r="N36" s="421" t="s">
        <v>116</v>
      </c>
      <c r="O36" s="421" t="s">
        <v>118</v>
      </c>
      <c r="P36" s="420" t="s">
        <v>224</v>
      </c>
      <c r="Q36" s="420" t="s">
        <v>225</v>
      </c>
      <c r="R36" s="421" t="s">
        <v>116</v>
      </c>
      <c r="S36" s="421" t="s">
        <v>116</v>
      </c>
      <c r="T36" s="421" t="s">
        <v>116</v>
      </c>
      <c r="U36" s="421" t="s">
        <v>116</v>
      </c>
      <c r="V36" s="421" t="s">
        <v>116</v>
      </c>
      <c r="W36" s="421" t="s">
        <v>116</v>
      </c>
      <c r="X36" s="420" t="s">
        <v>230</v>
      </c>
      <c r="Y36" s="399">
        <v>105.92</v>
      </c>
      <c r="Z36" s="420" t="s">
        <v>123</v>
      </c>
      <c r="AA36" s="400">
        <v>1</v>
      </c>
      <c r="AB36" s="401">
        <v>0</v>
      </c>
      <c r="AC36" s="402"/>
      <c r="AD36" s="401">
        <v>2.12</v>
      </c>
      <c r="AE36" s="401">
        <v>0</v>
      </c>
      <c r="AF36" s="401">
        <v>0</v>
      </c>
      <c r="AG36" s="401">
        <v>0</v>
      </c>
      <c r="AH36" s="401">
        <v>0</v>
      </c>
      <c r="AI36" s="401">
        <v>0</v>
      </c>
      <c r="AJ36" s="401">
        <v>0</v>
      </c>
      <c r="AK36" s="401">
        <v>0</v>
      </c>
      <c r="AL36" s="401">
        <v>0</v>
      </c>
      <c r="AM36" s="401">
        <v>0</v>
      </c>
      <c r="AN36" s="401">
        <v>0</v>
      </c>
      <c r="AO36" s="401">
        <v>0</v>
      </c>
      <c r="AP36" s="401">
        <v>0</v>
      </c>
      <c r="AQ36" s="401">
        <v>0</v>
      </c>
      <c r="AR36" s="401">
        <v>0</v>
      </c>
      <c r="AS36" s="401">
        <v>0</v>
      </c>
      <c r="AT36" s="401">
        <v>0</v>
      </c>
      <c r="AU36" s="401">
        <v>0</v>
      </c>
      <c r="AV36" s="401">
        <v>0</v>
      </c>
      <c r="AW36" s="401">
        <v>0</v>
      </c>
      <c r="AX36" s="401">
        <v>0</v>
      </c>
      <c r="AY36" s="401">
        <v>0</v>
      </c>
      <c r="AZ36" s="401">
        <v>0</v>
      </c>
      <c r="BA36" s="401">
        <v>0</v>
      </c>
      <c r="BB36" s="401">
        <v>0</v>
      </c>
      <c r="BC36" s="401">
        <v>0</v>
      </c>
      <c r="BD36" s="401">
        <v>0</v>
      </c>
      <c r="BE36" s="401">
        <v>0</v>
      </c>
      <c r="BF36" s="401">
        <v>0</v>
      </c>
      <c r="BG36" s="426"/>
      <c r="BH36" s="403" t="s">
        <v>232</v>
      </c>
      <c r="BI36" s="404">
        <v>46022</v>
      </c>
      <c r="BJ36" s="405">
        <v>-95.24</v>
      </c>
      <c r="BK36" s="406"/>
      <c r="BL36" s="406"/>
      <c r="BM36" s="409" t="s">
        <v>118</v>
      </c>
      <c r="BN36" s="408" t="s">
        <v>386</v>
      </c>
      <c r="BO36" s="409"/>
      <c r="BP36" s="409"/>
      <c r="BQ36" s="409">
        <v>46022</v>
      </c>
      <c r="BR36" s="410"/>
      <c r="BS36" s="409"/>
      <c r="BT36" s="409"/>
      <c r="BU36" s="411"/>
      <c r="BV36" s="412"/>
      <c r="BW36" s="413"/>
      <c r="BX36" s="409"/>
      <c r="BY36" s="409"/>
      <c r="BZ36" s="413"/>
      <c r="CA36" s="413"/>
      <c r="CB36" s="413"/>
      <c r="CC36" s="411"/>
      <c r="CD36" s="414"/>
      <c r="CE36" s="415"/>
      <c r="CF36" s="416" t="s">
        <v>166</v>
      </c>
      <c r="CG36" s="416"/>
    </row>
    <row r="37" spans="1:85" s="417" customFormat="1" ht="15" customHeight="1">
      <c r="A37" s="393" t="s">
        <v>233</v>
      </c>
      <c r="B37" s="394" t="s">
        <v>111</v>
      </c>
      <c r="C37" s="395">
        <v>45658</v>
      </c>
      <c r="D37" s="396" t="s">
        <v>179</v>
      </c>
      <c r="E37" s="397" t="s">
        <v>113</v>
      </c>
      <c r="F37" s="397" t="s">
        <v>114</v>
      </c>
      <c r="G37" s="397" t="s">
        <v>229</v>
      </c>
      <c r="H37" s="397" t="s">
        <v>116</v>
      </c>
      <c r="I37" s="397" t="s">
        <v>214</v>
      </c>
      <c r="J37" s="397" t="s">
        <v>116</v>
      </c>
      <c r="K37" s="397" t="b">
        <v>0</v>
      </c>
      <c r="L37" s="397" t="s">
        <v>116</v>
      </c>
      <c r="M37" s="397" t="s">
        <v>116</v>
      </c>
      <c r="N37" s="397" t="s">
        <v>116</v>
      </c>
      <c r="O37" s="397" t="s">
        <v>118</v>
      </c>
      <c r="P37" s="397" t="s">
        <v>224</v>
      </c>
      <c r="Q37" s="397" t="s">
        <v>225</v>
      </c>
      <c r="R37" s="397" t="s">
        <v>116</v>
      </c>
      <c r="S37" s="397" t="s">
        <v>116</v>
      </c>
      <c r="T37" s="397" t="s">
        <v>116</v>
      </c>
      <c r="U37" s="397" t="s">
        <v>116</v>
      </c>
      <c r="V37" s="397" t="s">
        <v>116</v>
      </c>
      <c r="W37" s="397" t="s">
        <v>116</v>
      </c>
      <c r="X37" s="398" t="s">
        <v>234</v>
      </c>
      <c r="Y37" s="399">
        <v>121.81</v>
      </c>
      <c r="Z37" s="398" t="s">
        <v>123</v>
      </c>
      <c r="AA37" s="400">
        <v>1</v>
      </c>
      <c r="AB37" s="401">
        <v>0</v>
      </c>
      <c r="AC37" s="402"/>
      <c r="AD37" s="401">
        <v>2.4300000000000002</v>
      </c>
      <c r="AE37" s="401">
        <v>0</v>
      </c>
      <c r="AF37" s="401">
        <v>0</v>
      </c>
      <c r="AG37" s="401">
        <v>0</v>
      </c>
      <c r="AH37" s="401">
        <v>0</v>
      </c>
      <c r="AI37" s="401">
        <v>0</v>
      </c>
      <c r="AJ37" s="401">
        <v>0</v>
      </c>
      <c r="AK37" s="401">
        <v>0</v>
      </c>
      <c r="AL37" s="401">
        <v>0</v>
      </c>
      <c r="AM37" s="401">
        <v>0</v>
      </c>
      <c r="AN37" s="401">
        <v>0</v>
      </c>
      <c r="AO37" s="401">
        <v>0</v>
      </c>
      <c r="AP37" s="401">
        <v>0</v>
      </c>
      <c r="AQ37" s="401">
        <v>0</v>
      </c>
      <c r="AR37" s="401">
        <v>0</v>
      </c>
      <c r="AS37" s="401">
        <v>0</v>
      </c>
      <c r="AT37" s="401">
        <v>0</v>
      </c>
      <c r="AU37" s="401">
        <v>0</v>
      </c>
      <c r="AV37" s="401">
        <v>0</v>
      </c>
      <c r="AW37" s="401">
        <v>0</v>
      </c>
      <c r="AX37" s="401">
        <v>0</v>
      </c>
      <c r="AY37" s="401">
        <v>0</v>
      </c>
      <c r="AZ37" s="401">
        <v>0</v>
      </c>
      <c r="BA37" s="401">
        <v>0</v>
      </c>
      <c r="BB37" s="401">
        <v>0</v>
      </c>
      <c r="BC37" s="401">
        <v>0</v>
      </c>
      <c r="BD37" s="401">
        <v>0</v>
      </c>
      <c r="BE37" s="401">
        <v>0</v>
      </c>
      <c r="BF37" s="401">
        <v>0</v>
      </c>
      <c r="BG37" s="426"/>
      <c r="BH37" s="403" t="s">
        <v>232</v>
      </c>
      <c r="BI37" s="404">
        <v>45998</v>
      </c>
      <c r="BJ37" s="405">
        <v>233.1</v>
      </c>
      <c r="BK37" s="425"/>
      <c r="BL37" s="406"/>
      <c r="BM37" s="409" t="s">
        <v>118</v>
      </c>
      <c r="BN37" s="408" t="s">
        <v>386</v>
      </c>
      <c r="BO37" s="409"/>
      <c r="BP37" s="409"/>
      <c r="BQ37" s="409">
        <v>46022</v>
      </c>
      <c r="BR37" s="410"/>
      <c r="BS37" s="409"/>
      <c r="BT37" s="409"/>
      <c r="BU37" s="411"/>
      <c r="BV37" s="412"/>
      <c r="BW37" s="413"/>
      <c r="BX37" s="409"/>
      <c r="BY37" s="409"/>
      <c r="BZ37" s="413"/>
      <c r="CA37" s="413"/>
      <c r="CB37" s="413"/>
      <c r="CC37" s="411"/>
      <c r="CD37" s="414"/>
      <c r="CE37" s="415"/>
      <c r="CF37" s="416" t="s">
        <v>166</v>
      </c>
      <c r="CG37" s="416"/>
    </row>
    <row r="38" spans="1:85" s="417" customFormat="1" ht="15" customHeight="1">
      <c r="A38" s="418" t="s">
        <v>233</v>
      </c>
      <c r="B38" s="397" t="s">
        <v>111</v>
      </c>
      <c r="C38" s="419">
        <v>45658</v>
      </c>
      <c r="D38" s="420" t="s">
        <v>179</v>
      </c>
      <c r="E38" s="397" t="s">
        <v>113</v>
      </c>
      <c r="F38" s="420" t="s">
        <v>114</v>
      </c>
      <c r="G38" s="420" t="s">
        <v>229</v>
      </c>
      <c r="H38" s="420" t="s">
        <v>116</v>
      </c>
      <c r="I38" s="420" t="s">
        <v>214</v>
      </c>
      <c r="J38" s="421" t="s">
        <v>116</v>
      </c>
      <c r="K38" s="421" t="b">
        <v>0</v>
      </c>
      <c r="L38" s="421" t="s">
        <v>116</v>
      </c>
      <c r="M38" s="421" t="s">
        <v>116</v>
      </c>
      <c r="N38" s="421" t="s">
        <v>116</v>
      </c>
      <c r="O38" s="421" t="s">
        <v>118</v>
      </c>
      <c r="P38" s="420" t="s">
        <v>224</v>
      </c>
      <c r="Q38" s="420" t="s">
        <v>225</v>
      </c>
      <c r="R38" s="421" t="s">
        <v>116</v>
      </c>
      <c r="S38" s="421" t="s">
        <v>116</v>
      </c>
      <c r="T38" s="421" t="s">
        <v>116</v>
      </c>
      <c r="U38" s="421" t="s">
        <v>116</v>
      </c>
      <c r="V38" s="421" t="s">
        <v>116</v>
      </c>
      <c r="W38" s="421" t="s">
        <v>116</v>
      </c>
      <c r="X38" s="420" t="s">
        <v>234</v>
      </c>
      <c r="Y38" s="399">
        <v>121.81</v>
      </c>
      <c r="Z38" s="420" t="s">
        <v>123</v>
      </c>
      <c r="AA38" s="400">
        <v>1</v>
      </c>
      <c r="AB38" s="401">
        <v>0</v>
      </c>
      <c r="AC38" s="402"/>
      <c r="AD38" s="401">
        <v>2.4300000000000002</v>
      </c>
      <c r="AE38" s="401">
        <v>0</v>
      </c>
      <c r="AF38" s="401">
        <v>0</v>
      </c>
      <c r="AG38" s="401">
        <v>0</v>
      </c>
      <c r="AH38" s="401">
        <v>0</v>
      </c>
      <c r="AI38" s="401">
        <v>0</v>
      </c>
      <c r="AJ38" s="401">
        <v>0</v>
      </c>
      <c r="AK38" s="401">
        <v>0</v>
      </c>
      <c r="AL38" s="401">
        <v>0</v>
      </c>
      <c r="AM38" s="401">
        <v>0</v>
      </c>
      <c r="AN38" s="401">
        <v>0</v>
      </c>
      <c r="AO38" s="401">
        <v>0</v>
      </c>
      <c r="AP38" s="401">
        <v>0</v>
      </c>
      <c r="AQ38" s="401">
        <v>0</v>
      </c>
      <c r="AR38" s="401">
        <v>0</v>
      </c>
      <c r="AS38" s="401">
        <v>0</v>
      </c>
      <c r="AT38" s="401">
        <v>0</v>
      </c>
      <c r="AU38" s="401">
        <v>0</v>
      </c>
      <c r="AV38" s="401">
        <v>0</v>
      </c>
      <c r="AW38" s="401">
        <v>0</v>
      </c>
      <c r="AX38" s="401">
        <v>0</v>
      </c>
      <c r="AY38" s="401">
        <v>0</v>
      </c>
      <c r="AZ38" s="401">
        <v>0</v>
      </c>
      <c r="BA38" s="401">
        <v>0</v>
      </c>
      <c r="BB38" s="401">
        <v>0</v>
      </c>
      <c r="BC38" s="401">
        <v>0</v>
      </c>
      <c r="BD38" s="401">
        <v>0</v>
      </c>
      <c r="BE38" s="401">
        <v>0</v>
      </c>
      <c r="BF38" s="401">
        <v>0</v>
      </c>
      <c r="BG38" s="426"/>
      <c r="BH38" s="403" t="s">
        <v>235</v>
      </c>
      <c r="BI38" s="404">
        <v>46022</v>
      </c>
      <c r="BJ38" s="405">
        <v>-95.24</v>
      </c>
      <c r="BK38" s="406"/>
      <c r="BL38" s="406"/>
      <c r="BM38" s="409" t="s">
        <v>118</v>
      </c>
      <c r="BN38" s="408" t="s">
        <v>386</v>
      </c>
      <c r="BO38" s="409"/>
      <c r="BP38" s="409"/>
      <c r="BQ38" s="409">
        <v>46022</v>
      </c>
      <c r="BR38" s="410"/>
      <c r="BS38" s="409"/>
      <c r="BT38" s="409"/>
      <c r="BU38" s="411"/>
      <c r="BV38" s="412"/>
      <c r="BW38" s="413"/>
      <c r="BX38" s="409"/>
      <c r="BY38" s="409"/>
      <c r="BZ38" s="413"/>
      <c r="CA38" s="413"/>
      <c r="CB38" s="413"/>
      <c r="CC38" s="411"/>
      <c r="CD38" s="414"/>
      <c r="CE38" s="415"/>
      <c r="CF38" s="416" t="s">
        <v>166</v>
      </c>
      <c r="CG38" s="416"/>
    </row>
    <row r="39" spans="1:85" s="417" customFormat="1" ht="15" customHeight="1">
      <c r="A39" s="393" t="s">
        <v>236</v>
      </c>
      <c r="B39" s="394" t="s">
        <v>111</v>
      </c>
      <c r="C39" s="395">
        <v>45658</v>
      </c>
      <c r="D39" s="396" t="s">
        <v>179</v>
      </c>
      <c r="E39" s="397" t="s">
        <v>113</v>
      </c>
      <c r="F39" s="397" t="s">
        <v>114</v>
      </c>
      <c r="G39" s="397" t="s">
        <v>237</v>
      </c>
      <c r="H39" s="397" t="s">
        <v>116</v>
      </c>
      <c r="I39" s="397" t="s">
        <v>214</v>
      </c>
      <c r="J39" s="397" t="s">
        <v>116</v>
      </c>
      <c r="K39" s="397" t="b">
        <v>0</v>
      </c>
      <c r="L39" s="397" t="s">
        <v>116</v>
      </c>
      <c r="M39" s="397" t="s">
        <v>116</v>
      </c>
      <c r="N39" s="397" t="s">
        <v>116</v>
      </c>
      <c r="O39" s="397" t="s">
        <v>118</v>
      </c>
      <c r="P39" s="397" t="s">
        <v>224</v>
      </c>
      <c r="Q39" s="397" t="s">
        <v>225</v>
      </c>
      <c r="R39" s="397" t="s">
        <v>116</v>
      </c>
      <c r="S39" s="397" t="s">
        <v>116</v>
      </c>
      <c r="T39" s="397" t="s">
        <v>116</v>
      </c>
      <c r="U39" s="397" t="s">
        <v>116</v>
      </c>
      <c r="V39" s="397" t="s">
        <v>116</v>
      </c>
      <c r="W39" s="397" t="s">
        <v>116</v>
      </c>
      <c r="X39" s="398" t="s">
        <v>238</v>
      </c>
      <c r="Y39" s="399">
        <v>137.28</v>
      </c>
      <c r="Z39" s="398" t="s">
        <v>123</v>
      </c>
      <c r="AA39" s="400">
        <v>1</v>
      </c>
      <c r="AB39" s="401">
        <v>0</v>
      </c>
      <c r="AC39" s="402"/>
      <c r="AD39" s="401">
        <v>2.75</v>
      </c>
      <c r="AE39" s="401">
        <v>0</v>
      </c>
      <c r="AF39" s="401">
        <v>0</v>
      </c>
      <c r="AG39" s="401">
        <v>0</v>
      </c>
      <c r="AH39" s="401">
        <v>0</v>
      </c>
      <c r="AI39" s="401">
        <v>0</v>
      </c>
      <c r="AJ39" s="401">
        <v>0</v>
      </c>
      <c r="AK39" s="401">
        <v>0</v>
      </c>
      <c r="AL39" s="401">
        <v>0</v>
      </c>
      <c r="AM39" s="401">
        <v>0</v>
      </c>
      <c r="AN39" s="401">
        <v>0</v>
      </c>
      <c r="AO39" s="401">
        <v>0</v>
      </c>
      <c r="AP39" s="401">
        <v>0</v>
      </c>
      <c r="AQ39" s="401">
        <v>0</v>
      </c>
      <c r="AR39" s="401">
        <v>0</v>
      </c>
      <c r="AS39" s="401">
        <v>0</v>
      </c>
      <c r="AT39" s="401">
        <v>0</v>
      </c>
      <c r="AU39" s="401">
        <v>0</v>
      </c>
      <c r="AV39" s="401">
        <v>0</v>
      </c>
      <c r="AW39" s="401">
        <v>0</v>
      </c>
      <c r="AX39" s="401">
        <v>0</v>
      </c>
      <c r="AY39" s="401">
        <v>0</v>
      </c>
      <c r="AZ39" s="401">
        <v>0</v>
      </c>
      <c r="BA39" s="401">
        <v>0</v>
      </c>
      <c r="BB39" s="401">
        <v>0</v>
      </c>
      <c r="BC39" s="401">
        <v>0</v>
      </c>
      <c r="BD39" s="401">
        <v>0</v>
      </c>
      <c r="BE39" s="401">
        <v>0</v>
      </c>
      <c r="BF39" s="401">
        <v>0</v>
      </c>
      <c r="BG39" s="426"/>
      <c r="BH39" s="403" t="s">
        <v>232</v>
      </c>
      <c r="BI39" s="404">
        <v>46011</v>
      </c>
      <c r="BJ39" s="405">
        <v>504.9</v>
      </c>
      <c r="BK39" s="425"/>
      <c r="BL39" s="406"/>
      <c r="BM39" s="409" t="s">
        <v>118</v>
      </c>
      <c r="BN39" s="408" t="s">
        <v>386</v>
      </c>
      <c r="BO39" s="409"/>
      <c r="BP39" s="409"/>
      <c r="BQ39" s="409">
        <v>46022</v>
      </c>
      <c r="BR39" s="410"/>
      <c r="BS39" s="409"/>
      <c r="BT39" s="409"/>
      <c r="BU39" s="411"/>
      <c r="BV39" s="412"/>
      <c r="BW39" s="413"/>
      <c r="BX39" s="409"/>
      <c r="BY39" s="409"/>
      <c r="BZ39" s="413"/>
      <c r="CA39" s="413"/>
      <c r="CB39" s="413"/>
      <c r="CC39" s="411"/>
      <c r="CD39" s="414"/>
      <c r="CE39" s="415"/>
      <c r="CF39" s="416" t="s">
        <v>166</v>
      </c>
      <c r="CG39" s="416"/>
    </row>
    <row r="40" spans="1:85" s="417" customFormat="1" ht="15" customHeight="1">
      <c r="A40" s="393" t="s">
        <v>239</v>
      </c>
      <c r="B40" s="394" t="s">
        <v>111</v>
      </c>
      <c r="C40" s="395">
        <v>45658</v>
      </c>
      <c r="D40" s="396" t="s">
        <v>179</v>
      </c>
      <c r="E40" s="397" t="s">
        <v>113</v>
      </c>
      <c r="F40" s="397" t="s">
        <v>114</v>
      </c>
      <c r="G40" s="397" t="s">
        <v>237</v>
      </c>
      <c r="H40" s="397" t="s">
        <v>116</v>
      </c>
      <c r="I40" s="397" t="s">
        <v>214</v>
      </c>
      <c r="J40" s="397" t="s">
        <v>116</v>
      </c>
      <c r="K40" s="397" t="b">
        <v>0</v>
      </c>
      <c r="L40" s="397" t="s">
        <v>116</v>
      </c>
      <c r="M40" s="397" t="s">
        <v>116</v>
      </c>
      <c r="N40" s="397" t="s">
        <v>116</v>
      </c>
      <c r="O40" s="397" t="s">
        <v>118</v>
      </c>
      <c r="P40" s="397" t="s">
        <v>224</v>
      </c>
      <c r="Q40" s="397" t="s">
        <v>225</v>
      </c>
      <c r="R40" s="397" t="s">
        <v>116</v>
      </c>
      <c r="S40" s="397" t="s">
        <v>116</v>
      </c>
      <c r="T40" s="397" t="s">
        <v>116</v>
      </c>
      <c r="U40" s="397" t="s">
        <v>116</v>
      </c>
      <c r="V40" s="397" t="s">
        <v>116</v>
      </c>
      <c r="W40" s="397" t="s">
        <v>116</v>
      </c>
      <c r="X40" s="398" t="s">
        <v>240</v>
      </c>
      <c r="Y40" s="399">
        <v>161.03</v>
      </c>
      <c r="Z40" s="398" t="s">
        <v>123</v>
      </c>
      <c r="AA40" s="400">
        <v>1</v>
      </c>
      <c r="AB40" s="401">
        <v>0</v>
      </c>
      <c r="AC40" s="402"/>
      <c r="AD40" s="401">
        <v>3.22</v>
      </c>
      <c r="AE40" s="401">
        <v>0</v>
      </c>
      <c r="AF40" s="401">
        <v>0</v>
      </c>
      <c r="AG40" s="401">
        <v>0</v>
      </c>
      <c r="AH40" s="401">
        <v>0</v>
      </c>
      <c r="AI40" s="401">
        <v>0</v>
      </c>
      <c r="AJ40" s="401">
        <v>0</v>
      </c>
      <c r="AK40" s="401">
        <v>0</v>
      </c>
      <c r="AL40" s="401">
        <v>0</v>
      </c>
      <c r="AM40" s="401">
        <v>0</v>
      </c>
      <c r="AN40" s="401">
        <v>0</v>
      </c>
      <c r="AO40" s="401">
        <v>0</v>
      </c>
      <c r="AP40" s="401">
        <v>0</v>
      </c>
      <c r="AQ40" s="401">
        <v>0</v>
      </c>
      <c r="AR40" s="401">
        <v>0</v>
      </c>
      <c r="AS40" s="401">
        <v>0</v>
      </c>
      <c r="AT40" s="401">
        <v>0</v>
      </c>
      <c r="AU40" s="401">
        <v>0</v>
      </c>
      <c r="AV40" s="401">
        <v>0</v>
      </c>
      <c r="AW40" s="401">
        <v>0</v>
      </c>
      <c r="AX40" s="401">
        <v>0</v>
      </c>
      <c r="AY40" s="401">
        <v>0</v>
      </c>
      <c r="AZ40" s="401">
        <v>0</v>
      </c>
      <c r="BA40" s="401">
        <v>0</v>
      </c>
      <c r="BB40" s="401">
        <v>0</v>
      </c>
      <c r="BC40" s="401">
        <v>0</v>
      </c>
      <c r="BD40" s="401">
        <v>0</v>
      </c>
      <c r="BE40" s="401">
        <v>0</v>
      </c>
      <c r="BF40" s="401">
        <v>0</v>
      </c>
      <c r="BG40" s="426"/>
      <c r="BH40" s="403" t="s">
        <v>235</v>
      </c>
      <c r="BI40" s="404">
        <v>46011</v>
      </c>
      <c r="BJ40" s="405">
        <v>504.9</v>
      </c>
      <c r="BK40" s="425"/>
      <c r="BL40" s="406"/>
      <c r="BM40" s="409" t="s">
        <v>118</v>
      </c>
      <c r="BN40" s="408" t="s">
        <v>386</v>
      </c>
      <c r="BO40" s="409"/>
      <c r="BP40" s="409"/>
      <c r="BQ40" s="409">
        <v>46022</v>
      </c>
      <c r="BR40" s="410"/>
      <c r="BS40" s="409"/>
      <c r="BT40" s="409"/>
      <c r="BU40" s="411"/>
      <c r="BV40" s="412"/>
      <c r="BW40" s="413"/>
      <c r="BX40" s="409"/>
      <c r="BY40" s="409"/>
      <c r="BZ40" s="413"/>
      <c r="CA40" s="413"/>
      <c r="CB40" s="413"/>
      <c r="CC40" s="411"/>
      <c r="CD40" s="414"/>
      <c r="CE40" s="415"/>
      <c r="CF40" s="416" t="s">
        <v>166</v>
      </c>
      <c r="CG40" s="416"/>
    </row>
    <row r="41" spans="1:85" s="417" customFormat="1" ht="15" customHeight="1">
      <c r="A41" s="393" t="s">
        <v>241</v>
      </c>
      <c r="B41" s="394" t="s">
        <v>111</v>
      </c>
      <c r="C41" s="395">
        <v>45505</v>
      </c>
      <c r="D41" s="396" t="s">
        <v>179</v>
      </c>
      <c r="E41" s="397" t="s">
        <v>113</v>
      </c>
      <c r="F41" s="397" t="s">
        <v>114</v>
      </c>
      <c r="G41" s="397" t="s">
        <v>153</v>
      </c>
      <c r="H41" s="397" t="s">
        <v>116</v>
      </c>
      <c r="I41" s="397" t="s">
        <v>223</v>
      </c>
      <c r="J41" s="397" t="s">
        <v>116</v>
      </c>
      <c r="K41" s="397" t="b">
        <v>0</v>
      </c>
      <c r="L41" s="397" t="s">
        <v>116</v>
      </c>
      <c r="M41" s="397" t="s">
        <v>116</v>
      </c>
      <c r="N41" s="397" t="s">
        <v>116</v>
      </c>
      <c r="O41" s="397" t="s">
        <v>118</v>
      </c>
      <c r="P41" s="397" t="s">
        <v>224</v>
      </c>
      <c r="Q41" s="397" t="s">
        <v>225</v>
      </c>
      <c r="R41" s="397" t="s">
        <v>116</v>
      </c>
      <c r="S41" s="397" t="s">
        <v>116</v>
      </c>
      <c r="T41" s="397" t="s">
        <v>116</v>
      </c>
      <c r="U41" s="397" t="s">
        <v>116</v>
      </c>
      <c r="V41" s="397" t="s">
        <v>116</v>
      </c>
      <c r="W41" s="397" t="s">
        <v>116</v>
      </c>
      <c r="X41" s="398" t="s">
        <v>242</v>
      </c>
      <c r="Y41" s="399">
        <v>90.01</v>
      </c>
      <c r="Z41" s="398" t="s">
        <v>123</v>
      </c>
      <c r="AA41" s="400">
        <v>1</v>
      </c>
      <c r="AB41" s="401">
        <v>0</v>
      </c>
      <c r="AC41" s="402"/>
      <c r="AD41" s="401">
        <v>3.6</v>
      </c>
      <c r="AE41" s="401">
        <v>0</v>
      </c>
      <c r="AF41" s="401">
        <v>0</v>
      </c>
      <c r="AG41" s="401">
        <v>0</v>
      </c>
      <c r="AH41" s="401">
        <v>0</v>
      </c>
      <c r="AI41" s="401">
        <v>0</v>
      </c>
      <c r="AJ41" s="401">
        <v>0</v>
      </c>
      <c r="AK41" s="401">
        <v>0</v>
      </c>
      <c r="AL41" s="401">
        <v>0</v>
      </c>
      <c r="AM41" s="401">
        <v>0</v>
      </c>
      <c r="AN41" s="401">
        <v>0</v>
      </c>
      <c r="AO41" s="401">
        <v>0</v>
      </c>
      <c r="AP41" s="401">
        <v>0</v>
      </c>
      <c r="AQ41" s="401">
        <v>0</v>
      </c>
      <c r="AR41" s="401">
        <v>0</v>
      </c>
      <c r="AS41" s="401">
        <v>0</v>
      </c>
      <c r="AT41" s="401">
        <v>0</v>
      </c>
      <c r="AU41" s="401">
        <v>0</v>
      </c>
      <c r="AV41" s="401">
        <v>0</v>
      </c>
      <c r="AW41" s="401">
        <v>0</v>
      </c>
      <c r="AX41" s="401">
        <v>0</v>
      </c>
      <c r="AY41" s="401">
        <v>0</v>
      </c>
      <c r="AZ41" s="401">
        <v>0</v>
      </c>
      <c r="BA41" s="401">
        <v>0</v>
      </c>
      <c r="BB41" s="401">
        <v>0</v>
      </c>
      <c r="BC41" s="401">
        <v>0</v>
      </c>
      <c r="BD41" s="401">
        <v>0</v>
      </c>
      <c r="BE41" s="401">
        <v>0</v>
      </c>
      <c r="BF41" s="401">
        <v>0</v>
      </c>
      <c r="BG41" s="426"/>
      <c r="BH41" s="403" t="s">
        <v>227</v>
      </c>
      <c r="BI41" s="404">
        <v>46011</v>
      </c>
      <c r="BJ41" s="405">
        <v>504.9</v>
      </c>
      <c r="BK41" s="425"/>
      <c r="BL41" s="406"/>
      <c r="BM41" s="409" t="s">
        <v>118</v>
      </c>
      <c r="BN41" s="408" t="s">
        <v>386</v>
      </c>
      <c r="BO41" s="409"/>
      <c r="BP41" s="409"/>
      <c r="BQ41" s="409">
        <v>46022</v>
      </c>
      <c r="BR41" s="410"/>
      <c r="BS41" s="409"/>
      <c r="BT41" s="409"/>
      <c r="BU41" s="411"/>
      <c r="BV41" s="412"/>
      <c r="BW41" s="413"/>
      <c r="BX41" s="409"/>
      <c r="BY41" s="409"/>
      <c r="BZ41" s="413"/>
      <c r="CA41" s="413"/>
      <c r="CB41" s="413"/>
      <c r="CC41" s="411"/>
      <c r="CD41" s="414"/>
      <c r="CE41" s="415"/>
      <c r="CF41" s="416" t="s">
        <v>157</v>
      </c>
      <c r="CG41" s="416"/>
    </row>
    <row r="42" spans="1:85" s="417" customFormat="1" ht="15" customHeight="1">
      <c r="A42" s="393" t="s">
        <v>243</v>
      </c>
      <c r="B42" s="394" t="s">
        <v>111</v>
      </c>
      <c r="C42" s="395">
        <v>45809</v>
      </c>
      <c r="D42" s="396" t="s">
        <v>179</v>
      </c>
      <c r="E42" s="397" t="s">
        <v>113</v>
      </c>
      <c r="F42" s="397" t="s">
        <v>114</v>
      </c>
      <c r="G42" s="397" t="s">
        <v>244</v>
      </c>
      <c r="H42" s="397" t="s">
        <v>116</v>
      </c>
      <c r="I42" s="397" t="s">
        <v>116</v>
      </c>
      <c r="J42" s="397" t="s">
        <v>116</v>
      </c>
      <c r="K42" s="397" t="b">
        <v>0</v>
      </c>
      <c r="L42" s="397" t="s">
        <v>116</v>
      </c>
      <c r="M42" s="397" t="s">
        <v>116</v>
      </c>
      <c r="N42" s="397" t="s">
        <v>116</v>
      </c>
      <c r="O42" s="397" t="s">
        <v>118</v>
      </c>
      <c r="P42" s="397" t="s">
        <v>224</v>
      </c>
      <c r="Q42" s="397" t="s">
        <v>245</v>
      </c>
      <c r="R42" s="397" t="s">
        <v>116</v>
      </c>
      <c r="S42" s="397" t="s">
        <v>116</v>
      </c>
      <c r="T42" s="397" t="s">
        <v>116</v>
      </c>
      <c r="U42" s="397" t="s">
        <v>116</v>
      </c>
      <c r="V42" s="397" t="s">
        <v>116</v>
      </c>
      <c r="W42" s="397" t="s">
        <v>116</v>
      </c>
      <c r="X42" s="398" t="s">
        <v>246</v>
      </c>
      <c r="Y42" s="399">
        <v>147.62</v>
      </c>
      <c r="Z42" s="398" t="s">
        <v>247</v>
      </c>
      <c r="AA42" s="400">
        <v>1</v>
      </c>
      <c r="AB42" s="401">
        <v>0</v>
      </c>
      <c r="AC42" s="402"/>
      <c r="AD42" s="401">
        <v>14.08</v>
      </c>
      <c r="AE42" s="401">
        <v>0</v>
      </c>
      <c r="AF42" s="401">
        <v>0</v>
      </c>
      <c r="AG42" s="401">
        <v>0</v>
      </c>
      <c r="AH42" s="401">
        <v>0</v>
      </c>
      <c r="AI42" s="401">
        <v>0</v>
      </c>
      <c r="AJ42" s="401">
        <v>0</v>
      </c>
      <c r="AK42" s="401">
        <v>0</v>
      </c>
      <c r="AL42" s="401">
        <v>0</v>
      </c>
      <c r="AM42" s="401">
        <v>0</v>
      </c>
      <c r="AN42" s="401">
        <v>0</v>
      </c>
      <c r="AO42" s="401">
        <v>0</v>
      </c>
      <c r="AP42" s="401">
        <v>0</v>
      </c>
      <c r="AQ42" s="401">
        <v>0</v>
      </c>
      <c r="AR42" s="401">
        <v>0</v>
      </c>
      <c r="AS42" s="401">
        <v>0</v>
      </c>
      <c r="AT42" s="401">
        <v>0</v>
      </c>
      <c r="AU42" s="401">
        <v>0</v>
      </c>
      <c r="AV42" s="401">
        <v>0</v>
      </c>
      <c r="AW42" s="401">
        <v>0</v>
      </c>
      <c r="AX42" s="401">
        <v>0</v>
      </c>
      <c r="AY42" s="401">
        <v>0</v>
      </c>
      <c r="AZ42" s="401">
        <v>0</v>
      </c>
      <c r="BA42" s="401">
        <v>0</v>
      </c>
      <c r="BB42" s="401">
        <v>0</v>
      </c>
      <c r="BC42" s="401">
        <v>0</v>
      </c>
      <c r="BD42" s="401">
        <v>0</v>
      </c>
      <c r="BE42" s="401">
        <v>0</v>
      </c>
      <c r="BF42" s="401">
        <v>0</v>
      </c>
      <c r="BG42" s="426"/>
      <c r="BH42" s="403" t="s">
        <v>248</v>
      </c>
      <c r="BI42" s="404">
        <v>46011</v>
      </c>
      <c r="BJ42" s="405">
        <v>504.9</v>
      </c>
      <c r="BK42" s="425"/>
      <c r="BL42" s="406"/>
      <c r="BM42" s="409" t="s">
        <v>118</v>
      </c>
      <c r="BN42" s="408" t="s">
        <v>386</v>
      </c>
      <c r="BO42" s="409"/>
      <c r="BP42" s="409"/>
      <c r="BQ42" s="409">
        <v>46022</v>
      </c>
      <c r="BR42" s="410"/>
      <c r="BS42" s="409"/>
      <c r="BT42" s="409"/>
      <c r="BU42" s="411"/>
      <c r="BV42" s="412"/>
      <c r="BW42" s="413"/>
      <c r="BX42" s="409"/>
      <c r="BY42" s="409"/>
      <c r="BZ42" s="413"/>
      <c r="CA42" s="413"/>
      <c r="CB42" s="413"/>
      <c r="CC42" s="411"/>
      <c r="CD42" s="414"/>
      <c r="CE42" s="415"/>
      <c r="CF42" s="416" t="s">
        <v>166</v>
      </c>
      <c r="CG42" s="416"/>
    </row>
    <row r="43" spans="1:85" s="417" customFormat="1" ht="15" customHeight="1">
      <c r="A43" s="393" t="s">
        <v>249</v>
      </c>
      <c r="B43" s="394" t="s">
        <v>111</v>
      </c>
      <c r="C43" s="395">
        <v>45658</v>
      </c>
      <c r="D43" s="396" t="s">
        <v>250</v>
      </c>
      <c r="E43" s="397" t="s">
        <v>113</v>
      </c>
      <c r="F43" s="397" t="s">
        <v>114</v>
      </c>
      <c r="G43" s="397" t="s">
        <v>115</v>
      </c>
      <c r="H43" s="397" t="s">
        <v>116</v>
      </c>
      <c r="I43" s="397" t="s">
        <v>116</v>
      </c>
      <c r="J43" s="397" t="s">
        <v>116</v>
      </c>
      <c r="K43" s="397" t="b">
        <v>0</v>
      </c>
      <c r="L43" s="397" t="s">
        <v>116</v>
      </c>
      <c r="M43" s="397" t="s">
        <v>116</v>
      </c>
      <c r="N43" s="397" t="s">
        <v>116</v>
      </c>
      <c r="O43" s="397" t="s">
        <v>118</v>
      </c>
      <c r="P43" s="397" t="s">
        <v>224</v>
      </c>
      <c r="Q43" s="397" t="s">
        <v>251</v>
      </c>
      <c r="R43" s="397" t="s">
        <v>116</v>
      </c>
      <c r="S43" s="397" t="s">
        <v>116</v>
      </c>
      <c r="T43" s="397" t="s">
        <v>116</v>
      </c>
      <c r="U43" s="397" t="s">
        <v>116</v>
      </c>
      <c r="V43" s="397" t="s">
        <v>116</v>
      </c>
      <c r="W43" s="397" t="s">
        <v>116</v>
      </c>
      <c r="X43" s="398" t="s">
        <v>252</v>
      </c>
      <c r="Y43" s="399" t="s">
        <v>116</v>
      </c>
      <c r="Z43" s="398" t="s">
        <v>116</v>
      </c>
      <c r="AA43" s="400">
        <v>1</v>
      </c>
      <c r="AB43" s="401">
        <v>0</v>
      </c>
      <c r="AC43" s="402"/>
      <c r="AD43" s="401">
        <v>4.08</v>
      </c>
      <c r="AE43" s="401">
        <v>0</v>
      </c>
      <c r="AF43" s="401">
        <v>0</v>
      </c>
      <c r="AG43" s="401">
        <v>0</v>
      </c>
      <c r="AH43" s="401">
        <v>0</v>
      </c>
      <c r="AI43" s="401">
        <v>0</v>
      </c>
      <c r="AJ43" s="401">
        <v>0</v>
      </c>
      <c r="AK43" s="401">
        <v>0</v>
      </c>
      <c r="AL43" s="401">
        <v>0</v>
      </c>
      <c r="AM43" s="401">
        <v>0</v>
      </c>
      <c r="AN43" s="401">
        <v>0</v>
      </c>
      <c r="AO43" s="401">
        <v>0</v>
      </c>
      <c r="AP43" s="401">
        <v>0</v>
      </c>
      <c r="AQ43" s="401">
        <v>0</v>
      </c>
      <c r="AR43" s="401">
        <v>0</v>
      </c>
      <c r="AS43" s="401">
        <v>0</v>
      </c>
      <c r="AT43" s="401">
        <v>0</v>
      </c>
      <c r="AU43" s="401">
        <v>0</v>
      </c>
      <c r="AV43" s="401">
        <v>0</v>
      </c>
      <c r="AW43" s="401">
        <v>0</v>
      </c>
      <c r="AX43" s="401">
        <v>0</v>
      </c>
      <c r="AY43" s="401">
        <v>0</v>
      </c>
      <c r="AZ43" s="401">
        <v>0</v>
      </c>
      <c r="BA43" s="401">
        <v>0</v>
      </c>
      <c r="BB43" s="401">
        <v>0</v>
      </c>
      <c r="BC43" s="401">
        <v>0</v>
      </c>
      <c r="BD43" s="401">
        <v>0</v>
      </c>
      <c r="BE43" s="401">
        <v>0</v>
      </c>
      <c r="BF43" s="401">
        <v>0</v>
      </c>
      <c r="BG43" s="426"/>
      <c r="BH43" s="403" t="s">
        <v>232</v>
      </c>
      <c r="BI43" s="404">
        <v>46004</v>
      </c>
      <c r="BJ43" s="405">
        <v>16.600000000000001</v>
      </c>
      <c r="BK43" s="406"/>
      <c r="BL43" s="406"/>
      <c r="BM43" s="409" t="s">
        <v>118</v>
      </c>
      <c r="BN43" s="408" t="s">
        <v>386</v>
      </c>
      <c r="BO43" s="409"/>
      <c r="BP43" s="409"/>
      <c r="BQ43" s="409">
        <v>46022</v>
      </c>
      <c r="BR43" s="410"/>
      <c r="BS43" s="409"/>
      <c r="BT43" s="409"/>
      <c r="BU43" s="411"/>
      <c r="BV43" s="412"/>
      <c r="BW43" s="413"/>
      <c r="BX43" s="409"/>
      <c r="BY43" s="409"/>
      <c r="BZ43" s="413"/>
      <c r="CA43" s="413"/>
      <c r="CB43" s="413"/>
      <c r="CC43" s="411"/>
      <c r="CD43" s="414"/>
      <c r="CE43" s="415"/>
      <c r="CF43" s="416" t="s">
        <v>166</v>
      </c>
      <c r="CG43" s="416"/>
    </row>
    <row r="44" spans="1:85" s="417" customFormat="1" ht="15" customHeight="1">
      <c r="A44" s="393" t="s">
        <v>253</v>
      </c>
      <c r="B44" s="394" t="s">
        <v>111</v>
      </c>
      <c r="C44" s="395">
        <v>45658</v>
      </c>
      <c r="D44" s="396" t="s">
        <v>250</v>
      </c>
      <c r="E44" s="397" t="s">
        <v>113</v>
      </c>
      <c r="F44" s="397" t="s">
        <v>114</v>
      </c>
      <c r="G44" s="397" t="s">
        <v>115</v>
      </c>
      <c r="H44" s="397" t="s">
        <v>116</v>
      </c>
      <c r="I44" s="397" t="s">
        <v>116</v>
      </c>
      <c r="J44" s="397" t="s">
        <v>116</v>
      </c>
      <c r="K44" s="397" t="b">
        <v>0</v>
      </c>
      <c r="L44" s="397" t="s">
        <v>116</v>
      </c>
      <c r="M44" s="397" t="s">
        <v>116</v>
      </c>
      <c r="N44" s="397" t="s">
        <v>116</v>
      </c>
      <c r="O44" s="397" t="s">
        <v>118</v>
      </c>
      <c r="P44" s="397" t="s">
        <v>224</v>
      </c>
      <c r="Q44" s="397" t="s">
        <v>251</v>
      </c>
      <c r="R44" s="397" t="s">
        <v>116</v>
      </c>
      <c r="S44" s="397" t="s">
        <v>116</v>
      </c>
      <c r="T44" s="397" t="s">
        <v>116</v>
      </c>
      <c r="U44" s="397" t="s">
        <v>116</v>
      </c>
      <c r="V44" s="397" t="s">
        <v>116</v>
      </c>
      <c r="W44" s="397" t="s">
        <v>116</v>
      </c>
      <c r="X44" s="398" t="s">
        <v>254</v>
      </c>
      <c r="Y44" s="399" t="s">
        <v>116</v>
      </c>
      <c r="Z44" s="398" t="s">
        <v>116</v>
      </c>
      <c r="AA44" s="400">
        <v>1</v>
      </c>
      <c r="AB44" s="401">
        <v>0</v>
      </c>
      <c r="AC44" s="402"/>
      <c r="AD44" s="401">
        <v>3</v>
      </c>
      <c r="AE44" s="401">
        <v>0</v>
      </c>
      <c r="AF44" s="401">
        <v>0</v>
      </c>
      <c r="AG44" s="401">
        <v>0</v>
      </c>
      <c r="AH44" s="401">
        <v>0</v>
      </c>
      <c r="AI44" s="401">
        <v>0</v>
      </c>
      <c r="AJ44" s="401">
        <v>0</v>
      </c>
      <c r="AK44" s="401">
        <v>0</v>
      </c>
      <c r="AL44" s="401">
        <v>0</v>
      </c>
      <c r="AM44" s="401">
        <v>0</v>
      </c>
      <c r="AN44" s="401">
        <v>0</v>
      </c>
      <c r="AO44" s="401">
        <v>0</v>
      </c>
      <c r="AP44" s="401">
        <v>0</v>
      </c>
      <c r="AQ44" s="401">
        <v>0</v>
      </c>
      <c r="AR44" s="401">
        <v>0</v>
      </c>
      <c r="AS44" s="401">
        <v>0</v>
      </c>
      <c r="AT44" s="401">
        <v>0</v>
      </c>
      <c r="AU44" s="401">
        <v>0</v>
      </c>
      <c r="AV44" s="401">
        <v>0</v>
      </c>
      <c r="AW44" s="401">
        <v>0</v>
      </c>
      <c r="AX44" s="401">
        <v>0</v>
      </c>
      <c r="AY44" s="401">
        <v>0</v>
      </c>
      <c r="AZ44" s="401">
        <v>0</v>
      </c>
      <c r="BA44" s="401">
        <v>0</v>
      </c>
      <c r="BB44" s="401">
        <v>0</v>
      </c>
      <c r="BC44" s="401">
        <v>0</v>
      </c>
      <c r="BD44" s="401">
        <v>0</v>
      </c>
      <c r="BE44" s="401">
        <v>0</v>
      </c>
      <c r="BF44" s="401">
        <v>0</v>
      </c>
      <c r="BG44" s="426"/>
      <c r="BH44" s="403" t="s">
        <v>232</v>
      </c>
      <c r="BI44" s="404">
        <v>46004</v>
      </c>
      <c r="BJ44" s="405">
        <v>16.600000000000001</v>
      </c>
      <c r="BK44" s="425"/>
      <c r="BL44" s="406"/>
      <c r="BM44" s="409" t="s">
        <v>118</v>
      </c>
      <c r="BN44" s="408" t="s">
        <v>386</v>
      </c>
      <c r="BO44" s="409"/>
      <c r="BP44" s="409"/>
      <c r="BQ44" s="409">
        <v>46022</v>
      </c>
      <c r="BR44" s="410"/>
      <c r="BS44" s="409"/>
      <c r="BT44" s="409"/>
      <c r="BU44" s="411"/>
      <c r="BV44" s="412"/>
      <c r="BW44" s="413"/>
      <c r="BX44" s="409"/>
      <c r="BY44" s="409"/>
      <c r="BZ44" s="413"/>
      <c r="CA44" s="413"/>
      <c r="CB44" s="413"/>
      <c r="CC44" s="411"/>
      <c r="CD44" s="414"/>
      <c r="CE44" s="415"/>
      <c r="CF44" s="416" t="s">
        <v>166</v>
      </c>
      <c r="CG44" s="416"/>
    </row>
    <row r="45" spans="1:85" s="417" customFormat="1" ht="15" customHeight="1">
      <c r="A45" s="418" t="s">
        <v>255</v>
      </c>
      <c r="B45" s="397" t="s">
        <v>111</v>
      </c>
      <c r="C45" s="419">
        <v>45839</v>
      </c>
      <c r="D45" s="420" t="s">
        <v>179</v>
      </c>
      <c r="E45" s="397" t="s">
        <v>113</v>
      </c>
      <c r="F45" s="420" t="s">
        <v>114</v>
      </c>
      <c r="G45" s="420"/>
      <c r="H45" s="420"/>
      <c r="I45" s="420"/>
      <c r="J45" s="421"/>
      <c r="K45" s="421"/>
      <c r="L45" s="421"/>
      <c r="M45" s="421"/>
      <c r="N45" s="397" t="s">
        <v>118</v>
      </c>
      <c r="O45" s="397" t="s">
        <v>256</v>
      </c>
      <c r="P45" s="397" t="s">
        <v>257</v>
      </c>
      <c r="Q45" s="420" t="s">
        <v>258</v>
      </c>
      <c r="R45" s="421"/>
      <c r="S45" s="421"/>
      <c r="T45" s="421"/>
      <c r="U45" s="421"/>
      <c r="V45" s="421"/>
      <c r="W45" s="421"/>
      <c r="X45" s="420" t="s">
        <v>259</v>
      </c>
      <c r="Y45" s="399"/>
      <c r="Z45" s="420"/>
      <c r="AA45" s="400">
        <v>1</v>
      </c>
      <c r="AB45" s="401">
        <v>0</v>
      </c>
      <c r="AC45" s="402"/>
      <c r="AD45" s="401">
        <v>10.07</v>
      </c>
      <c r="AE45" s="401">
        <v>0</v>
      </c>
      <c r="AF45" s="401">
        <v>0</v>
      </c>
      <c r="AG45" s="401">
        <v>0</v>
      </c>
      <c r="AH45" s="401">
        <v>0</v>
      </c>
      <c r="AI45" s="401">
        <v>0</v>
      </c>
      <c r="AJ45" s="401">
        <v>0</v>
      </c>
      <c r="AK45" s="401">
        <v>0</v>
      </c>
      <c r="AL45" s="401">
        <v>0</v>
      </c>
      <c r="AM45" s="401">
        <v>0</v>
      </c>
      <c r="AN45" s="401">
        <v>0</v>
      </c>
      <c r="AO45" s="401">
        <v>0</v>
      </c>
      <c r="AP45" s="401">
        <v>0</v>
      </c>
      <c r="AQ45" s="401">
        <v>0</v>
      </c>
      <c r="AR45" s="401">
        <v>0</v>
      </c>
      <c r="AS45" s="401">
        <v>0</v>
      </c>
      <c r="AT45" s="401">
        <v>0</v>
      </c>
      <c r="AU45" s="401">
        <v>0</v>
      </c>
      <c r="AV45" s="401">
        <v>0</v>
      </c>
      <c r="AW45" s="401">
        <v>0</v>
      </c>
      <c r="AX45" s="401">
        <v>0</v>
      </c>
      <c r="AY45" s="401">
        <v>0</v>
      </c>
      <c r="AZ45" s="401">
        <v>0</v>
      </c>
      <c r="BA45" s="401">
        <v>0</v>
      </c>
      <c r="BB45" s="401">
        <v>0</v>
      </c>
      <c r="BC45" s="401">
        <v>0</v>
      </c>
      <c r="BD45" s="401">
        <v>0</v>
      </c>
      <c r="BE45" s="401">
        <v>0</v>
      </c>
      <c r="BF45" s="401">
        <v>0</v>
      </c>
      <c r="BG45" s="426"/>
      <c r="BH45" s="403" t="s">
        <v>260</v>
      </c>
      <c r="BI45" s="404">
        <v>46022</v>
      </c>
      <c r="BJ45" s="405">
        <v>-95.24</v>
      </c>
      <c r="BK45" s="406"/>
      <c r="BL45" s="406"/>
      <c r="BM45" s="409" t="s">
        <v>118</v>
      </c>
      <c r="BN45" s="408" t="s">
        <v>386</v>
      </c>
      <c r="BO45" s="409"/>
      <c r="BP45" s="409"/>
      <c r="BQ45" s="409">
        <v>46022</v>
      </c>
      <c r="BR45" s="410"/>
      <c r="BS45" s="409"/>
      <c r="BT45" s="409"/>
      <c r="BU45" s="411"/>
      <c r="BV45" s="412"/>
      <c r="BW45" s="413"/>
      <c r="BX45" s="409"/>
      <c r="BY45" s="409"/>
      <c r="BZ45" s="413"/>
      <c r="CA45" s="413"/>
      <c r="CB45" s="413"/>
      <c r="CC45" s="411"/>
      <c r="CD45" s="414"/>
      <c r="CE45" s="415"/>
      <c r="CF45" s="416" t="s">
        <v>166</v>
      </c>
      <c r="CG45" s="416"/>
    </row>
    <row r="46" spans="1:85" s="417" customFormat="1" ht="15" customHeight="1">
      <c r="A46" s="393" t="s">
        <v>261</v>
      </c>
      <c r="B46" s="394" t="s">
        <v>111</v>
      </c>
      <c r="C46" s="395">
        <v>45839</v>
      </c>
      <c r="D46" s="396" t="s">
        <v>179</v>
      </c>
      <c r="E46" s="397" t="s">
        <v>113</v>
      </c>
      <c r="F46" s="397" t="s">
        <v>114</v>
      </c>
      <c r="G46" s="397"/>
      <c r="H46" s="397"/>
      <c r="I46" s="397"/>
      <c r="J46" s="397"/>
      <c r="K46" s="397"/>
      <c r="L46" s="397"/>
      <c r="M46" s="397"/>
      <c r="N46" s="397" t="s">
        <v>118</v>
      </c>
      <c r="O46" s="397" t="s">
        <v>256</v>
      </c>
      <c r="P46" s="397" t="s">
        <v>257</v>
      </c>
      <c r="Q46" s="397" t="s">
        <v>258</v>
      </c>
      <c r="R46" s="397"/>
      <c r="S46" s="397"/>
      <c r="T46" s="397"/>
      <c r="U46" s="397"/>
      <c r="V46" s="397"/>
      <c r="W46" s="397"/>
      <c r="X46" s="398" t="s">
        <v>262</v>
      </c>
      <c r="Y46" s="399"/>
      <c r="Z46" s="398"/>
      <c r="AA46" s="400">
        <v>1</v>
      </c>
      <c r="AB46" s="401">
        <v>0</v>
      </c>
      <c r="AC46" s="402"/>
      <c r="AD46" s="401">
        <v>11.99</v>
      </c>
      <c r="AE46" s="401">
        <v>0</v>
      </c>
      <c r="AF46" s="401">
        <v>0</v>
      </c>
      <c r="AG46" s="401">
        <v>0</v>
      </c>
      <c r="AH46" s="401">
        <v>0</v>
      </c>
      <c r="AI46" s="401">
        <v>0</v>
      </c>
      <c r="AJ46" s="401">
        <v>0</v>
      </c>
      <c r="AK46" s="401">
        <v>0</v>
      </c>
      <c r="AL46" s="401">
        <v>0</v>
      </c>
      <c r="AM46" s="401">
        <v>0</v>
      </c>
      <c r="AN46" s="401">
        <v>0</v>
      </c>
      <c r="AO46" s="401">
        <v>0</v>
      </c>
      <c r="AP46" s="401">
        <v>0</v>
      </c>
      <c r="AQ46" s="401">
        <v>0</v>
      </c>
      <c r="AR46" s="401">
        <v>0</v>
      </c>
      <c r="AS46" s="401">
        <v>0</v>
      </c>
      <c r="AT46" s="401">
        <v>0</v>
      </c>
      <c r="AU46" s="401">
        <v>0</v>
      </c>
      <c r="AV46" s="401">
        <v>0</v>
      </c>
      <c r="AW46" s="401">
        <v>0</v>
      </c>
      <c r="AX46" s="401">
        <v>0</v>
      </c>
      <c r="AY46" s="401">
        <v>0</v>
      </c>
      <c r="AZ46" s="401">
        <v>0</v>
      </c>
      <c r="BA46" s="401">
        <v>0</v>
      </c>
      <c r="BB46" s="401">
        <v>0</v>
      </c>
      <c r="BC46" s="401">
        <v>0</v>
      </c>
      <c r="BD46" s="401">
        <v>0</v>
      </c>
      <c r="BE46" s="401">
        <v>0</v>
      </c>
      <c r="BF46" s="401">
        <v>0</v>
      </c>
      <c r="BG46" s="426"/>
      <c r="BH46" s="403" t="s">
        <v>260</v>
      </c>
      <c r="BI46" s="404">
        <v>46022</v>
      </c>
      <c r="BJ46" s="405">
        <v>-95.24</v>
      </c>
      <c r="BK46" s="425"/>
      <c r="BL46" s="406"/>
      <c r="BM46" s="409" t="s">
        <v>118</v>
      </c>
      <c r="BN46" s="408" t="s">
        <v>386</v>
      </c>
      <c r="BO46" s="409"/>
      <c r="BP46" s="409"/>
      <c r="BQ46" s="409">
        <v>46022</v>
      </c>
      <c r="BR46" s="410"/>
      <c r="BS46" s="409"/>
      <c r="BT46" s="409"/>
      <c r="BU46" s="411"/>
      <c r="BV46" s="412"/>
      <c r="BW46" s="413"/>
      <c r="BX46" s="409"/>
      <c r="BY46" s="409"/>
      <c r="BZ46" s="413"/>
      <c r="CA46" s="413"/>
      <c r="CB46" s="413"/>
      <c r="CC46" s="411"/>
      <c r="CD46" s="414"/>
      <c r="CE46" s="415"/>
      <c r="CF46" s="416" t="s">
        <v>166</v>
      </c>
      <c r="CG46" s="416"/>
    </row>
    <row r="47" spans="1:85" s="417" customFormat="1" ht="15" customHeight="1">
      <c r="A47" s="427" t="s">
        <v>263</v>
      </c>
      <c r="B47" s="428" t="s">
        <v>111</v>
      </c>
      <c r="C47" s="429">
        <v>45809</v>
      </c>
      <c r="D47" s="430" t="s">
        <v>179</v>
      </c>
      <c r="E47" s="431" t="s">
        <v>113</v>
      </c>
      <c r="F47" s="431" t="s">
        <v>114</v>
      </c>
      <c r="G47" s="431" t="s">
        <v>130</v>
      </c>
      <c r="H47" s="431" t="s">
        <v>116</v>
      </c>
      <c r="I47" s="431" t="s">
        <v>116</v>
      </c>
      <c r="J47" s="432" t="s">
        <v>116</v>
      </c>
      <c r="K47" s="431" t="b">
        <v>0</v>
      </c>
      <c r="L47" s="431" t="s">
        <v>116</v>
      </c>
      <c r="M47" s="432" t="s">
        <v>116</v>
      </c>
      <c r="N47" s="431" t="s">
        <v>118</v>
      </c>
      <c r="O47" s="397" t="s">
        <v>256</v>
      </c>
      <c r="P47" s="397" t="s">
        <v>257</v>
      </c>
      <c r="Q47" s="433" t="s">
        <v>258</v>
      </c>
      <c r="R47" s="431" t="s">
        <v>116</v>
      </c>
      <c r="S47" s="431" t="s">
        <v>116</v>
      </c>
      <c r="T47" s="433" t="s">
        <v>116</v>
      </c>
      <c r="U47" s="433" t="s">
        <v>116</v>
      </c>
      <c r="V47" s="431" t="s">
        <v>116</v>
      </c>
      <c r="W47" s="433" t="s">
        <v>116</v>
      </c>
      <c r="X47" s="434" t="s">
        <v>264</v>
      </c>
      <c r="Y47" s="435">
        <v>147.62</v>
      </c>
      <c r="Z47" s="436" t="s">
        <v>123</v>
      </c>
      <c r="AA47" s="400">
        <v>1</v>
      </c>
      <c r="AB47" s="401">
        <v>0</v>
      </c>
      <c r="AC47" s="422"/>
      <c r="AD47" s="401">
        <v>2.95</v>
      </c>
      <c r="AE47" s="401">
        <v>0</v>
      </c>
      <c r="AF47" s="401">
        <v>0</v>
      </c>
      <c r="AG47" s="401">
        <v>0</v>
      </c>
      <c r="AH47" s="401">
        <v>0</v>
      </c>
      <c r="AI47" s="401">
        <v>0</v>
      </c>
      <c r="AJ47" s="401">
        <v>0</v>
      </c>
      <c r="AK47" s="401">
        <v>0</v>
      </c>
      <c r="AL47" s="401">
        <v>0</v>
      </c>
      <c r="AM47" s="401">
        <v>0</v>
      </c>
      <c r="AN47" s="401">
        <v>0</v>
      </c>
      <c r="AO47" s="401">
        <v>0</v>
      </c>
      <c r="AP47" s="401">
        <v>0</v>
      </c>
      <c r="AQ47" s="401">
        <v>0</v>
      </c>
      <c r="AR47" s="401">
        <v>0</v>
      </c>
      <c r="AS47" s="401">
        <v>0</v>
      </c>
      <c r="AT47" s="401">
        <v>0</v>
      </c>
      <c r="AU47" s="401">
        <v>0</v>
      </c>
      <c r="AV47" s="401">
        <v>0</v>
      </c>
      <c r="AW47" s="401">
        <v>0</v>
      </c>
      <c r="AX47" s="401">
        <v>0</v>
      </c>
      <c r="AY47" s="401">
        <v>0</v>
      </c>
      <c r="AZ47" s="401">
        <v>0</v>
      </c>
      <c r="BA47" s="401">
        <v>0</v>
      </c>
      <c r="BB47" s="401">
        <v>0</v>
      </c>
      <c r="BC47" s="401">
        <v>0</v>
      </c>
      <c r="BD47" s="401">
        <v>0</v>
      </c>
      <c r="BE47" s="401">
        <v>0</v>
      </c>
      <c r="BF47" s="401">
        <v>0</v>
      </c>
      <c r="BG47" s="423"/>
      <c r="BH47" s="424" t="s">
        <v>265</v>
      </c>
      <c r="BI47" s="404">
        <v>45998</v>
      </c>
      <c r="BJ47" s="405">
        <v>233.1</v>
      </c>
      <c r="BK47" s="425"/>
      <c r="BL47" s="406"/>
      <c r="BM47" s="409" t="s">
        <v>118</v>
      </c>
      <c r="BN47" s="408" t="s">
        <v>386</v>
      </c>
      <c r="BO47" s="409"/>
      <c r="BP47" s="409"/>
      <c r="BQ47" s="409">
        <v>46022</v>
      </c>
      <c r="BR47" s="410"/>
      <c r="BS47" s="409"/>
      <c r="BT47" s="409"/>
      <c r="BU47" s="411"/>
      <c r="BV47" s="412"/>
      <c r="BW47" s="413"/>
      <c r="BX47" s="409"/>
      <c r="BY47" s="409"/>
      <c r="BZ47" s="413"/>
      <c r="CA47" s="413"/>
      <c r="CB47" s="413"/>
      <c r="CC47" s="411"/>
      <c r="CD47" s="414"/>
      <c r="CE47" s="415"/>
      <c r="CF47" s="416" t="s">
        <v>166</v>
      </c>
      <c r="CG47" s="416"/>
    </row>
    <row r="48" spans="1:85" s="417" customFormat="1" ht="15" customHeight="1">
      <c r="A48" s="437" t="s">
        <v>263</v>
      </c>
      <c r="B48" s="431" t="s">
        <v>111</v>
      </c>
      <c r="C48" s="438">
        <v>45809</v>
      </c>
      <c r="D48" s="439" t="s">
        <v>179</v>
      </c>
      <c r="E48" s="431" t="s">
        <v>113</v>
      </c>
      <c r="F48" s="439" t="s">
        <v>114</v>
      </c>
      <c r="G48" s="439" t="s">
        <v>130</v>
      </c>
      <c r="H48" s="439" t="s">
        <v>116</v>
      </c>
      <c r="I48" s="439" t="s">
        <v>116</v>
      </c>
      <c r="J48" s="440" t="s">
        <v>116</v>
      </c>
      <c r="K48" s="441" t="b">
        <v>0</v>
      </c>
      <c r="L48" s="441" t="s">
        <v>116</v>
      </c>
      <c r="M48" s="440" t="s">
        <v>116</v>
      </c>
      <c r="N48" s="441" t="s">
        <v>118</v>
      </c>
      <c r="O48" s="442" t="s">
        <v>256</v>
      </c>
      <c r="P48" s="439" t="s">
        <v>257</v>
      </c>
      <c r="Q48" s="443" t="s">
        <v>258</v>
      </c>
      <c r="R48" s="441" t="s">
        <v>116</v>
      </c>
      <c r="S48" s="441" t="s">
        <v>116</v>
      </c>
      <c r="T48" s="442" t="s">
        <v>116</v>
      </c>
      <c r="U48" s="442" t="s">
        <v>116</v>
      </c>
      <c r="V48" s="441" t="s">
        <v>116</v>
      </c>
      <c r="W48" s="442" t="s">
        <v>116</v>
      </c>
      <c r="X48" s="443" t="s">
        <v>264</v>
      </c>
      <c r="Y48" s="435">
        <v>147.62</v>
      </c>
      <c r="Z48" s="439" t="s">
        <v>123</v>
      </c>
      <c r="AA48" s="400">
        <v>1</v>
      </c>
      <c r="AB48" s="401">
        <v>0</v>
      </c>
      <c r="AC48" s="422"/>
      <c r="AD48" s="401">
        <v>2.95</v>
      </c>
      <c r="AE48" s="401">
        <v>0</v>
      </c>
      <c r="AF48" s="401">
        <v>0</v>
      </c>
      <c r="AG48" s="401">
        <v>0</v>
      </c>
      <c r="AH48" s="401">
        <v>0</v>
      </c>
      <c r="AI48" s="401">
        <v>0</v>
      </c>
      <c r="AJ48" s="401">
        <v>0</v>
      </c>
      <c r="AK48" s="401">
        <v>0</v>
      </c>
      <c r="AL48" s="401">
        <v>0</v>
      </c>
      <c r="AM48" s="401">
        <v>0</v>
      </c>
      <c r="AN48" s="401">
        <v>0</v>
      </c>
      <c r="AO48" s="401">
        <v>0</v>
      </c>
      <c r="AP48" s="401">
        <v>0</v>
      </c>
      <c r="AQ48" s="401">
        <v>0</v>
      </c>
      <c r="AR48" s="401">
        <v>0</v>
      </c>
      <c r="AS48" s="401">
        <v>0</v>
      </c>
      <c r="AT48" s="401">
        <v>0</v>
      </c>
      <c r="AU48" s="401">
        <v>0</v>
      </c>
      <c r="AV48" s="401">
        <v>0</v>
      </c>
      <c r="AW48" s="401">
        <v>0</v>
      </c>
      <c r="AX48" s="401">
        <v>0</v>
      </c>
      <c r="AY48" s="401">
        <v>0</v>
      </c>
      <c r="AZ48" s="401">
        <v>0</v>
      </c>
      <c r="BA48" s="401">
        <v>0</v>
      </c>
      <c r="BB48" s="401">
        <v>0</v>
      </c>
      <c r="BC48" s="401">
        <v>0</v>
      </c>
      <c r="BD48" s="401">
        <v>0</v>
      </c>
      <c r="BE48" s="401">
        <v>0</v>
      </c>
      <c r="BF48" s="401">
        <v>0</v>
      </c>
      <c r="BG48" s="423"/>
      <c r="BH48" s="424" t="s">
        <v>266</v>
      </c>
      <c r="BI48" s="404">
        <v>46022</v>
      </c>
      <c r="BJ48" s="405">
        <v>-95.24</v>
      </c>
      <c r="BK48" s="406"/>
      <c r="BL48" s="406"/>
      <c r="BM48" s="409" t="s">
        <v>118</v>
      </c>
      <c r="BN48" s="408" t="s">
        <v>386</v>
      </c>
      <c r="BO48" s="409"/>
      <c r="BP48" s="409"/>
      <c r="BQ48" s="409">
        <v>46022</v>
      </c>
      <c r="BR48" s="410"/>
      <c r="BS48" s="409"/>
      <c r="BT48" s="409"/>
      <c r="BU48" s="411"/>
      <c r="BV48" s="412"/>
      <c r="BW48" s="413"/>
      <c r="BX48" s="409"/>
      <c r="BY48" s="409"/>
      <c r="BZ48" s="413"/>
      <c r="CA48" s="413"/>
      <c r="CB48" s="413"/>
      <c r="CC48" s="411"/>
      <c r="CD48" s="414"/>
      <c r="CE48" s="415"/>
      <c r="CF48" s="416" t="s">
        <v>166</v>
      </c>
      <c r="CG48" s="416"/>
    </row>
    <row r="49" spans="1:85" s="417" customFormat="1" ht="15" customHeight="1">
      <c r="A49" s="427" t="s">
        <v>267</v>
      </c>
      <c r="B49" s="428" t="s">
        <v>111</v>
      </c>
      <c r="C49" s="429">
        <v>45809</v>
      </c>
      <c r="D49" s="430" t="s">
        <v>179</v>
      </c>
      <c r="E49" s="431" t="s">
        <v>113</v>
      </c>
      <c r="F49" s="431" t="s">
        <v>114</v>
      </c>
      <c r="G49" s="431" t="s">
        <v>153</v>
      </c>
      <c r="H49" s="431" t="s">
        <v>116</v>
      </c>
      <c r="I49" s="431" t="s">
        <v>116</v>
      </c>
      <c r="J49" s="432" t="s">
        <v>116</v>
      </c>
      <c r="K49" s="431" t="b">
        <v>0</v>
      </c>
      <c r="L49" s="431" t="s">
        <v>116</v>
      </c>
      <c r="M49" s="432" t="s">
        <v>116</v>
      </c>
      <c r="N49" s="431" t="s">
        <v>118</v>
      </c>
      <c r="O49" s="433" t="s">
        <v>256</v>
      </c>
      <c r="P49" s="431" t="s">
        <v>257</v>
      </c>
      <c r="Q49" s="433" t="s">
        <v>258</v>
      </c>
      <c r="R49" s="431" t="s">
        <v>116</v>
      </c>
      <c r="S49" s="431" t="s">
        <v>116</v>
      </c>
      <c r="T49" s="433" t="s">
        <v>116</v>
      </c>
      <c r="U49" s="433" t="s">
        <v>116</v>
      </c>
      <c r="V49" s="431" t="s">
        <v>116</v>
      </c>
      <c r="W49" s="433" t="s">
        <v>116</v>
      </c>
      <c r="X49" s="434" t="s">
        <v>268</v>
      </c>
      <c r="Y49" s="435">
        <v>104.74</v>
      </c>
      <c r="Z49" s="436" t="s">
        <v>123</v>
      </c>
      <c r="AA49" s="400">
        <v>1</v>
      </c>
      <c r="AB49" s="401">
        <v>0</v>
      </c>
      <c r="AC49" s="422"/>
      <c r="AD49" s="401">
        <v>2.1</v>
      </c>
      <c r="AE49" s="401">
        <v>0</v>
      </c>
      <c r="AF49" s="401">
        <v>0</v>
      </c>
      <c r="AG49" s="401">
        <v>0</v>
      </c>
      <c r="AH49" s="401">
        <v>0</v>
      </c>
      <c r="AI49" s="401">
        <v>0</v>
      </c>
      <c r="AJ49" s="401">
        <v>0</v>
      </c>
      <c r="AK49" s="401">
        <v>0</v>
      </c>
      <c r="AL49" s="401">
        <v>0</v>
      </c>
      <c r="AM49" s="401">
        <v>0</v>
      </c>
      <c r="AN49" s="401">
        <v>0</v>
      </c>
      <c r="AO49" s="401">
        <v>0</v>
      </c>
      <c r="AP49" s="401">
        <v>0</v>
      </c>
      <c r="AQ49" s="401">
        <v>0</v>
      </c>
      <c r="AR49" s="401">
        <v>0</v>
      </c>
      <c r="AS49" s="401">
        <v>0</v>
      </c>
      <c r="AT49" s="401">
        <v>0</v>
      </c>
      <c r="AU49" s="401">
        <v>0</v>
      </c>
      <c r="AV49" s="401">
        <v>0</v>
      </c>
      <c r="AW49" s="401">
        <v>0</v>
      </c>
      <c r="AX49" s="401">
        <v>0</v>
      </c>
      <c r="AY49" s="401">
        <v>0</v>
      </c>
      <c r="AZ49" s="401">
        <v>0</v>
      </c>
      <c r="BA49" s="401">
        <v>0</v>
      </c>
      <c r="BB49" s="401">
        <v>0</v>
      </c>
      <c r="BC49" s="401">
        <v>0</v>
      </c>
      <c r="BD49" s="401">
        <v>0</v>
      </c>
      <c r="BE49" s="401">
        <v>0</v>
      </c>
      <c r="BF49" s="401">
        <v>0</v>
      </c>
      <c r="BG49" s="423"/>
      <c r="BH49" s="424" t="s">
        <v>266</v>
      </c>
      <c r="BI49" s="404">
        <v>45998</v>
      </c>
      <c r="BJ49" s="405">
        <v>233.1</v>
      </c>
      <c r="BK49" s="425"/>
      <c r="BL49" s="406"/>
      <c r="BM49" s="409" t="s">
        <v>118</v>
      </c>
      <c r="BN49" s="408" t="s">
        <v>386</v>
      </c>
      <c r="BO49" s="409"/>
      <c r="BP49" s="409"/>
      <c r="BQ49" s="409">
        <v>46022</v>
      </c>
      <c r="BR49" s="410"/>
      <c r="BS49" s="409"/>
      <c r="BT49" s="409"/>
      <c r="BU49" s="411"/>
      <c r="BV49" s="412"/>
      <c r="BW49" s="413"/>
      <c r="BX49" s="409"/>
      <c r="BY49" s="409"/>
      <c r="BZ49" s="413"/>
      <c r="CA49" s="413"/>
      <c r="CB49" s="413"/>
      <c r="CC49" s="411"/>
      <c r="CD49" s="414"/>
      <c r="CE49" s="415"/>
      <c r="CF49" s="416" t="s">
        <v>166</v>
      </c>
      <c r="CG49" s="416"/>
    </row>
    <row r="50" spans="1:85" s="417" customFormat="1" ht="15" customHeight="1">
      <c r="A50" s="427" t="s">
        <v>269</v>
      </c>
      <c r="B50" s="428" t="s">
        <v>111</v>
      </c>
      <c r="C50" s="429">
        <v>45839</v>
      </c>
      <c r="D50" s="430" t="s">
        <v>270</v>
      </c>
      <c r="E50" s="431" t="s">
        <v>113</v>
      </c>
      <c r="F50" s="431" t="s">
        <v>114</v>
      </c>
      <c r="G50" s="431" t="s">
        <v>130</v>
      </c>
      <c r="H50" s="431" t="s">
        <v>116</v>
      </c>
      <c r="I50" s="431" t="s">
        <v>116</v>
      </c>
      <c r="J50" s="432" t="s">
        <v>116</v>
      </c>
      <c r="K50" s="431" t="b">
        <v>0</v>
      </c>
      <c r="L50" s="431" t="s">
        <v>116</v>
      </c>
      <c r="M50" s="432" t="s">
        <v>116</v>
      </c>
      <c r="N50" s="431" t="s">
        <v>118</v>
      </c>
      <c r="O50" s="433" t="s">
        <v>256</v>
      </c>
      <c r="P50" s="431" t="s">
        <v>257</v>
      </c>
      <c r="Q50" s="433" t="s">
        <v>258</v>
      </c>
      <c r="R50" s="431" t="s">
        <v>116</v>
      </c>
      <c r="S50" s="431" t="s">
        <v>116</v>
      </c>
      <c r="T50" s="433" t="s">
        <v>116</v>
      </c>
      <c r="U50" s="433" t="s">
        <v>116</v>
      </c>
      <c r="V50" s="431" t="s">
        <v>116</v>
      </c>
      <c r="W50" s="433" t="s">
        <v>116</v>
      </c>
      <c r="X50" s="434" t="s">
        <v>271</v>
      </c>
      <c r="Y50" s="435">
        <v>109.71</v>
      </c>
      <c r="Z50" s="436" t="s">
        <v>123</v>
      </c>
      <c r="AA50" s="400">
        <v>1</v>
      </c>
      <c r="AB50" s="401">
        <v>0</v>
      </c>
      <c r="AC50" s="422"/>
      <c r="AD50" s="401">
        <v>2.19</v>
      </c>
      <c r="AE50" s="401">
        <v>0</v>
      </c>
      <c r="AF50" s="401">
        <v>0</v>
      </c>
      <c r="AG50" s="401">
        <v>0</v>
      </c>
      <c r="AH50" s="401">
        <v>0</v>
      </c>
      <c r="AI50" s="401">
        <v>0</v>
      </c>
      <c r="AJ50" s="401">
        <v>0</v>
      </c>
      <c r="AK50" s="401">
        <v>0</v>
      </c>
      <c r="AL50" s="401">
        <v>0</v>
      </c>
      <c r="AM50" s="401">
        <v>0</v>
      </c>
      <c r="AN50" s="401">
        <v>0</v>
      </c>
      <c r="AO50" s="401">
        <v>0</v>
      </c>
      <c r="AP50" s="401">
        <v>0</v>
      </c>
      <c r="AQ50" s="401">
        <v>0</v>
      </c>
      <c r="AR50" s="401">
        <v>0</v>
      </c>
      <c r="AS50" s="401">
        <v>0</v>
      </c>
      <c r="AT50" s="401">
        <v>0</v>
      </c>
      <c r="AU50" s="401">
        <v>0</v>
      </c>
      <c r="AV50" s="401">
        <v>0</v>
      </c>
      <c r="AW50" s="401">
        <v>0</v>
      </c>
      <c r="AX50" s="401">
        <v>0</v>
      </c>
      <c r="AY50" s="401">
        <v>0</v>
      </c>
      <c r="AZ50" s="401">
        <v>0</v>
      </c>
      <c r="BA50" s="401">
        <v>0</v>
      </c>
      <c r="BB50" s="401">
        <v>0</v>
      </c>
      <c r="BC50" s="401">
        <v>0</v>
      </c>
      <c r="BD50" s="401">
        <v>0</v>
      </c>
      <c r="BE50" s="401">
        <v>0</v>
      </c>
      <c r="BF50" s="401">
        <v>0</v>
      </c>
      <c r="BG50" s="423"/>
      <c r="BH50" s="424" t="s">
        <v>272</v>
      </c>
      <c r="BI50" s="404">
        <v>46011</v>
      </c>
      <c r="BJ50" s="405">
        <v>504.9</v>
      </c>
      <c r="BK50" s="425"/>
      <c r="BL50" s="406"/>
      <c r="BM50" s="409" t="s">
        <v>118</v>
      </c>
      <c r="BN50" s="408" t="s">
        <v>386</v>
      </c>
      <c r="BO50" s="409"/>
      <c r="BP50" s="409"/>
      <c r="BQ50" s="409">
        <v>46022</v>
      </c>
      <c r="BR50" s="410"/>
      <c r="BS50" s="409"/>
      <c r="BT50" s="409"/>
      <c r="BU50" s="411"/>
      <c r="BV50" s="412"/>
      <c r="BW50" s="413"/>
      <c r="BX50" s="409"/>
      <c r="BY50" s="409"/>
      <c r="BZ50" s="413"/>
      <c r="CA50" s="413"/>
      <c r="CB50" s="413"/>
      <c r="CC50" s="411"/>
      <c r="CD50" s="414"/>
      <c r="CE50" s="415"/>
      <c r="CF50" s="416" t="s">
        <v>166</v>
      </c>
      <c r="CG50" s="416"/>
    </row>
    <row r="51" spans="1:85" s="417" customFormat="1" ht="15" customHeight="1">
      <c r="A51" s="427" t="s">
        <v>273</v>
      </c>
      <c r="B51" s="428" t="s">
        <v>111</v>
      </c>
      <c r="C51" s="429">
        <v>45839</v>
      </c>
      <c r="D51" s="430" t="s">
        <v>270</v>
      </c>
      <c r="E51" s="431" t="s">
        <v>113</v>
      </c>
      <c r="F51" s="431" t="s">
        <v>114</v>
      </c>
      <c r="G51" s="431" t="s">
        <v>130</v>
      </c>
      <c r="H51" s="431" t="s">
        <v>116</v>
      </c>
      <c r="I51" s="431" t="s">
        <v>116</v>
      </c>
      <c r="J51" s="432" t="s">
        <v>116</v>
      </c>
      <c r="K51" s="431" t="b">
        <v>0</v>
      </c>
      <c r="L51" s="431" t="s">
        <v>116</v>
      </c>
      <c r="M51" s="432" t="s">
        <v>116</v>
      </c>
      <c r="N51" s="431" t="s">
        <v>118</v>
      </c>
      <c r="O51" s="433" t="s">
        <v>256</v>
      </c>
      <c r="P51" s="431" t="s">
        <v>257</v>
      </c>
      <c r="Q51" s="433" t="s">
        <v>258</v>
      </c>
      <c r="R51" s="431" t="s">
        <v>116</v>
      </c>
      <c r="S51" s="431" t="s">
        <v>116</v>
      </c>
      <c r="T51" s="433" t="s">
        <v>116</v>
      </c>
      <c r="U51" s="433" t="s">
        <v>116</v>
      </c>
      <c r="V51" s="431" t="s">
        <v>116</v>
      </c>
      <c r="W51" s="433" t="s">
        <v>116</v>
      </c>
      <c r="X51" s="434" t="s">
        <v>274</v>
      </c>
      <c r="Y51" s="435">
        <v>131.26</v>
      </c>
      <c r="Z51" s="436" t="s">
        <v>123</v>
      </c>
      <c r="AA51" s="400">
        <v>1</v>
      </c>
      <c r="AB51" s="401">
        <v>0</v>
      </c>
      <c r="AC51" s="422"/>
      <c r="AD51" s="401">
        <v>2.62</v>
      </c>
      <c r="AE51" s="401">
        <v>0</v>
      </c>
      <c r="AF51" s="401">
        <v>0</v>
      </c>
      <c r="AG51" s="401">
        <v>0</v>
      </c>
      <c r="AH51" s="401">
        <v>0</v>
      </c>
      <c r="AI51" s="401">
        <v>0</v>
      </c>
      <c r="AJ51" s="401">
        <v>0</v>
      </c>
      <c r="AK51" s="401">
        <v>0</v>
      </c>
      <c r="AL51" s="401">
        <v>0</v>
      </c>
      <c r="AM51" s="401">
        <v>0</v>
      </c>
      <c r="AN51" s="401">
        <v>0</v>
      </c>
      <c r="AO51" s="401">
        <v>0</v>
      </c>
      <c r="AP51" s="401">
        <v>0</v>
      </c>
      <c r="AQ51" s="401">
        <v>0</v>
      </c>
      <c r="AR51" s="401">
        <v>0</v>
      </c>
      <c r="AS51" s="401">
        <v>0</v>
      </c>
      <c r="AT51" s="401">
        <v>0</v>
      </c>
      <c r="AU51" s="401">
        <v>0</v>
      </c>
      <c r="AV51" s="401">
        <v>0</v>
      </c>
      <c r="AW51" s="401">
        <v>0</v>
      </c>
      <c r="AX51" s="401">
        <v>0</v>
      </c>
      <c r="AY51" s="401">
        <v>0</v>
      </c>
      <c r="AZ51" s="401">
        <v>0</v>
      </c>
      <c r="BA51" s="401">
        <v>0</v>
      </c>
      <c r="BB51" s="401">
        <v>0</v>
      </c>
      <c r="BC51" s="401">
        <v>0</v>
      </c>
      <c r="BD51" s="401">
        <v>0</v>
      </c>
      <c r="BE51" s="401">
        <v>0</v>
      </c>
      <c r="BF51" s="401">
        <v>0</v>
      </c>
      <c r="BG51" s="423"/>
      <c r="BH51" s="424" t="s">
        <v>265</v>
      </c>
      <c r="BI51" s="404">
        <v>46011</v>
      </c>
      <c r="BJ51" s="405">
        <v>504.9</v>
      </c>
      <c r="BK51" s="425"/>
      <c r="BL51" s="406"/>
      <c r="BM51" s="409" t="s">
        <v>118</v>
      </c>
      <c r="BN51" s="408" t="s">
        <v>386</v>
      </c>
      <c r="BO51" s="409"/>
      <c r="BP51" s="409"/>
      <c r="BQ51" s="409">
        <v>46022</v>
      </c>
      <c r="BR51" s="410"/>
      <c r="BS51" s="409"/>
      <c r="BT51" s="409"/>
      <c r="BU51" s="411"/>
      <c r="BV51" s="412"/>
      <c r="BW51" s="413"/>
      <c r="BX51" s="409"/>
      <c r="BY51" s="409"/>
      <c r="BZ51" s="413"/>
      <c r="CA51" s="413"/>
      <c r="CB51" s="413"/>
      <c r="CC51" s="411"/>
      <c r="CD51" s="414"/>
      <c r="CE51" s="415"/>
      <c r="CF51" s="416" t="s">
        <v>166</v>
      </c>
      <c r="CG51" s="416"/>
    </row>
    <row r="52" spans="1:85" s="417" customFormat="1" ht="15" customHeight="1">
      <c r="A52" s="427" t="s">
        <v>275</v>
      </c>
      <c r="B52" s="428" t="s">
        <v>111</v>
      </c>
      <c r="C52" s="429">
        <v>45809</v>
      </c>
      <c r="D52" s="430" t="s">
        <v>179</v>
      </c>
      <c r="E52" s="431" t="s">
        <v>113</v>
      </c>
      <c r="F52" s="431" t="s">
        <v>114</v>
      </c>
      <c r="G52" s="431" t="s">
        <v>153</v>
      </c>
      <c r="H52" s="431" t="s">
        <v>116</v>
      </c>
      <c r="I52" s="431" t="s">
        <v>116</v>
      </c>
      <c r="J52" s="432" t="s">
        <v>116</v>
      </c>
      <c r="K52" s="431" t="b">
        <v>0</v>
      </c>
      <c r="L52" s="431" t="s">
        <v>116</v>
      </c>
      <c r="M52" s="432" t="s">
        <v>116</v>
      </c>
      <c r="N52" s="431" t="s">
        <v>118</v>
      </c>
      <c r="O52" s="433" t="s">
        <v>256</v>
      </c>
      <c r="P52" s="431" t="s">
        <v>257</v>
      </c>
      <c r="Q52" s="433" t="s">
        <v>258</v>
      </c>
      <c r="R52" s="431" t="s">
        <v>116</v>
      </c>
      <c r="S52" s="431" t="s">
        <v>116</v>
      </c>
      <c r="T52" s="433" t="s">
        <v>116</v>
      </c>
      <c r="U52" s="433" t="s">
        <v>116</v>
      </c>
      <c r="V52" s="431" t="s">
        <v>116</v>
      </c>
      <c r="W52" s="433" t="s">
        <v>116</v>
      </c>
      <c r="X52" s="434" t="s">
        <v>276</v>
      </c>
      <c r="Y52" s="435">
        <v>113.47</v>
      </c>
      <c r="Z52" s="436" t="s">
        <v>123</v>
      </c>
      <c r="AA52" s="400">
        <v>1</v>
      </c>
      <c r="AB52" s="401">
        <v>0</v>
      </c>
      <c r="AC52" s="422"/>
      <c r="AD52" s="401">
        <v>2.2599999999999998</v>
      </c>
      <c r="AE52" s="401">
        <v>0</v>
      </c>
      <c r="AF52" s="401">
        <v>0</v>
      </c>
      <c r="AG52" s="401">
        <v>0</v>
      </c>
      <c r="AH52" s="401">
        <v>0</v>
      </c>
      <c r="AI52" s="401">
        <v>0</v>
      </c>
      <c r="AJ52" s="401">
        <v>0</v>
      </c>
      <c r="AK52" s="401">
        <v>0</v>
      </c>
      <c r="AL52" s="401">
        <v>0</v>
      </c>
      <c r="AM52" s="401">
        <v>0</v>
      </c>
      <c r="AN52" s="401">
        <v>0</v>
      </c>
      <c r="AO52" s="401">
        <v>0</v>
      </c>
      <c r="AP52" s="401">
        <v>0</v>
      </c>
      <c r="AQ52" s="401">
        <v>0</v>
      </c>
      <c r="AR52" s="401">
        <v>0</v>
      </c>
      <c r="AS52" s="401">
        <v>0</v>
      </c>
      <c r="AT52" s="401">
        <v>0</v>
      </c>
      <c r="AU52" s="401">
        <v>0</v>
      </c>
      <c r="AV52" s="401">
        <v>0</v>
      </c>
      <c r="AW52" s="401">
        <v>0</v>
      </c>
      <c r="AX52" s="401">
        <v>0</v>
      </c>
      <c r="AY52" s="401">
        <v>0</v>
      </c>
      <c r="AZ52" s="401">
        <v>0</v>
      </c>
      <c r="BA52" s="401">
        <v>0</v>
      </c>
      <c r="BB52" s="401">
        <v>0</v>
      </c>
      <c r="BC52" s="401">
        <v>0</v>
      </c>
      <c r="BD52" s="401">
        <v>0</v>
      </c>
      <c r="BE52" s="401">
        <v>0</v>
      </c>
      <c r="BF52" s="401">
        <v>0</v>
      </c>
      <c r="BG52" s="423"/>
      <c r="BH52" s="424" t="s">
        <v>266</v>
      </c>
      <c r="BI52" s="404">
        <v>45998</v>
      </c>
      <c r="BJ52" s="405">
        <v>233.1</v>
      </c>
      <c r="BK52" s="425"/>
      <c r="BL52" s="406"/>
      <c r="BM52" s="409" t="s">
        <v>118</v>
      </c>
      <c r="BN52" s="408" t="s">
        <v>386</v>
      </c>
      <c r="BO52" s="409"/>
      <c r="BP52" s="409"/>
      <c r="BQ52" s="409">
        <v>46022</v>
      </c>
      <c r="BR52" s="410"/>
      <c r="BS52" s="409"/>
      <c r="BT52" s="409"/>
      <c r="BU52" s="411"/>
      <c r="BV52" s="412"/>
      <c r="BW52" s="413"/>
      <c r="BX52" s="409"/>
      <c r="BY52" s="409"/>
      <c r="BZ52" s="413"/>
      <c r="CA52" s="413"/>
      <c r="CB52" s="413"/>
      <c r="CC52" s="411"/>
      <c r="CD52" s="414"/>
      <c r="CE52" s="415"/>
      <c r="CF52" s="416" t="s">
        <v>166</v>
      </c>
      <c r="CG52" s="416"/>
    </row>
    <row r="53" spans="1:85" s="417" customFormat="1" ht="15" customHeight="1">
      <c r="A53" s="427" t="s">
        <v>277</v>
      </c>
      <c r="B53" s="428" t="s">
        <v>111</v>
      </c>
      <c r="C53" s="429">
        <v>45809</v>
      </c>
      <c r="D53" s="430" t="s">
        <v>179</v>
      </c>
      <c r="E53" s="431" t="s">
        <v>113</v>
      </c>
      <c r="F53" s="431" t="s">
        <v>114</v>
      </c>
      <c r="G53" s="431" t="s">
        <v>153</v>
      </c>
      <c r="H53" s="431" t="s">
        <v>116</v>
      </c>
      <c r="I53" s="431" t="s">
        <v>116</v>
      </c>
      <c r="J53" s="432" t="s">
        <v>116</v>
      </c>
      <c r="K53" s="431" t="b">
        <v>0</v>
      </c>
      <c r="L53" s="431" t="s">
        <v>116</v>
      </c>
      <c r="M53" s="432" t="s">
        <v>116</v>
      </c>
      <c r="N53" s="431" t="s">
        <v>118</v>
      </c>
      <c r="O53" s="433" t="s">
        <v>256</v>
      </c>
      <c r="P53" s="431" t="s">
        <v>257</v>
      </c>
      <c r="Q53" s="433" t="s">
        <v>258</v>
      </c>
      <c r="R53" s="431" t="s">
        <v>116</v>
      </c>
      <c r="S53" s="431" t="s">
        <v>116</v>
      </c>
      <c r="T53" s="433" t="s">
        <v>116</v>
      </c>
      <c r="U53" s="433" t="s">
        <v>116</v>
      </c>
      <c r="V53" s="431" t="s">
        <v>116</v>
      </c>
      <c r="W53" s="433" t="s">
        <v>116</v>
      </c>
      <c r="X53" s="434" t="s">
        <v>278</v>
      </c>
      <c r="Y53" s="435">
        <v>139.78</v>
      </c>
      <c r="Z53" s="436" t="s">
        <v>123</v>
      </c>
      <c r="AA53" s="400">
        <v>1</v>
      </c>
      <c r="AB53" s="401">
        <v>0</v>
      </c>
      <c r="AC53" s="422"/>
      <c r="AD53" s="401">
        <v>2.79</v>
      </c>
      <c r="AE53" s="401">
        <v>0</v>
      </c>
      <c r="AF53" s="401">
        <v>0</v>
      </c>
      <c r="AG53" s="401">
        <v>0</v>
      </c>
      <c r="AH53" s="401">
        <v>0</v>
      </c>
      <c r="AI53" s="401">
        <v>0</v>
      </c>
      <c r="AJ53" s="401">
        <v>0</v>
      </c>
      <c r="AK53" s="401">
        <v>0</v>
      </c>
      <c r="AL53" s="401">
        <v>0</v>
      </c>
      <c r="AM53" s="401">
        <v>0</v>
      </c>
      <c r="AN53" s="401">
        <v>0</v>
      </c>
      <c r="AO53" s="401">
        <v>0</v>
      </c>
      <c r="AP53" s="401">
        <v>0</v>
      </c>
      <c r="AQ53" s="401">
        <v>0</v>
      </c>
      <c r="AR53" s="401">
        <v>0</v>
      </c>
      <c r="AS53" s="401">
        <v>0</v>
      </c>
      <c r="AT53" s="401">
        <v>0</v>
      </c>
      <c r="AU53" s="401">
        <v>0</v>
      </c>
      <c r="AV53" s="401">
        <v>0</v>
      </c>
      <c r="AW53" s="401">
        <v>0</v>
      </c>
      <c r="AX53" s="401">
        <v>0</v>
      </c>
      <c r="AY53" s="401">
        <v>0</v>
      </c>
      <c r="AZ53" s="401">
        <v>0</v>
      </c>
      <c r="BA53" s="401">
        <v>0</v>
      </c>
      <c r="BB53" s="401">
        <v>0</v>
      </c>
      <c r="BC53" s="401">
        <v>0</v>
      </c>
      <c r="BD53" s="401">
        <v>0</v>
      </c>
      <c r="BE53" s="401">
        <v>0</v>
      </c>
      <c r="BF53" s="401">
        <v>0</v>
      </c>
      <c r="BG53" s="423"/>
      <c r="BH53" s="424" t="s">
        <v>279</v>
      </c>
      <c r="BI53" s="404">
        <v>45998</v>
      </c>
      <c r="BJ53" s="405">
        <v>233.1</v>
      </c>
      <c r="BK53" s="425"/>
      <c r="BL53" s="406"/>
      <c r="BM53" s="409" t="s">
        <v>118</v>
      </c>
      <c r="BN53" s="408" t="s">
        <v>386</v>
      </c>
      <c r="BO53" s="409"/>
      <c r="BP53" s="409"/>
      <c r="BQ53" s="409">
        <v>46022</v>
      </c>
      <c r="BR53" s="410"/>
      <c r="BS53" s="409"/>
      <c r="BT53" s="409"/>
      <c r="BU53" s="411"/>
      <c r="BV53" s="412"/>
      <c r="BW53" s="413"/>
      <c r="BX53" s="409"/>
      <c r="BY53" s="409"/>
      <c r="BZ53" s="413"/>
      <c r="CA53" s="413"/>
      <c r="CB53" s="413"/>
      <c r="CC53" s="411"/>
      <c r="CD53" s="414"/>
      <c r="CE53" s="415"/>
      <c r="CF53" s="416" t="s">
        <v>166</v>
      </c>
      <c r="CG53" s="416"/>
    </row>
    <row r="54" spans="1:85" s="417" customFormat="1" ht="15" customHeight="1">
      <c r="A54" s="427" t="s">
        <v>280</v>
      </c>
      <c r="B54" s="428" t="s">
        <v>111</v>
      </c>
      <c r="C54" s="429">
        <v>45658</v>
      </c>
      <c r="D54" s="430" t="s">
        <v>281</v>
      </c>
      <c r="E54" s="431" t="s">
        <v>113</v>
      </c>
      <c r="F54" s="431" t="s">
        <v>114</v>
      </c>
      <c r="G54" s="431" t="s">
        <v>153</v>
      </c>
      <c r="H54" s="431" t="s">
        <v>116</v>
      </c>
      <c r="I54" s="431" t="s">
        <v>116</v>
      </c>
      <c r="J54" s="432" t="s">
        <v>116</v>
      </c>
      <c r="K54" s="431" t="b">
        <v>0</v>
      </c>
      <c r="L54" s="431" t="s">
        <v>116</v>
      </c>
      <c r="M54" s="432" t="s">
        <v>116</v>
      </c>
      <c r="N54" s="431" t="s">
        <v>118</v>
      </c>
      <c r="O54" s="433" t="s">
        <v>256</v>
      </c>
      <c r="P54" s="431" t="s">
        <v>257</v>
      </c>
      <c r="Q54" s="433" t="s">
        <v>258</v>
      </c>
      <c r="R54" s="431" t="s">
        <v>116</v>
      </c>
      <c r="S54" s="431" t="s">
        <v>116</v>
      </c>
      <c r="T54" s="433" t="s">
        <v>116</v>
      </c>
      <c r="U54" s="433" t="s">
        <v>116</v>
      </c>
      <c r="V54" s="431" t="s">
        <v>116</v>
      </c>
      <c r="W54" s="433" t="s">
        <v>116</v>
      </c>
      <c r="X54" s="434" t="s">
        <v>282</v>
      </c>
      <c r="Y54" s="435" t="s">
        <v>116</v>
      </c>
      <c r="Z54" s="436" t="s">
        <v>116</v>
      </c>
      <c r="AA54" s="400">
        <v>1</v>
      </c>
      <c r="AB54" s="401">
        <v>0</v>
      </c>
      <c r="AC54" s="422"/>
      <c r="AD54" s="401">
        <v>1.59</v>
      </c>
      <c r="AE54" s="401">
        <v>0</v>
      </c>
      <c r="AF54" s="401">
        <v>0</v>
      </c>
      <c r="AG54" s="401">
        <v>0</v>
      </c>
      <c r="AH54" s="401">
        <v>0</v>
      </c>
      <c r="AI54" s="401">
        <v>0</v>
      </c>
      <c r="AJ54" s="401">
        <v>0</v>
      </c>
      <c r="AK54" s="401">
        <v>0</v>
      </c>
      <c r="AL54" s="401">
        <v>0</v>
      </c>
      <c r="AM54" s="401">
        <v>0</v>
      </c>
      <c r="AN54" s="401">
        <v>0</v>
      </c>
      <c r="AO54" s="401">
        <v>0</v>
      </c>
      <c r="AP54" s="401">
        <v>0</v>
      </c>
      <c r="AQ54" s="401">
        <v>0</v>
      </c>
      <c r="AR54" s="401">
        <v>0</v>
      </c>
      <c r="AS54" s="401">
        <v>0</v>
      </c>
      <c r="AT54" s="401">
        <v>0</v>
      </c>
      <c r="AU54" s="401">
        <v>0</v>
      </c>
      <c r="AV54" s="401">
        <v>0</v>
      </c>
      <c r="AW54" s="401">
        <v>0</v>
      </c>
      <c r="AX54" s="401">
        <v>0</v>
      </c>
      <c r="AY54" s="401">
        <v>0</v>
      </c>
      <c r="AZ54" s="401">
        <v>0</v>
      </c>
      <c r="BA54" s="401">
        <v>0</v>
      </c>
      <c r="BB54" s="401">
        <v>0</v>
      </c>
      <c r="BC54" s="401">
        <v>0</v>
      </c>
      <c r="BD54" s="401">
        <v>0</v>
      </c>
      <c r="BE54" s="401">
        <v>0</v>
      </c>
      <c r="BF54" s="401">
        <v>0</v>
      </c>
      <c r="BG54" s="423"/>
      <c r="BH54" s="424" t="s">
        <v>283</v>
      </c>
      <c r="BI54" s="404">
        <v>46004</v>
      </c>
      <c r="BJ54" s="405">
        <v>10.57</v>
      </c>
      <c r="BK54" s="406"/>
      <c r="BL54" s="406"/>
      <c r="BM54" s="409" t="s">
        <v>118</v>
      </c>
      <c r="BN54" s="408" t="s">
        <v>386</v>
      </c>
      <c r="BO54" s="409"/>
      <c r="BP54" s="409"/>
      <c r="BQ54" s="409">
        <v>46022</v>
      </c>
      <c r="BR54" s="410"/>
      <c r="BS54" s="409"/>
      <c r="BT54" s="409"/>
      <c r="BU54" s="411"/>
      <c r="BV54" s="412"/>
      <c r="BW54" s="413"/>
      <c r="BX54" s="409"/>
      <c r="BY54" s="409"/>
      <c r="BZ54" s="413"/>
      <c r="CA54" s="413"/>
      <c r="CB54" s="413"/>
      <c r="CC54" s="411"/>
      <c r="CD54" s="414"/>
      <c r="CE54" s="415"/>
      <c r="CF54" s="416" t="s">
        <v>166</v>
      </c>
      <c r="CG54" s="416"/>
    </row>
    <row r="55" spans="1:85" s="417" customFormat="1" ht="15" customHeight="1">
      <c r="A55" s="437" t="s">
        <v>280</v>
      </c>
      <c r="B55" s="431" t="s">
        <v>111</v>
      </c>
      <c r="C55" s="438">
        <v>45658</v>
      </c>
      <c r="D55" s="439" t="s">
        <v>281</v>
      </c>
      <c r="E55" s="431" t="s">
        <v>113</v>
      </c>
      <c r="F55" s="439" t="s">
        <v>114</v>
      </c>
      <c r="G55" s="439" t="s">
        <v>153</v>
      </c>
      <c r="H55" s="439" t="s">
        <v>116</v>
      </c>
      <c r="I55" s="439" t="s">
        <v>116</v>
      </c>
      <c r="J55" s="440" t="s">
        <v>116</v>
      </c>
      <c r="K55" s="441" t="b">
        <v>0</v>
      </c>
      <c r="L55" s="441" t="s">
        <v>116</v>
      </c>
      <c r="M55" s="440" t="s">
        <v>116</v>
      </c>
      <c r="N55" s="441" t="s">
        <v>118</v>
      </c>
      <c r="O55" s="442" t="s">
        <v>256</v>
      </c>
      <c r="P55" s="439" t="s">
        <v>257</v>
      </c>
      <c r="Q55" s="443" t="s">
        <v>258</v>
      </c>
      <c r="R55" s="441" t="s">
        <v>116</v>
      </c>
      <c r="S55" s="441" t="s">
        <v>116</v>
      </c>
      <c r="T55" s="442" t="s">
        <v>116</v>
      </c>
      <c r="U55" s="442" t="s">
        <v>116</v>
      </c>
      <c r="V55" s="441" t="s">
        <v>116</v>
      </c>
      <c r="W55" s="442" t="s">
        <v>116</v>
      </c>
      <c r="X55" s="443" t="s">
        <v>282</v>
      </c>
      <c r="Y55" s="435" t="s">
        <v>116</v>
      </c>
      <c r="Z55" s="439" t="s">
        <v>116</v>
      </c>
      <c r="AA55" s="400">
        <v>1</v>
      </c>
      <c r="AB55" s="401">
        <v>0</v>
      </c>
      <c r="AC55" s="422"/>
      <c r="AD55" s="401">
        <v>1.59</v>
      </c>
      <c r="AE55" s="401">
        <v>0</v>
      </c>
      <c r="AF55" s="401">
        <v>0</v>
      </c>
      <c r="AG55" s="401">
        <v>0</v>
      </c>
      <c r="AH55" s="401">
        <v>0</v>
      </c>
      <c r="AI55" s="401">
        <v>0</v>
      </c>
      <c r="AJ55" s="401">
        <v>0</v>
      </c>
      <c r="AK55" s="401">
        <v>0</v>
      </c>
      <c r="AL55" s="401">
        <v>0</v>
      </c>
      <c r="AM55" s="401">
        <v>0</v>
      </c>
      <c r="AN55" s="401">
        <v>0</v>
      </c>
      <c r="AO55" s="401">
        <v>0</v>
      </c>
      <c r="AP55" s="401">
        <v>0</v>
      </c>
      <c r="AQ55" s="401">
        <v>0</v>
      </c>
      <c r="AR55" s="401">
        <v>0</v>
      </c>
      <c r="AS55" s="401">
        <v>0</v>
      </c>
      <c r="AT55" s="401">
        <v>0</v>
      </c>
      <c r="AU55" s="401">
        <v>0</v>
      </c>
      <c r="AV55" s="401">
        <v>0</v>
      </c>
      <c r="AW55" s="401">
        <v>0</v>
      </c>
      <c r="AX55" s="401">
        <v>0</v>
      </c>
      <c r="AY55" s="401">
        <v>0</v>
      </c>
      <c r="AZ55" s="401">
        <v>0</v>
      </c>
      <c r="BA55" s="401">
        <v>0</v>
      </c>
      <c r="BB55" s="401">
        <v>0</v>
      </c>
      <c r="BC55" s="401">
        <v>0</v>
      </c>
      <c r="BD55" s="401">
        <v>0</v>
      </c>
      <c r="BE55" s="401">
        <v>0</v>
      </c>
      <c r="BF55" s="401">
        <v>0</v>
      </c>
      <c r="BG55" s="423"/>
      <c r="BH55" s="424" t="s">
        <v>194</v>
      </c>
      <c r="BI55" s="404">
        <v>46022</v>
      </c>
      <c r="BJ55" s="405">
        <v>3.19</v>
      </c>
      <c r="BK55" s="406"/>
      <c r="BL55" s="406"/>
      <c r="BM55" s="409" t="s">
        <v>118</v>
      </c>
      <c r="BN55" s="408" t="s">
        <v>386</v>
      </c>
      <c r="BO55" s="409"/>
      <c r="BP55" s="409"/>
      <c r="BQ55" s="409">
        <v>46022</v>
      </c>
      <c r="BR55" s="410"/>
      <c r="BS55" s="409"/>
      <c r="BT55" s="409"/>
      <c r="BU55" s="411"/>
      <c r="BV55" s="412"/>
      <c r="BW55" s="413"/>
      <c r="BX55" s="409"/>
      <c r="BY55" s="409"/>
      <c r="BZ55" s="413"/>
      <c r="CA55" s="413"/>
      <c r="CB55" s="413"/>
      <c r="CC55" s="411"/>
      <c r="CD55" s="414"/>
      <c r="CE55" s="415"/>
      <c r="CF55" s="416" t="s">
        <v>166</v>
      </c>
      <c r="CG55" s="416"/>
    </row>
    <row r="56" spans="1:85" s="417" customFormat="1" ht="15" customHeight="1">
      <c r="A56" s="427" t="s">
        <v>284</v>
      </c>
      <c r="B56" s="428" t="s">
        <v>111</v>
      </c>
      <c r="C56" s="429">
        <v>45658</v>
      </c>
      <c r="D56" s="430" t="s">
        <v>281</v>
      </c>
      <c r="E56" s="431" t="s">
        <v>113</v>
      </c>
      <c r="F56" s="431" t="s">
        <v>114</v>
      </c>
      <c r="G56" s="431" t="s">
        <v>153</v>
      </c>
      <c r="H56" s="431" t="s">
        <v>116</v>
      </c>
      <c r="I56" s="431" t="s">
        <v>116</v>
      </c>
      <c r="J56" s="432" t="s">
        <v>116</v>
      </c>
      <c r="K56" s="431" t="b">
        <v>0</v>
      </c>
      <c r="L56" s="431" t="s">
        <v>116</v>
      </c>
      <c r="M56" s="432" t="s">
        <v>116</v>
      </c>
      <c r="N56" s="431" t="s">
        <v>118</v>
      </c>
      <c r="O56" s="433" t="s">
        <v>256</v>
      </c>
      <c r="P56" s="431" t="s">
        <v>257</v>
      </c>
      <c r="Q56" s="433" t="s">
        <v>258</v>
      </c>
      <c r="R56" s="431" t="s">
        <v>116</v>
      </c>
      <c r="S56" s="431" t="s">
        <v>116</v>
      </c>
      <c r="T56" s="433" t="s">
        <v>116</v>
      </c>
      <c r="U56" s="433" t="s">
        <v>116</v>
      </c>
      <c r="V56" s="431" t="s">
        <v>116</v>
      </c>
      <c r="W56" s="433" t="s">
        <v>116</v>
      </c>
      <c r="X56" s="434" t="s">
        <v>285</v>
      </c>
      <c r="Y56" s="435" t="s">
        <v>116</v>
      </c>
      <c r="Z56" s="436" t="s">
        <v>116</v>
      </c>
      <c r="AA56" s="400">
        <v>1</v>
      </c>
      <c r="AB56" s="401">
        <v>0</v>
      </c>
      <c r="AC56" s="422"/>
      <c r="AD56" s="401">
        <v>1.59</v>
      </c>
      <c r="AE56" s="401">
        <v>0</v>
      </c>
      <c r="AF56" s="401">
        <v>0</v>
      </c>
      <c r="AG56" s="401">
        <v>0</v>
      </c>
      <c r="AH56" s="401">
        <v>0</v>
      </c>
      <c r="AI56" s="401">
        <v>0</v>
      </c>
      <c r="AJ56" s="401">
        <v>0</v>
      </c>
      <c r="AK56" s="401">
        <v>0</v>
      </c>
      <c r="AL56" s="401">
        <v>0</v>
      </c>
      <c r="AM56" s="401">
        <v>0</v>
      </c>
      <c r="AN56" s="401">
        <v>0</v>
      </c>
      <c r="AO56" s="401">
        <v>0</v>
      </c>
      <c r="AP56" s="401">
        <v>0</v>
      </c>
      <c r="AQ56" s="401">
        <v>0</v>
      </c>
      <c r="AR56" s="401">
        <v>0</v>
      </c>
      <c r="AS56" s="401">
        <v>0</v>
      </c>
      <c r="AT56" s="401">
        <v>0</v>
      </c>
      <c r="AU56" s="401">
        <v>0</v>
      </c>
      <c r="AV56" s="401">
        <v>0</v>
      </c>
      <c r="AW56" s="401">
        <v>0</v>
      </c>
      <c r="AX56" s="401">
        <v>0</v>
      </c>
      <c r="AY56" s="401">
        <v>0</v>
      </c>
      <c r="AZ56" s="401">
        <v>0</v>
      </c>
      <c r="BA56" s="401">
        <v>0</v>
      </c>
      <c r="BB56" s="401">
        <v>0</v>
      </c>
      <c r="BC56" s="401">
        <v>0</v>
      </c>
      <c r="BD56" s="401">
        <v>0</v>
      </c>
      <c r="BE56" s="401">
        <v>0</v>
      </c>
      <c r="BF56" s="401">
        <v>0</v>
      </c>
      <c r="BG56" s="423"/>
      <c r="BH56" s="424" t="s">
        <v>194</v>
      </c>
      <c r="BI56" s="404">
        <v>46004</v>
      </c>
      <c r="BJ56" s="405">
        <v>10.57</v>
      </c>
      <c r="BK56" s="406"/>
      <c r="BL56" s="406"/>
      <c r="BM56" s="409" t="s">
        <v>118</v>
      </c>
      <c r="BN56" s="408" t="s">
        <v>386</v>
      </c>
      <c r="BO56" s="409"/>
      <c r="BP56" s="409"/>
      <c r="BQ56" s="409">
        <v>46022</v>
      </c>
      <c r="BR56" s="410"/>
      <c r="BS56" s="409"/>
      <c r="BT56" s="409"/>
      <c r="BU56" s="411"/>
      <c r="BV56" s="412"/>
      <c r="BW56" s="413"/>
      <c r="BX56" s="409"/>
      <c r="BY56" s="409"/>
      <c r="BZ56" s="413"/>
      <c r="CA56" s="413"/>
      <c r="CB56" s="413"/>
      <c r="CC56" s="411"/>
      <c r="CD56" s="414"/>
      <c r="CE56" s="415"/>
      <c r="CF56" s="416" t="s">
        <v>166</v>
      </c>
      <c r="CG56" s="416"/>
    </row>
    <row r="57" spans="1:85" s="417" customFormat="1" ht="15" customHeight="1">
      <c r="A57" s="427" t="s">
        <v>286</v>
      </c>
      <c r="B57" s="428" t="s">
        <v>111</v>
      </c>
      <c r="C57" s="429">
        <v>45870</v>
      </c>
      <c r="D57" s="430" t="s">
        <v>179</v>
      </c>
      <c r="E57" s="431" t="s">
        <v>113</v>
      </c>
      <c r="F57" s="431" t="s">
        <v>114</v>
      </c>
      <c r="G57" s="431" t="s">
        <v>153</v>
      </c>
      <c r="H57" s="431" t="s">
        <v>116</v>
      </c>
      <c r="I57" s="431" t="s">
        <v>116</v>
      </c>
      <c r="J57" s="432" t="s">
        <v>116</v>
      </c>
      <c r="K57" s="431" t="b">
        <v>0</v>
      </c>
      <c r="L57" s="431" t="s">
        <v>116</v>
      </c>
      <c r="M57" s="432" t="s">
        <v>116</v>
      </c>
      <c r="N57" s="431" t="s">
        <v>118</v>
      </c>
      <c r="O57" s="433" t="s">
        <v>256</v>
      </c>
      <c r="P57" s="431" t="s">
        <v>257</v>
      </c>
      <c r="Q57" s="433" t="s">
        <v>258</v>
      </c>
      <c r="R57" s="431" t="s">
        <v>116</v>
      </c>
      <c r="S57" s="431" t="s">
        <v>116</v>
      </c>
      <c r="T57" s="433" t="s">
        <v>116</v>
      </c>
      <c r="U57" s="433" t="s">
        <v>116</v>
      </c>
      <c r="V57" s="431" t="s">
        <v>116</v>
      </c>
      <c r="W57" s="433" t="s">
        <v>116</v>
      </c>
      <c r="X57" s="434" t="s">
        <v>287</v>
      </c>
      <c r="Y57" s="435">
        <v>99.7</v>
      </c>
      <c r="Z57" s="436" t="s">
        <v>123</v>
      </c>
      <c r="AA57" s="400">
        <v>1</v>
      </c>
      <c r="AB57" s="401">
        <v>0</v>
      </c>
      <c r="AC57" s="422"/>
      <c r="AD57" s="401">
        <v>1.99</v>
      </c>
      <c r="AE57" s="401">
        <v>0</v>
      </c>
      <c r="AF57" s="401">
        <v>0</v>
      </c>
      <c r="AG57" s="401">
        <v>0</v>
      </c>
      <c r="AH57" s="401">
        <v>0</v>
      </c>
      <c r="AI57" s="401">
        <v>0</v>
      </c>
      <c r="AJ57" s="401">
        <v>0</v>
      </c>
      <c r="AK57" s="401">
        <v>0</v>
      </c>
      <c r="AL57" s="401">
        <v>0</v>
      </c>
      <c r="AM57" s="401">
        <v>0</v>
      </c>
      <c r="AN57" s="401">
        <v>0</v>
      </c>
      <c r="AO57" s="401">
        <v>0</v>
      </c>
      <c r="AP57" s="401">
        <v>0</v>
      </c>
      <c r="AQ57" s="401">
        <v>0</v>
      </c>
      <c r="AR57" s="401">
        <v>0</v>
      </c>
      <c r="AS57" s="401">
        <v>0</v>
      </c>
      <c r="AT57" s="401">
        <v>0</v>
      </c>
      <c r="AU57" s="401">
        <v>0</v>
      </c>
      <c r="AV57" s="401">
        <v>0</v>
      </c>
      <c r="AW57" s="401">
        <v>0</v>
      </c>
      <c r="AX57" s="401">
        <v>0</v>
      </c>
      <c r="AY57" s="401">
        <v>0</v>
      </c>
      <c r="AZ57" s="401">
        <v>0</v>
      </c>
      <c r="BA57" s="401">
        <v>0</v>
      </c>
      <c r="BB57" s="401">
        <v>0</v>
      </c>
      <c r="BC57" s="401">
        <v>0</v>
      </c>
      <c r="BD57" s="401">
        <v>0</v>
      </c>
      <c r="BE57" s="401">
        <v>0</v>
      </c>
      <c r="BF57" s="401">
        <v>0</v>
      </c>
      <c r="BG57" s="423"/>
      <c r="BH57" s="424" t="s">
        <v>288</v>
      </c>
      <c r="BI57" s="404">
        <v>45998</v>
      </c>
      <c r="BJ57" s="405">
        <v>233.1</v>
      </c>
      <c r="BK57" s="425"/>
      <c r="BL57" s="406"/>
      <c r="BM57" s="409" t="s">
        <v>118</v>
      </c>
      <c r="BN57" s="408" t="s">
        <v>386</v>
      </c>
      <c r="BO57" s="409"/>
      <c r="BP57" s="409"/>
      <c r="BQ57" s="409">
        <v>46022</v>
      </c>
      <c r="BR57" s="410"/>
      <c r="BS57" s="409"/>
      <c r="BT57" s="409"/>
      <c r="BU57" s="411"/>
      <c r="BV57" s="412"/>
      <c r="BW57" s="413"/>
      <c r="BX57" s="409"/>
      <c r="BY57" s="409"/>
      <c r="BZ57" s="413"/>
      <c r="CA57" s="413"/>
      <c r="CB57" s="413"/>
      <c r="CC57" s="411"/>
      <c r="CD57" s="414"/>
      <c r="CE57" s="415"/>
      <c r="CF57" s="416" t="s">
        <v>166</v>
      </c>
      <c r="CG57" s="416"/>
    </row>
    <row r="58" spans="1:85" s="417" customFormat="1" ht="15" customHeight="1">
      <c r="A58" s="427" t="s">
        <v>289</v>
      </c>
      <c r="B58" s="428" t="s">
        <v>111</v>
      </c>
      <c r="C58" s="429">
        <v>46023</v>
      </c>
      <c r="D58" s="430" t="s">
        <v>290</v>
      </c>
      <c r="E58" s="431" t="s">
        <v>113</v>
      </c>
      <c r="F58" s="431" t="s">
        <v>114</v>
      </c>
      <c r="G58" s="431" t="s">
        <v>153</v>
      </c>
      <c r="H58" s="431" t="s">
        <v>116</v>
      </c>
      <c r="I58" s="431" t="s">
        <v>116</v>
      </c>
      <c r="J58" s="432" t="s">
        <v>116</v>
      </c>
      <c r="K58" s="431" t="b">
        <v>0</v>
      </c>
      <c r="L58" s="431" t="s">
        <v>116</v>
      </c>
      <c r="M58" s="432" t="s">
        <v>116</v>
      </c>
      <c r="N58" s="431" t="s">
        <v>118</v>
      </c>
      <c r="O58" s="433" t="s">
        <v>256</v>
      </c>
      <c r="P58" s="431" t="s">
        <v>257</v>
      </c>
      <c r="Q58" s="433" t="s">
        <v>258</v>
      </c>
      <c r="R58" s="431" t="s">
        <v>116</v>
      </c>
      <c r="S58" s="431" t="s">
        <v>116</v>
      </c>
      <c r="T58" s="433" t="s">
        <v>116</v>
      </c>
      <c r="U58" s="433" t="s">
        <v>116</v>
      </c>
      <c r="V58" s="431" t="s">
        <v>116</v>
      </c>
      <c r="W58" s="433" t="s">
        <v>116</v>
      </c>
      <c r="X58" s="434" t="s">
        <v>291</v>
      </c>
      <c r="Y58" s="435">
        <v>1659.1</v>
      </c>
      <c r="Z58" s="436" t="s">
        <v>292</v>
      </c>
      <c r="AA58" s="400">
        <v>1</v>
      </c>
      <c r="AB58" s="401">
        <v>0</v>
      </c>
      <c r="AC58" s="422"/>
      <c r="AD58" s="401">
        <v>33.17</v>
      </c>
      <c r="AE58" s="401">
        <v>0</v>
      </c>
      <c r="AF58" s="401">
        <v>0</v>
      </c>
      <c r="AG58" s="401">
        <v>0</v>
      </c>
      <c r="AH58" s="401">
        <v>0</v>
      </c>
      <c r="AI58" s="401">
        <v>0</v>
      </c>
      <c r="AJ58" s="401">
        <v>0</v>
      </c>
      <c r="AK58" s="401">
        <v>0</v>
      </c>
      <c r="AL58" s="401">
        <v>0</v>
      </c>
      <c r="AM58" s="401">
        <v>0</v>
      </c>
      <c r="AN58" s="401">
        <v>0</v>
      </c>
      <c r="AO58" s="401">
        <v>0</v>
      </c>
      <c r="AP58" s="401">
        <v>0</v>
      </c>
      <c r="AQ58" s="401">
        <v>0</v>
      </c>
      <c r="AR58" s="401">
        <v>0</v>
      </c>
      <c r="AS58" s="401">
        <v>0</v>
      </c>
      <c r="AT58" s="401">
        <v>0</v>
      </c>
      <c r="AU58" s="401">
        <v>0</v>
      </c>
      <c r="AV58" s="401">
        <v>0</v>
      </c>
      <c r="AW58" s="401">
        <v>0</v>
      </c>
      <c r="AX58" s="401">
        <v>0</v>
      </c>
      <c r="AY58" s="401">
        <v>0</v>
      </c>
      <c r="AZ58" s="401">
        <v>0</v>
      </c>
      <c r="BA58" s="401">
        <v>0</v>
      </c>
      <c r="BB58" s="401">
        <v>0</v>
      </c>
      <c r="BC58" s="401">
        <v>0</v>
      </c>
      <c r="BD58" s="401">
        <v>0</v>
      </c>
      <c r="BE58" s="401">
        <v>0</v>
      </c>
      <c r="BF58" s="401">
        <v>0</v>
      </c>
      <c r="BG58" s="423"/>
      <c r="BH58" s="424" t="s">
        <v>293</v>
      </c>
      <c r="BI58" s="404">
        <v>45998</v>
      </c>
      <c r="BJ58" s="405">
        <v>233.1</v>
      </c>
      <c r="BK58" s="425"/>
      <c r="BL58" s="406"/>
      <c r="BM58" s="409" t="s">
        <v>118</v>
      </c>
      <c r="BN58" s="408" t="s">
        <v>386</v>
      </c>
      <c r="BO58" s="409"/>
      <c r="BP58" s="409"/>
      <c r="BQ58" s="409">
        <v>46022</v>
      </c>
      <c r="BR58" s="410"/>
      <c r="BS58" s="409"/>
      <c r="BT58" s="409"/>
      <c r="BU58" s="411"/>
      <c r="BV58" s="412"/>
      <c r="BW58" s="413"/>
      <c r="BX58" s="409"/>
      <c r="BY58" s="409"/>
      <c r="BZ58" s="413"/>
      <c r="CA58" s="413"/>
      <c r="CB58" s="413"/>
      <c r="CC58" s="411"/>
      <c r="CD58" s="414"/>
      <c r="CE58" s="415"/>
      <c r="CF58" s="416" t="s">
        <v>166</v>
      </c>
      <c r="CG58" s="416"/>
    </row>
    <row r="59" spans="1:85" s="417" customFormat="1" ht="15" customHeight="1">
      <c r="A59" s="427" t="s">
        <v>294</v>
      </c>
      <c r="B59" s="428" t="s">
        <v>111</v>
      </c>
      <c r="C59" s="429">
        <v>45870</v>
      </c>
      <c r="D59" s="430" t="s">
        <v>290</v>
      </c>
      <c r="E59" s="431" t="s">
        <v>113</v>
      </c>
      <c r="F59" s="431" t="s">
        <v>114</v>
      </c>
      <c r="G59" s="431" t="s">
        <v>153</v>
      </c>
      <c r="H59" s="431" t="s">
        <v>116</v>
      </c>
      <c r="I59" s="431" t="s">
        <v>116</v>
      </c>
      <c r="J59" s="432" t="s">
        <v>116</v>
      </c>
      <c r="K59" s="431" t="b">
        <v>0</v>
      </c>
      <c r="L59" s="431" t="s">
        <v>116</v>
      </c>
      <c r="M59" s="432" t="s">
        <v>116</v>
      </c>
      <c r="N59" s="431" t="s">
        <v>118</v>
      </c>
      <c r="O59" s="433" t="s">
        <v>256</v>
      </c>
      <c r="P59" s="431" t="s">
        <v>257</v>
      </c>
      <c r="Q59" s="433" t="s">
        <v>258</v>
      </c>
      <c r="R59" s="431" t="s">
        <v>116</v>
      </c>
      <c r="S59" s="431" t="s">
        <v>116</v>
      </c>
      <c r="T59" s="433" t="s">
        <v>116</v>
      </c>
      <c r="U59" s="433" t="s">
        <v>116</v>
      </c>
      <c r="V59" s="431" t="s">
        <v>116</v>
      </c>
      <c r="W59" s="433" t="s">
        <v>116</v>
      </c>
      <c r="X59" s="434" t="s">
        <v>295</v>
      </c>
      <c r="Y59" s="435">
        <v>146.01</v>
      </c>
      <c r="Z59" s="436" t="s">
        <v>123</v>
      </c>
      <c r="AA59" s="400">
        <v>1</v>
      </c>
      <c r="AB59" s="401">
        <v>0</v>
      </c>
      <c r="AC59" s="422"/>
      <c r="AD59" s="401">
        <v>2.92</v>
      </c>
      <c r="AE59" s="401">
        <v>0</v>
      </c>
      <c r="AF59" s="401">
        <v>0</v>
      </c>
      <c r="AG59" s="401">
        <v>0</v>
      </c>
      <c r="AH59" s="401">
        <v>0</v>
      </c>
      <c r="AI59" s="401">
        <v>0</v>
      </c>
      <c r="AJ59" s="401">
        <v>0</v>
      </c>
      <c r="AK59" s="401">
        <v>0</v>
      </c>
      <c r="AL59" s="401">
        <v>0</v>
      </c>
      <c r="AM59" s="401">
        <v>0</v>
      </c>
      <c r="AN59" s="401">
        <v>0</v>
      </c>
      <c r="AO59" s="401">
        <v>0</v>
      </c>
      <c r="AP59" s="401">
        <v>0</v>
      </c>
      <c r="AQ59" s="401">
        <v>0</v>
      </c>
      <c r="AR59" s="401">
        <v>0</v>
      </c>
      <c r="AS59" s="401">
        <v>0</v>
      </c>
      <c r="AT59" s="401">
        <v>0</v>
      </c>
      <c r="AU59" s="401">
        <v>0</v>
      </c>
      <c r="AV59" s="401">
        <v>0</v>
      </c>
      <c r="AW59" s="401">
        <v>0</v>
      </c>
      <c r="AX59" s="401">
        <v>0</v>
      </c>
      <c r="AY59" s="401">
        <v>0</v>
      </c>
      <c r="AZ59" s="401">
        <v>0</v>
      </c>
      <c r="BA59" s="401">
        <v>0</v>
      </c>
      <c r="BB59" s="401">
        <v>0</v>
      </c>
      <c r="BC59" s="401">
        <v>0</v>
      </c>
      <c r="BD59" s="401">
        <v>0</v>
      </c>
      <c r="BE59" s="401">
        <v>0</v>
      </c>
      <c r="BF59" s="401">
        <v>0</v>
      </c>
      <c r="BG59" s="423"/>
      <c r="BH59" s="424" t="s">
        <v>272</v>
      </c>
      <c r="BI59" s="404">
        <v>46011</v>
      </c>
      <c r="BJ59" s="405">
        <v>504.9</v>
      </c>
      <c r="BK59" s="425"/>
      <c r="BL59" s="406"/>
      <c r="BM59" s="409" t="s">
        <v>118</v>
      </c>
      <c r="BN59" s="408" t="s">
        <v>386</v>
      </c>
      <c r="BO59" s="409"/>
      <c r="BP59" s="409"/>
      <c r="BQ59" s="409">
        <v>46022</v>
      </c>
      <c r="BR59" s="410"/>
      <c r="BS59" s="409"/>
      <c r="BT59" s="409"/>
      <c r="BU59" s="411"/>
      <c r="BV59" s="412"/>
      <c r="BW59" s="413"/>
      <c r="BX59" s="409"/>
      <c r="BY59" s="409"/>
      <c r="BZ59" s="413"/>
      <c r="CA59" s="413"/>
      <c r="CB59" s="413"/>
      <c r="CC59" s="411"/>
      <c r="CD59" s="414"/>
      <c r="CE59" s="415"/>
      <c r="CF59" s="416" t="s">
        <v>166</v>
      </c>
      <c r="CG59" s="416"/>
    </row>
    <row r="60" spans="1:85" s="417" customFormat="1" ht="15" customHeight="1">
      <c r="A60" s="427" t="s">
        <v>296</v>
      </c>
      <c r="B60" s="428" t="s">
        <v>111</v>
      </c>
      <c r="C60" s="429">
        <v>45870</v>
      </c>
      <c r="D60" s="430" t="s">
        <v>290</v>
      </c>
      <c r="E60" s="431" t="s">
        <v>113</v>
      </c>
      <c r="F60" s="431" t="s">
        <v>114</v>
      </c>
      <c r="G60" s="431" t="s">
        <v>153</v>
      </c>
      <c r="H60" s="431" t="s">
        <v>116</v>
      </c>
      <c r="I60" s="431" t="s">
        <v>116</v>
      </c>
      <c r="J60" s="432" t="s">
        <v>116</v>
      </c>
      <c r="K60" s="431" t="b">
        <v>0</v>
      </c>
      <c r="L60" s="431" t="s">
        <v>116</v>
      </c>
      <c r="M60" s="432" t="s">
        <v>116</v>
      </c>
      <c r="N60" s="431" t="s">
        <v>118</v>
      </c>
      <c r="O60" s="433" t="s">
        <v>256</v>
      </c>
      <c r="P60" s="431" t="s">
        <v>257</v>
      </c>
      <c r="Q60" s="433" t="s">
        <v>258</v>
      </c>
      <c r="R60" s="431" t="s">
        <v>116</v>
      </c>
      <c r="S60" s="431" t="s">
        <v>116</v>
      </c>
      <c r="T60" s="433" t="s">
        <v>116</v>
      </c>
      <c r="U60" s="433" t="s">
        <v>116</v>
      </c>
      <c r="V60" s="431" t="s">
        <v>116</v>
      </c>
      <c r="W60" s="433" t="s">
        <v>116</v>
      </c>
      <c r="X60" s="434" t="s">
        <v>297</v>
      </c>
      <c r="Y60" s="435">
        <v>188.66</v>
      </c>
      <c r="Z60" s="436" t="s">
        <v>123</v>
      </c>
      <c r="AA60" s="400">
        <v>1</v>
      </c>
      <c r="AB60" s="401">
        <v>0</v>
      </c>
      <c r="AC60" s="422"/>
      <c r="AD60" s="401">
        <v>3.78</v>
      </c>
      <c r="AE60" s="401">
        <v>0</v>
      </c>
      <c r="AF60" s="401">
        <v>0</v>
      </c>
      <c r="AG60" s="401">
        <v>0</v>
      </c>
      <c r="AH60" s="401">
        <v>0</v>
      </c>
      <c r="AI60" s="401">
        <v>0</v>
      </c>
      <c r="AJ60" s="401">
        <v>0</v>
      </c>
      <c r="AK60" s="401">
        <v>0</v>
      </c>
      <c r="AL60" s="401">
        <v>0</v>
      </c>
      <c r="AM60" s="401">
        <v>0</v>
      </c>
      <c r="AN60" s="401">
        <v>0</v>
      </c>
      <c r="AO60" s="401">
        <v>0</v>
      </c>
      <c r="AP60" s="401">
        <v>0</v>
      </c>
      <c r="AQ60" s="401">
        <v>0</v>
      </c>
      <c r="AR60" s="401">
        <v>0</v>
      </c>
      <c r="AS60" s="401">
        <v>0</v>
      </c>
      <c r="AT60" s="401">
        <v>0</v>
      </c>
      <c r="AU60" s="401">
        <v>0</v>
      </c>
      <c r="AV60" s="401">
        <v>0</v>
      </c>
      <c r="AW60" s="401">
        <v>0</v>
      </c>
      <c r="AX60" s="401">
        <v>0</v>
      </c>
      <c r="AY60" s="401">
        <v>0</v>
      </c>
      <c r="AZ60" s="401">
        <v>0</v>
      </c>
      <c r="BA60" s="401">
        <v>0</v>
      </c>
      <c r="BB60" s="401">
        <v>0</v>
      </c>
      <c r="BC60" s="401">
        <v>0</v>
      </c>
      <c r="BD60" s="401">
        <v>0</v>
      </c>
      <c r="BE60" s="401">
        <v>0</v>
      </c>
      <c r="BF60" s="401">
        <v>0</v>
      </c>
      <c r="BG60" s="423"/>
      <c r="BH60" s="424" t="s">
        <v>272</v>
      </c>
      <c r="BI60" s="404">
        <v>46011</v>
      </c>
      <c r="BJ60" s="405">
        <v>504.9</v>
      </c>
      <c r="BK60" s="425"/>
      <c r="BL60" s="406"/>
      <c r="BM60" s="409" t="s">
        <v>118</v>
      </c>
      <c r="BN60" s="408" t="s">
        <v>386</v>
      </c>
      <c r="BO60" s="409"/>
      <c r="BP60" s="409"/>
      <c r="BQ60" s="409">
        <v>46022</v>
      </c>
      <c r="BR60" s="410"/>
      <c r="BS60" s="409"/>
      <c r="BT60" s="409"/>
      <c r="BU60" s="411"/>
      <c r="BV60" s="412"/>
      <c r="BW60" s="413"/>
      <c r="BX60" s="409"/>
      <c r="BY60" s="409"/>
      <c r="BZ60" s="413"/>
      <c r="CA60" s="413"/>
      <c r="CB60" s="413"/>
      <c r="CC60" s="411"/>
      <c r="CD60" s="414"/>
      <c r="CE60" s="415"/>
      <c r="CF60" s="416" t="s">
        <v>166</v>
      </c>
      <c r="CG60" s="416"/>
    </row>
    <row r="61" spans="1:85" s="417" customFormat="1" ht="15" customHeight="1">
      <c r="A61" s="427" t="s">
        <v>298</v>
      </c>
      <c r="B61" s="428" t="s">
        <v>111</v>
      </c>
      <c r="C61" s="429">
        <v>46023</v>
      </c>
      <c r="D61" s="430" t="s">
        <v>179</v>
      </c>
      <c r="E61" s="431" t="s">
        <v>113</v>
      </c>
      <c r="F61" s="431" t="s">
        <v>114</v>
      </c>
      <c r="G61" s="431" t="s">
        <v>130</v>
      </c>
      <c r="H61" s="431" t="s">
        <v>116</v>
      </c>
      <c r="I61" s="431" t="s">
        <v>116</v>
      </c>
      <c r="J61" s="432" t="s">
        <v>116</v>
      </c>
      <c r="K61" s="431" t="b">
        <v>0</v>
      </c>
      <c r="L61" s="431" t="s">
        <v>116</v>
      </c>
      <c r="M61" s="432" t="s">
        <v>116</v>
      </c>
      <c r="N61" s="431" t="s">
        <v>118</v>
      </c>
      <c r="O61" s="433" t="s">
        <v>256</v>
      </c>
      <c r="P61" s="431" t="s">
        <v>257</v>
      </c>
      <c r="Q61" s="433" t="s">
        <v>258</v>
      </c>
      <c r="R61" s="431" t="s">
        <v>116</v>
      </c>
      <c r="S61" s="431" t="s">
        <v>116</v>
      </c>
      <c r="T61" s="433" t="s">
        <v>116</v>
      </c>
      <c r="U61" s="433" t="s">
        <v>116</v>
      </c>
      <c r="V61" s="431" t="s">
        <v>116</v>
      </c>
      <c r="W61" s="433" t="s">
        <v>116</v>
      </c>
      <c r="X61" s="434" t="s">
        <v>299</v>
      </c>
      <c r="Y61" s="435">
        <v>172.15</v>
      </c>
      <c r="Z61" s="436" t="s">
        <v>123</v>
      </c>
      <c r="AA61" s="400">
        <v>1</v>
      </c>
      <c r="AB61" s="401">
        <v>0</v>
      </c>
      <c r="AC61" s="422"/>
      <c r="AD61" s="401">
        <v>3.44</v>
      </c>
      <c r="AE61" s="401">
        <v>0</v>
      </c>
      <c r="AF61" s="401">
        <v>0</v>
      </c>
      <c r="AG61" s="401">
        <v>0</v>
      </c>
      <c r="AH61" s="401">
        <v>0</v>
      </c>
      <c r="AI61" s="401">
        <v>0</v>
      </c>
      <c r="AJ61" s="401">
        <v>0</v>
      </c>
      <c r="AK61" s="401">
        <v>0</v>
      </c>
      <c r="AL61" s="401">
        <v>0</v>
      </c>
      <c r="AM61" s="401">
        <v>0</v>
      </c>
      <c r="AN61" s="401">
        <v>0</v>
      </c>
      <c r="AO61" s="401">
        <v>0</v>
      </c>
      <c r="AP61" s="401">
        <v>0</v>
      </c>
      <c r="AQ61" s="401">
        <v>0</v>
      </c>
      <c r="AR61" s="401">
        <v>0</v>
      </c>
      <c r="AS61" s="401">
        <v>0</v>
      </c>
      <c r="AT61" s="401">
        <v>0</v>
      </c>
      <c r="AU61" s="401">
        <v>0</v>
      </c>
      <c r="AV61" s="401">
        <v>0</v>
      </c>
      <c r="AW61" s="401">
        <v>0</v>
      </c>
      <c r="AX61" s="401">
        <v>0</v>
      </c>
      <c r="AY61" s="401">
        <v>0</v>
      </c>
      <c r="AZ61" s="401">
        <v>0</v>
      </c>
      <c r="BA61" s="401">
        <v>0</v>
      </c>
      <c r="BB61" s="401">
        <v>0</v>
      </c>
      <c r="BC61" s="401">
        <v>0</v>
      </c>
      <c r="BD61" s="401">
        <v>0</v>
      </c>
      <c r="BE61" s="401">
        <v>0</v>
      </c>
      <c r="BF61" s="401">
        <v>0</v>
      </c>
      <c r="BG61" s="423"/>
      <c r="BH61" s="424" t="s">
        <v>300</v>
      </c>
      <c r="BI61" s="404">
        <v>46011</v>
      </c>
      <c r="BJ61" s="405">
        <v>504.9</v>
      </c>
      <c r="BK61" s="425"/>
      <c r="BL61" s="406"/>
      <c r="BM61" s="409" t="s">
        <v>118</v>
      </c>
      <c r="BN61" s="408" t="s">
        <v>386</v>
      </c>
      <c r="BO61" s="409"/>
      <c r="BP61" s="409"/>
      <c r="BQ61" s="409">
        <v>46022</v>
      </c>
      <c r="BR61" s="410"/>
      <c r="BS61" s="409"/>
      <c r="BT61" s="409"/>
      <c r="BU61" s="411"/>
      <c r="BV61" s="412"/>
      <c r="BW61" s="413"/>
      <c r="BX61" s="409"/>
      <c r="BY61" s="409"/>
      <c r="BZ61" s="413"/>
      <c r="CA61" s="413"/>
      <c r="CB61" s="413"/>
      <c r="CC61" s="411"/>
      <c r="CD61" s="414"/>
      <c r="CE61" s="415"/>
      <c r="CF61" s="416" t="s">
        <v>166</v>
      </c>
      <c r="CG61" s="416"/>
    </row>
    <row r="62" spans="1:85" s="417" customFormat="1" ht="15" customHeight="1">
      <c r="A62" s="427" t="s">
        <v>301</v>
      </c>
      <c r="B62" s="428" t="s">
        <v>111</v>
      </c>
      <c r="C62" s="429">
        <v>46023</v>
      </c>
      <c r="D62" s="430" t="s">
        <v>179</v>
      </c>
      <c r="E62" s="431" t="s">
        <v>113</v>
      </c>
      <c r="F62" s="431" t="s">
        <v>114</v>
      </c>
      <c r="G62" s="431" t="s">
        <v>130</v>
      </c>
      <c r="H62" s="431" t="s">
        <v>116</v>
      </c>
      <c r="I62" s="431" t="s">
        <v>116</v>
      </c>
      <c r="J62" s="432" t="s">
        <v>116</v>
      </c>
      <c r="K62" s="431" t="b">
        <v>0</v>
      </c>
      <c r="L62" s="431" t="s">
        <v>116</v>
      </c>
      <c r="M62" s="432" t="s">
        <v>116</v>
      </c>
      <c r="N62" s="431" t="s">
        <v>118</v>
      </c>
      <c r="O62" s="433" t="s">
        <v>256</v>
      </c>
      <c r="P62" s="431" t="s">
        <v>257</v>
      </c>
      <c r="Q62" s="433" t="s">
        <v>258</v>
      </c>
      <c r="R62" s="431" t="s">
        <v>116</v>
      </c>
      <c r="S62" s="431" t="s">
        <v>116</v>
      </c>
      <c r="T62" s="433" t="s">
        <v>116</v>
      </c>
      <c r="U62" s="433" t="s">
        <v>116</v>
      </c>
      <c r="V62" s="431" t="s">
        <v>116</v>
      </c>
      <c r="W62" s="433" t="s">
        <v>116</v>
      </c>
      <c r="X62" s="434" t="s">
        <v>302</v>
      </c>
      <c r="Y62" s="435">
        <v>146.76</v>
      </c>
      <c r="Z62" s="436" t="s">
        <v>123</v>
      </c>
      <c r="AA62" s="400">
        <v>1</v>
      </c>
      <c r="AB62" s="401">
        <v>0</v>
      </c>
      <c r="AC62" s="422"/>
      <c r="AD62" s="401">
        <v>2.94</v>
      </c>
      <c r="AE62" s="401">
        <v>0</v>
      </c>
      <c r="AF62" s="401">
        <v>0</v>
      </c>
      <c r="AG62" s="401">
        <v>0</v>
      </c>
      <c r="AH62" s="401">
        <v>0</v>
      </c>
      <c r="AI62" s="401">
        <v>0</v>
      </c>
      <c r="AJ62" s="401">
        <v>0</v>
      </c>
      <c r="AK62" s="401">
        <v>0</v>
      </c>
      <c r="AL62" s="401">
        <v>0</v>
      </c>
      <c r="AM62" s="401">
        <v>0</v>
      </c>
      <c r="AN62" s="401">
        <v>0</v>
      </c>
      <c r="AO62" s="401">
        <v>0</v>
      </c>
      <c r="AP62" s="401">
        <v>0</v>
      </c>
      <c r="AQ62" s="401">
        <v>0</v>
      </c>
      <c r="AR62" s="401">
        <v>0</v>
      </c>
      <c r="AS62" s="401">
        <v>0</v>
      </c>
      <c r="AT62" s="401">
        <v>0</v>
      </c>
      <c r="AU62" s="401">
        <v>0</v>
      </c>
      <c r="AV62" s="401">
        <v>0</v>
      </c>
      <c r="AW62" s="401">
        <v>0</v>
      </c>
      <c r="AX62" s="401">
        <v>0</v>
      </c>
      <c r="AY62" s="401">
        <v>0</v>
      </c>
      <c r="AZ62" s="401">
        <v>0</v>
      </c>
      <c r="BA62" s="401">
        <v>0</v>
      </c>
      <c r="BB62" s="401">
        <v>0</v>
      </c>
      <c r="BC62" s="401">
        <v>0</v>
      </c>
      <c r="BD62" s="401">
        <v>0</v>
      </c>
      <c r="BE62" s="401">
        <v>0</v>
      </c>
      <c r="BF62" s="401">
        <v>0</v>
      </c>
      <c r="BG62" s="423"/>
      <c r="BH62" s="424" t="s">
        <v>300</v>
      </c>
      <c r="BI62" s="404">
        <v>46011</v>
      </c>
      <c r="BJ62" s="405">
        <v>504.9</v>
      </c>
      <c r="BK62" s="425"/>
      <c r="BL62" s="406"/>
      <c r="BM62" s="409" t="s">
        <v>118</v>
      </c>
      <c r="BN62" s="408" t="s">
        <v>386</v>
      </c>
      <c r="BO62" s="409"/>
      <c r="BP62" s="409"/>
      <c r="BQ62" s="409">
        <v>46022</v>
      </c>
      <c r="BR62" s="410"/>
      <c r="BS62" s="409"/>
      <c r="BT62" s="409"/>
      <c r="BU62" s="411"/>
      <c r="BV62" s="412"/>
      <c r="BW62" s="413"/>
      <c r="BX62" s="409"/>
      <c r="BY62" s="409"/>
      <c r="BZ62" s="413"/>
      <c r="CA62" s="413"/>
      <c r="CB62" s="413"/>
      <c r="CC62" s="411"/>
      <c r="CD62" s="414"/>
      <c r="CE62" s="415"/>
      <c r="CF62" s="416" t="s">
        <v>166</v>
      </c>
      <c r="CG62" s="416"/>
    </row>
    <row r="63" spans="1:85" s="417" customFormat="1" ht="15" customHeight="1">
      <c r="A63" s="427" t="s">
        <v>303</v>
      </c>
      <c r="B63" s="428" t="s">
        <v>111</v>
      </c>
      <c r="C63" s="429">
        <v>45717</v>
      </c>
      <c r="D63" s="430" t="s">
        <v>304</v>
      </c>
      <c r="E63" s="431" t="s">
        <v>113</v>
      </c>
      <c r="F63" s="431" t="s">
        <v>114</v>
      </c>
      <c r="G63" s="431" t="s">
        <v>153</v>
      </c>
      <c r="H63" s="431" t="s">
        <v>116</v>
      </c>
      <c r="I63" s="431" t="s">
        <v>116</v>
      </c>
      <c r="J63" s="432" t="s">
        <v>116</v>
      </c>
      <c r="K63" s="431" t="b">
        <v>0</v>
      </c>
      <c r="L63" s="431" t="s">
        <v>116</v>
      </c>
      <c r="M63" s="432" t="s">
        <v>116</v>
      </c>
      <c r="N63" s="431" t="s">
        <v>118</v>
      </c>
      <c r="O63" s="433" t="s">
        <v>256</v>
      </c>
      <c r="P63" s="431" t="s">
        <v>257</v>
      </c>
      <c r="Q63" s="433" t="s">
        <v>258</v>
      </c>
      <c r="R63" s="431" t="s">
        <v>116</v>
      </c>
      <c r="S63" s="431" t="s">
        <v>116</v>
      </c>
      <c r="T63" s="433" t="s">
        <v>116</v>
      </c>
      <c r="U63" s="433" t="s">
        <v>116</v>
      </c>
      <c r="V63" s="431" t="s">
        <v>116</v>
      </c>
      <c r="W63" s="433" t="s">
        <v>116</v>
      </c>
      <c r="X63" s="434" t="s">
        <v>305</v>
      </c>
      <c r="Y63" s="435">
        <v>171.18</v>
      </c>
      <c r="Z63" s="436" t="s">
        <v>123</v>
      </c>
      <c r="AA63" s="400">
        <v>1</v>
      </c>
      <c r="AB63" s="401">
        <v>0</v>
      </c>
      <c r="AC63" s="422"/>
      <c r="AD63" s="401">
        <v>1.1299999999999999</v>
      </c>
      <c r="AE63" s="401">
        <v>0</v>
      </c>
      <c r="AF63" s="401">
        <v>0</v>
      </c>
      <c r="AG63" s="401">
        <v>0</v>
      </c>
      <c r="AH63" s="401">
        <v>0</v>
      </c>
      <c r="AI63" s="401">
        <v>0</v>
      </c>
      <c r="AJ63" s="401">
        <v>0</v>
      </c>
      <c r="AK63" s="401">
        <v>0</v>
      </c>
      <c r="AL63" s="401">
        <v>0</v>
      </c>
      <c r="AM63" s="401">
        <v>0</v>
      </c>
      <c r="AN63" s="401">
        <v>0</v>
      </c>
      <c r="AO63" s="401">
        <v>0</v>
      </c>
      <c r="AP63" s="401">
        <v>0</v>
      </c>
      <c r="AQ63" s="401">
        <v>0</v>
      </c>
      <c r="AR63" s="401">
        <v>0</v>
      </c>
      <c r="AS63" s="401">
        <v>0</v>
      </c>
      <c r="AT63" s="401">
        <v>0</v>
      </c>
      <c r="AU63" s="401">
        <v>0</v>
      </c>
      <c r="AV63" s="401">
        <v>0</v>
      </c>
      <c r="AW63" s="401">
        <v>0</v>
      </c>
      <c r="AX63" s="401">
        <v>0</v>
      </c>
      <c r="AY63" s="401">
        <v>0</v>
      </c>
      <c r="AZ63" s="401">
        <v>0</v>
      </c>
      <c r="BA63" s="401">
        <v>0</v>
      </c>
      <c r="BB63" s="401">
        <v>0</v>
      </c>
      <c r="BC63" s="401">
        <v>0</v>
      </c>
      <c r="BD63" s="401">
        <v>0</v>
      </c>
      <c r="BE63" s="401">
        <v>0</v>
      </c>
      <c r="BF63" s="401">
        <v>0</v>
      </c>
      <c r="BG63" s="423"/>
      <c r="BH63" s="424" t="s">
        <v>283</v>
      </c>
      <c r="BI63" s="404">
        <v>45998</v>
      </c>
      <c r="BJ63" s="405">
        <v>233.1</v>
      </c>
      <c r="BK63" s="425"/>
      <c r="BL63" s="406"/>
      <c r="BM63" s="409" t="s">
        <v>118</v>
      </c>
      <c r="BN63" s="408" t="s">
        <v>386</v>
      </c>
      <c r="BO63" s="409"/>
      <c r="BP63" s="409"/>
      <c r="BQ63" s="409">
        <v>46022</v>
      </c>
      <c r="BR63" s="410"/>
      <c r="BS63" s="409"/>
      <c r="BT63" s="409"/>
      <c r="BU63" s="411"/>
      <c r="BV63" s="412"/>
      <c r="BW63" s="413"/>
      <c r="BX63" s="409"/>
      <c r="BY63" s="409"/>
      <c r="BZ63" s="413"/>
      <c r="CA63" s="413"/>
      <c r="CB63" s="413"/>
      <c r="CC63" s="411"/>
      <c r="CD63" s="414"/>
      <c r="CE63" s="415"/>
      <c r="CF63" s="416" t="s">
        <v>166</v>
      </c>
      <c r="CG63" s="416"/>
    </row>
    <row r="64" spans="1:85" s="417" customFormat="1" ht="15" customHeight="1">
      <c r="A64" s="427" t="s">
        <v>306</v>
      </c>
      <c r="B64" s="428" t="s">
        <v>111</v>
      </c>
      <c r="C64" s="429">
        <v>45658</v>
      </c>
      <c r="D64" s="430" t="s">
        <v>307</v>
      </c>
      <c r="E64" s="431" t="s">
        <v>113</v>
      </c>
      <c r="F64" s="431" t="s">
        <v>114</v>
      </c>
      <c r="G64" s="431" t="s">
        <v>130</v>
      </c>
      <c r="H64" s="431" t="s">
        <v>116</v>
      </c>
      <c r="I64" s="431" t="s">
        <v>214</v>
      </c>
      <c r="J64" s="432" t="s">
        <v>116</v>
      </c>
      <c r="K64" s="431" t="b">
        <v>0</v>
      </c>
      <c r="L64" s="431" t="s">
        <v>116</v>
      </c>
      <c r="M64" s="432" t="s">
        <v>116</v>
      </c>
      <c r="N64" s="431" t="s">
        <v>116</v>
      </c>
      <c r="O64" s="433" t="s">
        <v>118</v>
      </c>
      <c r="P64" s="431" t="s">
        <v>308</v>
      </c>
      <c r="Q64" s="433" t="s">
        <v>309</v>
      </c>
      <c r="R64" s="431" t="s">
        <v>116</v>
      </c>
      <c r="S64" s="431" t="s">
        <v>116</v>
      </c>
      <c r="T64" s="433" t="s">
        <v>116</v>
      </c>
      <c r="U64" s="433" t="s">
        <v>116</v>
      </c>
      <c r="V64" s="431" t="s">
        <v>116</v>
      </c>
      <c r="W64" s="433" t="s">
        <v>116</v>
      </c>
      <c r="X64" s="434" t="s">
        <v>310</v>
      </c>
      <c r="Y64" s="435">
        <v>178.18</v>
      </c>
      <c r="Z64" s="436" t="s">
        <v>123</v>
      </c>
      <c r="AA64" s="400">
        <v>1</v>
      </c>
      <c r="AB64" s="401">
        <v>0</v>
      </c>
      <c r="AC64" s="422"/>
      <c r="AD64" s="401">
        <v>2.75</v>
      </c>
      <c r="AE64" s="401">
        <v>0</v>
      </c>
      <c r="AF64" s="401">
        <v>0</v>
      </c>
      <c r="AG64" s="401">
        <v>0</v>
      </c>
      <c r="AH64" s="401">
        <v>0</v>
      </c>
      <c r="AI64" s="401">
        <v>0</v>
      </c>
      <c r="AJ64" s="401">
        <v>0</v>
      </c>
      <c r="AK64" s="401">
        <v>0</v>
      </c>
      <c r="AL64" s="401">
        <v>0</v>
      </c>
      <c r="AM64" s="401">
        <v>0</v>
      </c>
      <c r="AN64" s="401">
        <v>0</v>
      </c>
      <c r="AO64" s="401">
        <v>0</v>
      </c>
      <c r="AP64" s="401">
        <v>0</v>
      </c>
      <c r="AQ64" s="401">
        <v>0</v>
      </c>
      <c r="AR64" s="401">
        <v>0</v>
      </c>
      <c r="AS64" s="401">
        <v>0</v>
      </c>
      <c r="AT64" s="401">
        <v>0</v>
      </c>
      <c r="AU64" s="401">
        <v>0</v>
      </c>
      <c r="AV64" s="401">
        <v>0</v>
      </c>
      <c r="AW64" s="401">
        <v>0</v>
      </c>
      <c r="AX64" s="401">
        <v>0</v>
      </c>
      <c r="AY64" s="401">
        <v>0</v>
      </c>
      <c r="AZ64" s="401">
        <v>0</v>
      </c>
      <c r="BA64" s="401">
        <v>0</v>
      </c>
      <c r="BB64" s="401">
        <v>0</v>
      </c>
      <c r="BC64" s="401">
        <v>0</v>
      </c>
      <c r="BD64" s="401">
        <v>0</v>
      </c>
      <c r="BE64" s="401">
        <v>0</v>
      </c>
      <c r="BF64" s="401">
        <v>0</v>
      </c>
      <c r="BG64" s="423"/>
      <c r="BH64" s="424" t="s">
        <v>311</v>
      </c>
      <c r="BI64" s="404">
        <v>46011</v>
      </c>
      <c r="BJ64" s="405">
        <v>504.9</v>
      </c>
      <c r="BK64" s="425"/>
      <c r="BL64" s="406"/>
      <c r="BM64" s="409" t="s">
        <v>118</v>
      </c>
      <c r="BN64" s="408" t="s">
        <v>386</v>
      </c>
      <c r="BO64" s="409"/>
      <c r="BP64" s="409"/>
      <c r="BQ64" s="409">
        <v>46022</v>
      </c>
      <c r="BR64" s="410"/>
      <c r="BS64" s="409"/>
      <c r="BT64" s="409"/>
      <c r="BU64" s="411"/>
      <c r="BV64" s="412"/>
      <c r="BW64" s="413"/>
      <c r="BX64" s="409"/>
      <c r="BY64" s="409"/>
      <c r="BZ64" s="413"/>
      <c r="CA64" s="413"/>
      <c r="CB64" s="413"/>
      <c r="CC64" s="411"/>
      <c r="CD64" s="414"/>
      <c r="CE64" s="415"/>
      <c r="CF64" s="416" t="s">
        <v>166</v>
      </c>
      <c r="CG64" s="416"/>
    </row>
    <row r="65" spans="1:85" s="417" customFormat="1" ht="15" customHeight="1">
      <c r="A65" s="437" t="s">
        <v>213</v>
      </c>
      <c r="B65" s="431" t="s">
        <v>111</v>
      </c>
      <c r="C65" s="438">
        <v>44927</v>
      </c>
      <c r="D65" s="439" t="s">
        <v>112</v>
      </c>
      <c r="E65" s="431" t="s">
        <v>113</v>
      </c>
      <c r="F65" s="439" t="s">
        <v>114</v>
      </c>
      <c r="G65" s="439" t="s">
        <v>153</v>
      </c>
      <c r="H65" s="439" t="s">
        <v>116</v>
      </c>
      <c r="I65" s="439" t="s">
        <v>214</v>
      </c>
      <c r="J65" s="440" t="s">
        <v>116</v>
      </c>
      <c r="K65" s="441" t="b">
        <v>0</v>
      </c>
      <c r="L65" s="441" t="s">
        <v>116</v>
      </c>
      <c r="M65" s="440" t="s">
        <v>116</v>
      </c>
      <c r="N65" s="441" t="s">
        <v>116</v>
      </c>
      <c r="O65" s="442" t="s">
        <v>118</v>
      </c>
      <c r="P65" s="439" t="s">
        <v>308</v>
      </c>
      <c r="Q65" s="443" t="s">
        <v>309</v>
      </c>
      <c r="R65" s="441" t="s">
        <v>138</v>
      </c>
      <c r="S65" s="441" t="s">
        <v>116</v>
      </c>
      <c r="T65" s="442" t="s">
        <v>116</v>
      </c>
      <c r="U65" s="442" t="s">
        <v>116</v>
      </c>
      <c r="V65" s="441" t="s">
        <v>116</v>
      </c>
      <c r="W65" s="442" t="s">
        <v>116</v>
      </c>
      <c r="X65" s="443" t="s">
        <v>215</v>
      </c>
      <c r="Y65" s="435">
        <v>170.35</v>
      </c>
      <c r="Z65" s="439" t="s">
        <v>123</v>
      </c>
      <c r="AA65" s="400">
        <v>1</v>
      </c>
      <c r="AB65" s="401">
        <v>0</v>
      </c>
      <c r="AC65" s="422"/>
      <c r="AD65" s="401">
        <v>3.41</v>
      </c>
      <c r="AE65" s="401">
        <v>0</v>
      </c>
      <c r="AF65" s="401">
        <v>0</v>
      </c>
      <c r="AG65" s="401">
        <v>0</v>
      </c>
      <c r="AH65" s="401">
        <v>0</v>
      </c>
      <c r="AI65" s="401">
        <v>0</v>
      </c>
      <c r="AJ65" s="401">
        <v>0</v>
      </c>
      <c r="AK65" s="401">
        <v>0</v>
      </c>
      <c r="AL65" s="401">
        <v>0</v>
      </c>
      <c r="AM65" s="401">
        <v>0</v>
      </c>
      <c r="AN65" s="401">
        <v>0</v>
      </c>
      <c r="AO65" s="401">
        <v>0</v>
      </c>
      <c r="AP65" s="401">
        <v>0</v>
      </c>
      <c r="AQ65" s="401">
        <v>0</v>
      </c>
      <c r="AR65" s="401">
        <v>0</v>
      </c>
      <c r="AS65" s="401">
        <v>0</v>
      </c>
      <c r="AT65" s="401">
        <v>0</v>
      </c>
      <c r="AU65" s="401">
        <v>0</v>
      </c>
      <c r="AV65" s="401">
        <v>0</v>
      </c>
      <c r="AW65" s="401">
        <v>0</v>
      </c>
      <c r="AX65" s="401">
        <v>0</v>
      </c>
      <c r="AY65" s="401">
        <v>0</v>
      </c>
      <c r="AZ65" s="401">
        <v>0</v>
      </c>
      <c r="BA65" s="401">
        <v>0</v>
      </c>
      <c r="BB65" s="401">
        <v>0</v>
      </c>
      <c r="BC65" s="401">
        <v>0</v>
      </c>
      <c r="BD65" s="401">
        <v>0</v>
      </c>
      <c r="BE65" s="401">
        <v>0</v>
      </c>
      <c r="BF65" s="401">
        <v>0</v>
      </c>
      <c r="BG65" s="423"/>
      <c r="BH65" s="424" t="s">
        <v>312</v>
      </c>
      <c r="BI65" s="404">
        <v>46018</v>
      </c>
      <c r="BJ65" s="405">
        <v>42.59</v>
      </c>
      <c r="BK65" s="406"/>
      <c r="BL65" s="406"/>
      <c r="BM65" s="409" t="s">
        <v>118</v>
      </c>
      <c r="BN65" s="408" t="s">
        <v>386</v>
      </c>
      <c r="BO65" s="409"/>
      <c r="BP65" s="409"/>
      <c r="BQ65" s="409">
        <v>46022</v>
      </c>
      <c r="BR65" s="410"/>
      <c r="BS65" s="409"/>
      <c r="BT65" s="409"/>
      <c r="BU65" s="411"/>
      <c r="BV65" s="412"/>
      <c r="BW65" s="413"/>
      <c r="BX65" s="409"/>
      <c r="BY65" s="409"/>
      <c r="BZ65" s="413"/>
      <c r="CA65" s="413"/>
      <c r="CB65" s="413"/>
      <c r="CC65" s="411"/>
      <c r="CD65" s="414"/>
      <c r="CE65" s="415"/>
      <c r="CF65" s="416" t="s">
        <v>157</v>
      </c>
      <c r="CG65" s="416"/>
    </row>
    <row r="66" spans="1:85" s="417" customFormat="1" ht="15" customHeight="1">
      <c r="A66" s="427" t="s">
        <v>313</v>
      </c>
      <c r="B66" s="428" t="s">
        <v>111</v>
      </c>
      <c r="C66" s="429">
        <v>45658</v>
      </c>
      <c r="D66" s="430" t="s">
        <v>112</v>
      </c>
      <c r="E66" s="431" t="s">
        <v>113</v>
      </c>
      <c r="F66" s="431" t="s">
        <v>114</v>
      </c>
      <c r="G66" s="431" t="s">
        <v>130</v>
      </c>
      <c r="H66" s="431" t="s">
        <v>116</v>
      </c>
      <c r="I66" s="431" t="s">
        <v>223</v>
      </c>
      <c r="J66" s="432" t="s">
        <v>116</v>
      </c>
      <c r="K66" s="431" t="b">
        <v>0</v>
      </c>
      <c r="L66" s="431" t="s">
        <v>116</v>
      </c>
      <c r="M66" s="432" t="s">
        <v>116</v>
      </c>
      <c r="N66" s="431" t="s">
        <v>116</v>
      </c>
      <c r="O66" s="433" t="s">
        <v>116</v>
      </c>
      <c r="P66" s="431" t="s">
        <v>118</v>
      </c>
      <c r="Q66" s="433" t="s">
        <v>314</v>
      </c>
      <c r="R66" s="431" t="s">
        <v>116</v>
      </c>
      <c r="S66" s="431" t="s">
        <v>116</v>
      </c>
      <c r="T66" s="433" t="s">
        <v>116</v>
      </c>
      <c r="U66" s="433" t="s">
        <v>116</v>
      </c>
      <c r="V66" s="431" t="s">
        <v>116</v>
      </c>
      <c r="W66" s="433" t="s">
        <v>116</v>
      </c>
      <c r="X66" s="434" t="s">
        <v>315</v>
      </c>
      <c r="Y66" s="435">
        <v>184.54</v>
      </c>
      <c r="Z66" s="436" t="s">
        <v>123</v>
      </c>
      <c r="AA66" s="400">
        <v>1</v>
      </c>
      <c r="AB66" s="401">
        <v>0</v>
      </c>
      <c r="AC66" s="422"/>
      <c r="AD66" s="401">
        <v>11.07</v>
      </c>
      <c r="AE66" s="401">
        <v>0</v>
      </c>
      <c r="AF66" s="401">
        <v>0</v>
      </c>
      <c r="AG66" s="401">
        <v>0</v>
      </c>
      <c r="AH66" s="401">
        <v>0</v>
      </c>
      <c r="AI66" s="401">
        <v>0</v>
      </c>
      <c r="AJ66" s="401">
        <v>0</v>
      </c>
      <c r="AK66" s="401">
        <v>0</v>
      </c>
      <c r="AL66" s="401">
        <v>0</v>
      </c>
      <c r="AM66" s="401">
        <v>0</v>
      </c>
      <c r="AN66" s="401">
        <v>0</v>
      </c>
      <c r="AO66" s="401">
        <v>0</v>
      </c>
      <c r="AP66" s="401">
        <v>0</v>
      </c>
      <c r="AQ66" s="401">
        <v>0</v>
      </c>
      <c r="AR66" s="401">
        <v>0</v>
      </c>
      <c r="AS66" s="401">
        <v>0</v>
      </c>
      <c r="AT66" s="401">
        <v>0</v>
      </c>
      <c r="AU66" s="401">
        <v>0</v>
      </c>
      <c r="AV66" s="401">
        <v>0</v>
      </c>
      <c r="AW66" s="401">
        <v>0</v>
      </c>
      <c r="AX66" s="401">
        <v>0</v>
      </c>
      <c r="AY66" s="401">
        <v>0</v>
      </c>
      <c r="AZ66" s="401">
        <v>0</v>
      </c>
      <c r="BA66" s="401">
        <v>0</v>
      </c>
      <c r="BB66" s="401">
        <v>0</v>
      </c>
      <c r="BC66" s="401">
        <v>0</v>
      </c>
      <c r="BD66" s="401">
        <v>0</v>
      </c>
      <c r="BE66" s="401">
        <v>0</v>
      </c>
      <c r="BF66" s="401">
        <v>0</v>
      </c>
      <c r="BG66" s="423"/>
      <c r="BH66" s="424" t="s">
        <v>316</v>
      </c>
      <c r="BI66" s="404">
        <v>45998</v>
      </c>
      <c r="BJ66" s="405">
        <v>26.78</v>
      </c>
      <c r="BK66" s="406"/>
      <c r="BL66" s="406"/>
      <c r="BM66" s="409" t="s">
        <v>118</v>
      </c>
      <c r="BN66" s="408" t="s">
        <v>386</v>
      </c>
      <c r="BO66" s="409"/>
      <c r="BP66" s="409"/>
      <c r="BQ66" s="409">
        <v>46022</v>
      </c>
      <c r="BR66" s="410"/>
      <c r="BS66" s="409"/>
      <c r="BT66" s="409"/>
      <c r="BU66" s="411"/>
      <c r="BV66" s="412"/>
      <c r="BW66" s="413"/>
      <c r="BX66" s="409"/>
      <c r="BY66" s="409"/>
      <c r="BZ66" s="413"/>
      <c r="CA66" s="413"/>
      <c r="CB66" s="413"/>
      <c r="CC66" s="411"/>
      <c r="CD66" s="414"/>
      <c r="CE66" s="415"/>
      <c r="CF66" s="416" t="s">
        <v>166</v>
      </c>
      <c r="CG66" s="416"/>
    </row>
    <row r="67" spans="1:85" s="417" customFormat="1" ht="15" customHeight="1">
      <c r="A67" s="427" t="s">
        <v>317</v>
      </c>
      <c r="B67" s="428" t="s">
        <v>111</v>
      </c>
      <c r="C67" s="429">
        <v>45658</v>
      </c>
      <c r="D67" s="430" t="s">
        <v>112</v>
      </c>
      <c r="E67" s="431" t="s">
        <v>113</v>
      </c>
      <c r="F67" s="431" t="s">
        <v>114</v>
      </c>
      <c r="G67" s="431" t="s">
        <v>130</v>
      </c>
      <c r="H67" s="431" t="s">
        <v>116</v>
      </c>
      <c r="I67" s="431" t="s">
        <v>223</v>
      </c>
      <c r="J67" s="432" t="s">
        <v>116</v>
      </c>
      <c r="K67" s="431" t="b">
        <v>0</v>
      </c>
      <c r="L67" s="431" t="s">
        <v>116</v>
      </c>
      <c r="M67" s="432" t="s">
        <v>116</v>
      </c>
      <c r="N67" s="431" t="s">
        <v>116</v>
      </c>
      <c r="O67" s="433" t="s">
        <v>116</v>
      </c>
      <c r="P67" s="431" t="s">
        <v>118</v>
      </c>
      <c r="Q67" s="433" t="s">
        <v>314</v>
      </c>
      <c r="R67" s="431" t="s">
        <v>116</v>
      </c>
      <c r="S67" s="431" t="s">
        <v>116</v>
      </c>
      <c r="T67" s="433" t="s">
        <v>116</v>
      </c>
      <c r="U67" s="433" t="s">
        <v>116</v>
      </c>
      <c r="V67" s="431" t="s">
        <v>116</v>
      </c>
      <c r="W67" s="433" t="s">
        <v>116</v>
      </c>
      <c r="X67" s="434" t="s">
        <v>318</v>
      </c>
      <c r="Y67" s="435" t="s">
        <v>116</v>
      </c>
      <c r="Z67" s="436" t="s">
        <v>123</v>
      </c>
      <c r="AA67" s="400">
        <v>1</v>
      </c>
      <c r="AB67" s="401">
        <v>0</v>
      </c>
      <c r="AC67" s="422"/>
      <c r="AD67" s="401">
        <v>10.24</v>
      </c>
      <c r="AE67" s="401">
        <v>0</v>
      </c>
      <c r="AF67" s="401">
        <v>0</v>
      </c>
      <c r="AG67" s="401">
        <v>0</v>
      </c>
      <c r="AH67" s="401">
        <v>0</v>
      </c>
      <c r="AI67" s="401">
        <v>0</v>
      </c>
      <c r="AJ67" s="401">
        <v>0</v>
      </c>
      <c r="AK67" s="401">
        <v>0</v>
      </c>
      <c r="AL67" s="401">
        <v>0</v>
      </c>
      <c r="AM67" s="401">
        <v>0</v>
      </c>
      <c r="AN67" s="401">
        <v>0</v>
      </c>
      <c r="AO67" s="401">
        <v>0</v>
      </c>
      <c r="AP67" s="401">
        <v>0</v>
      </c>
      <c r="AQ67" s="401">
        <v>0</v>
      </c>
      <c r="AR67" s="401">
        <v>0</v>
      </c>
      <c r="AS67" s="401">
        <v>0</v>
      </c>
      <c r="AT67" s="401">
        <v>0</v>
      </c>
      <c r="AU67" s="401">
        <v>0</v>
      </c>
      <c r="AV67" s="401">
        <v>0</v>
      </c>
      <c r="AW67" s="401">
        <v>0</v>
      </c>
      <c r="AX67" s="401">
        <v>0</v>
      </c>
      <c r="AY67" s="401">
        <v>0</v>
      </c>
      <c r="AZ67" s="401">
        <v>0</v>
      </c>
      <c r="BA67" s="401">
        <v>0</v>
      </c>
      <c r="BB67" s="401">
        <v>0</v>
      </c>
      <c r="BC67" s="401">
        <v>0</v>
      </c>
      <c r="BD67" s="401">
        <v>0</v>
      </c>
      <c r="BE67" s="401">
        <v>0</v>
      </c>
      <c r="BF67" s="401">
        <v>0</v>
      </c>
      <c r="BG67" s="423"/>
      <c r="BH67" s="424" t="s">
        <v>316</v>
      </c>
      <c r="BI67" s="404">
        <v>45998</v>
      </c>
      <c r="BJ67" s="405">
        <v>26.78</v>
      </c>
      <c r="BK67" s="406"/>
      <c r="BL67" s="406"/>
      <c r="BM67" s="409" t="s">
        <v>118</v>
      </c>
      <c r="BN67" s="408" t="s">
        <v>386</v>
      </c>
      <c r="BO67" s="409"/>
      <c r="BP67" s="409"/>
      <c r="BQ67" s="409">
        <v>46022</v>
      </c>
      <c r="BR67" s="410"/>
      <c r="BS67" s="409"/>
      <c r="BT67" s="409"/>
      <c r="BU67" s="411"/>
      <c r="BV67" s="412"/>
      <c r="BW67" s="413"/>
      <c r="BX67" s="409"/>
      <c r="BY67" s="409"/>
      <c r="BZ67" s="413"/>
      <c r="CA67" s="413"/>
      <c r="CB67" s="413"/>
      <c r="CC67" s="411"/>
      <c r="CD67" s="414"/>
      <c r="CE67" s="415"/>
      <c r="CF67" s="416" t="s">
        <v>166</v>
      </c>
      <c r="CG67" s="416"/>
    </row>
    <row r="68" spans="1:85" s="417" customFormat="1" ht="15" customHeight="1">
      <c r="A68" s="437" t="s">
        <v>319</v>
      </c>
      <c r="B68" s="431" t="s">
        <v>111</v>
      </c>
      <c r="C68" s="438">
        <v>45809</v>
      </c>
      <c r="D68" s="439" t="s">
        <v>112</v>
      </c>
      <c r="E68" s="431" t="s">
        <v>113</v>
      </c>
      <c r="F68" s="439" t="s">
        <v>114</v>
      </c>
      <c r="G68" s="439" t="s">
        <v>320</v>
      </c>
      <c r="H68" s="439" t="s">
        <v>116</v>
      </c>
      <c r="I68" s="439" t="s">
        <v>116</v>
      </c>
      <c r="J68" s="440" t="s">
        <v>116</v>
      </c>
      <c r="K68" s="441" t="b">
        <v>0</v>
      </c>
      <c r="L68" s="441" t="s">
        <v>116</v>
      </c>
      <c r="M68" s="440" t="s">
        <v>116</v>
      </c>
      <c r="N68" s="441" t="s">
        <v>116</v>
      </c>
      <c r="O68" s="433" t="s">
        <v>116</v>
      </c>
      <c r="P68" s="431" t="s">
        <v>118</v>
      </c>
      <c r="Q68" s="443" t="s">
        <v>314</v>
      </c>
      <c r="R68" s="441" t="s">
        <v>116</v>
      </c>
      <c r="S68" s="441" t="s">
        <v>116</v>
      </c>
      <c r="T68" s="442" t="s">
        <v>116</v>
      </c>
      <c r="U68" s="442" t="s">
        <v>116</v>
      </c>
      <c r="V68" s="441" t="s">
        <v>116</v>
      </c>
      <c r="W68" s="442" t="s">
        <v>116</v>
      </c>
      <c r="X68" s="443" t="s">
        <v>321</v>
      </c>
      <c r="Y68" s="435">
        <v>181.94</v>
      </c>
      <c r="Z68" s="439" t="s">
        <v>123</v>
      </c>
      <c r="AA68" s="400">
        <v>1</v>
      </c>
      <c r="AB68" s="401">
        <v>0</v>
      </c>
      <c r="AC68" s="422"/>
      <c r="AD68" s="401">
        <v>10.92</v>
      </c>
      <c r="AE68" s="401">
        <v>0</v>
      </c>
      <c r="AF68" s="401">
        <v>0</v>
      </c>
      <c r="AG68" s="401">
        <v>0</v>
      </c>
      <c r="AH68" s="401">
        <v>0</v>
      </c>
      <c r="AI68" s="401">
        <v>0</v>
      </c>
      <c r="AJ68" s="401">
        <v>0</v>
      </c>
      <c r="AK68" s="401">
        <v>0</v>
      </c>
      <c r="AL68" s="401">
        <v>0</v>
      </c>
      <c r="AM68" s="401">
        <v>0</v>
      </c>
      <c r="AN68" s="401">
        <v>0</v>
      </c>
      <c r="AO68" s="401">
        <v>0</v>
      </c>
      <c r="AP68" s="401">
        <v>0</v>
      </c>
      <c r="AQ68" s="401">
        <v>0</v>
      </c>
      <c r="AR68" s="401">
        <v>0</v>
      </c>
      <c r="AS68" s="401">
        <v>0</v>
      </c>
      <c r="AT68" s="401">
        <v>0</v>
      </c>
      <c r="AU68" s="401">
        <v>0</v>
      </c>
      <c r="AV68" s="401">
        <v>0</v>
      </c>
      <c r="AW68" s="401">
        <v>0</v>
      </c>
      <c r="AX68" s="401">
        <v>0</v>
      </c>
      <c r="AY68" s="401">
        <v>0</v>
      </c>
      <c r="AZ68" s="401">
        <v>0</v>
      </c>
      <c r="BA68" s="401">
        <v>0</v>
      </c>
      <c r="BB68" s="401">
        <v>0</v>
      </c>
      <c r="BC68" s="401">
        <v>0</v>
      </c>
      <c r="BD68" s="401">
        <v>0</v>
      </c>
      <c r="BE68" s="401">
        <v>0</v>
      </c>
      <c r="BF68" s="401">
        <v>0</v>
      </c>
      <c r="BG68" s="423"/>
      <c r="BH68" s="424" t="s">
        <v>322</v>
      </c>
      <c r="BI68" s="404">
        <v>46011</v>
      </c>
      <c r="BJ68" s="405">
        <v>33.81</v>
      </c>
      <c r="BK68" s="406"/>
      <c r="BL68" s="406"/>
      <c r="BM68" s="409" t="s">
        <v>118</v>
      </c>
      <c r="BN68" s="408" t="s">
        <v>386</v>
      </c>
      <c r="BO68" s="409"/>
      <c r="BP68" s="409"/>
      <c r="BQ68" s="409">
        <v>46022</v>
      </c>
      <c r="BR68" s="410"/>
      <c r="BS68" s="409"/>
      <c r="BT68" s="409"/>
      <c r="BU68" s="411"/>
      <c r="BV68" s="412"/>
      <c r="BW68" s="413"/>
      <c r="BX68" s="409"/>
      <c r="BY68" s="409"/>
      <c r="BZ68" s="413"/>
      <c r="CA68" s="413"/>
      <c r="CB68" s="413"/>
      <c r="CC68" s="411"/>
      <c r="CD68" s="414"/>
      <c r="CE68" s="415"/>
      <c r="CF68" s="416" t="s">
        <v>166</v>
      </c>
      <c r="CG68" s="416"/>
    </row>
    <row r="69" spans="1:85" s="417" customFormat="1" ht="15" customHeight="1">
      <c r="A69" s="427" t="s">
        <v>323</v>
      </c>
      <c r="B69" s="428" t="s">
        <v>111</v>
      </c>
      <c r="C69" s="429">
        <v>43101.333333333336</v>
      </c>
      <c r="D69" s="430" t="s">
        <v>324</v>
      </c>
      <c r="E69" s="431" t="s">
        <v>113</v>
      </c>
      <c r="F69" s="431" t="s">
        <v>114</v>
      </c>
      <c r="G69" s="431" t="s">
        <v>130</v>
      </c>
      <c r="H69" s="431" t="s">
        <v>116</v>
      </c>
      <c r="I69" s="431" t="s">
        <v>116</v>
      </c>
      <c r="J69" s="432" t="s">
        <v>116</v>
      </c>
      <c r="K69" s="431" t="b">
        <v>0</v>
      </c>
      <c r="L69" s="431" t="s">
        <v>116</v>
      </c>
      <c r="M69" s="432" t="s">
        <v>116</v>
      </c>
      <c r="N69" s="431" t="s">
        <v>116</v>
      </c>
      <c r="O69" s="433" t="s">
        <v>116</v>
      </c>
      <c r="P69" s="431" t="s">
        <v>118</v>
      </c>
      <c r="Q69" s="433" t="s">
        <v>325</v>
      </c>
      <c r="R69" s="431" t="s">
        <v>116</v>
      </c>
      <c r="S69" s="431" t="s">
        <v>116</v>
      </c>
      <c r="T69" s="433" t="s">
        <v>116</v>
      </c>
      <c r="U69" s="433" t="s">
        <v>116</v>
      </c>
      <c r="V69" s="431" t="s">
        <v>116</v>
      </c>
      <c r="W69" s="433" t="s">
        <v>116</v>
      </c>
      <c r="X69" s="434" t="s">
        <v>132</v>
      </c>
      <c r="Y69" s="435">
        <v>95</v>
      </c>
      <c r="Z69" s="436" t="s">
        <v>123</v>
      </c>
      <c r="AA69" s="400">
        <v>1</v>
      </c>
      <c r="AB69" s="401">
        <v>0</v>
      </c>
      <c r="AC69" s="422"/>
      <c r="AD69" s="401">
        <v>2.85</v>
      </c>
      <c r="AE69" s="401">
        <v>0</v>
      </c>
      <c r="AF69" s="401">
        <v>0</v>
      </c>
      <c r="AG69" s="401">
        <v>0</v>
      </c>
      <c r="AH69" s="401">
        <v>0</v>
      </c>
      <c r="AI69" s="401">
        <v>0</v>
      </c>
      <c r="AJ69" s="401">
        <v>0</v>
      </c>
      <c r="AK69" s="401">
        <v>0</v>
      </c>
      <c r="AL69" s="401">
        <v>0</v>
      </c>
      <c r="AM69" s="401">
        <v>0</v>
      </c>
      <c r="AN69" s="401">
        <v>0</v>
      </c>
      <c r="AO69" s="401">
        <v>0</v>
      </c>
      <c r="AP69" s="401">
        <v>0</v>
      </c>
      <c r="AQ69" s="401">
        <v>0</v>
      </c>
      <c r="AR69" s="401">
        <v>0</v>
      </c>
      <c r="AS69" s="401">
        <v>0</v>
      </c>
      <c r="AT69" s="401">
        <v>0</v>
      </c>
      <c r="AU69" s="401">
        <v>0</v>
      </c>
      <c r="AV69" s="401">
        <v>0</v>
      </c>
      <c r="AW69" s="401">
        <v>0</v>
      </c>
      <c r="AX69" s="401">
        <v>0</v>
      </c>
      <c r="AY69" s="401">
        <v>0</v>
      </c>
      <c r="AZ69" s="401">
        <v>0</v>
      </c>
      <c r="BA69" s="401">
        <v>0</v>
      </c>
      <c r="BB69" s="401">
        <v>0</v>
      </c>
      <c r="BC69" s="401">
        <v>0</v>
      </c>
      <c r="BD69" s="401">
        <v>0</v>
      </c>
      <c r="BE69" s="401">
        <v>0</v>
      </c>
      <c r="BF69" s="401">
        <v>0</v>
      </c>
      <c r="BG69" s="423"/>
      <c r="BH69" s="424" t="s">
        <v>326</v>
      </c>
      <c r="BI69" s="404">
        <v>46011</v>
      </c>
      <c r="BJ69" s="405">
        <v>33.81</v>
      </c>
      <c r="BK69" s="425"/>
      <c r="BL69" s="406"/>
      <c r="BM69" s="409" t="s">
        <v>118</v>
      </c>
      <c r="BN69" s="408" t="s">
        <v>386</v>
      </c>
      <c r="BO69" s="409"/>
      <c r="BP69" s="409"/>
      <c r="BQ69" s="409">
        <v>46022</v>
      </c>
      <c r="BR69" s="410"/>
      <c r="BS69" s="409"/>
      <c r="BT69" s="409"/>
      <c r="BU69" s="411"/>
      <c r="BV69" s="412"/>
      <c r="BW69" s="413"/>
      <c r="BX69" s="409"/>
      <c r="BY69" s="409"/>
      <c r="BZ69" s="413"/>
      <c r="CA69" s="413"/>
      <c r="CB69" s="413"/>
      <c r="CC69" s="411"/>
      <c r="CD69" s="414"/>
      <c r="CE69" s="415"/>
      <c r="CF69" s="416" t="s">
        <v>157</v>
      </c>
      <c r="CG69" s="416"/>
    </row>
    <row r="70" spans="1:85" s="417" customFormat="1" ht="15" customHeight="1">
      <c r="A70" s="427" t="s">
        <v>327</v>
      </c>
      <c r="B70" s="428" t="s">
        <v>111</v>
      </c>
      <c r="C70" s="429">
        <v>46023</v>
      </c>
      <c r="D70" s="430" t="s">
        <v>112</v>
      </c>
      <c r="E70" s="431" t="s">
        <v>113</v>
      </c>
      <c r="F70" s="431" t="s">
        <v>114</v>
      </c>
      <c r="G70" s="431"/>
      <c r="H70" s="431"/>
      <c r="I70" s="431"/>
      <c r="J70" s="432"/>
      <c r="K70" s="431"/>
      <c r="L70" s="431"/>
      <c r="M70" s="432"/>
      <c r="N70" s="431"/>
      <c r="O70" s="433"/>
      <c r="P70" s="431" t="s">
        <v>118</v>
      </c>
      <c r="Q70" s="433" t="s">
        <v>325</v>
      </c>
      <c r="R70" s="431"/>
      <c r="S70" s="431"/>
      <c r="T70" s="433"/>
      <c r="U70" s="433"/>
      <c r="V70" s="431"/>
      <c r="W70" s="433"/>
      <c r="X70" s="434" t="s">
        <v>328</v>
      </c>
      <c r="Y70" s="435"/>
      <c r="Z70" s="436"/>
      <c r="AA70" s="400">
        <v>1</v>
      </c>
      <c r="AB70" s="401">
        <v>0</v>
      </c>
      <c r="AC70" s="422"/>
      <c r="AD70" s="401">
        <v>5.97</v>
      </c>
      <c r="AE70" s="401">
        <v>0</v>
      </c>
      <c r="AF70" s="401">
        <v>0</v>
      </c>
      <c r="AG70" s="401">
        <v>0</v>
      </c>
      <c r="AH70" s="401">
        <v>0</v>
      </c>
      <c r="AI70" s="401">
        <v>0</v>
      </c>
      <c r="AJ70" s="401">
        <v>0</v>
      </c>
      <c r="AK70" s="401">
        <v>0</v>
      </c>
      <c r="AL70" s="401">
        <v>0</v>
      </c>
      <c r="AM70" s="401">
        <v>0</v>
      </c>
      <c r="AN70" s="401">
        <v>0</v>
      </c>
      <c r="AO70" s="401">
        <v>0</v>
      </c>
      <c r="AP70" s="401">
        <v>0</v>
      </c>
      <c r="AQ70" s="401">
        <v>0</v>
      </c>
      <c r="AR70" s="401">
        <v>0</v>
      </c>
      <c r="AS70" s="401">
        <v>0</v>
      </c>
      <c r="AT70" s="401">
        <v>0</v>
      </c>
      <c r="AU70" s="401">
        <v>0</v>
      </c>
      <c r="AV70" s="401">
        <v>0</v>
      </c>
      <c r="AW70" s="401">
        <v>0</v>
      </c>
      <c r="AX70" s="401">
        <v>0</v>
      </c>
      <c r="AY70" s="401">
        <v>0</v>
      </c>
      <c r="AZ70" s="401">
        <v>0</v>
      </c>
      <c r="BA70" s="401">
        <v>0</v>
      </c>
      <c r="BB70" s="401">
        <v>0</v>
      </c>
      <c r="BC70" s="401">
        <v>0</v>
      </c>
      <c r="BD70" s="401">
        <v>0</v>
      </c>
      <c r="BE70" s="401">
        <v>0</v>
      </c>
      <c r="BF70" s="401">
        <v>0</v>
      </c>
      <c r="BG70" s="423"/>
      <c r="BH70" s="424" t="s">
        <v>329</v>
      </c>
      <c r="BI70" s="404">
        <v>46011</v>
      </c>
      <c r="BJ70" s="405">
        <v>33.81</v>
      </c>
      <c r="BK70" s="425"/>
      <c r="BL70" s="406"/>
      <c r="BM70" s="409" t="s">
        <v>118</v>
      </c>
      <c r="BN70" s="408" t="s">
        <v>386</v>
      </c>
      <c r="BO70" s="409"/>
      <c r="BP70" s="409"/>
      <c r="BQ70" s="409">
        <v>46022</v>
      </c>
      <c r="BR70" s="410"/>
      <c r="BS70" s="409"/>
      <c r="BT70" s="409"/>
      <c r="BU70" s="411"/>
      <c r="BV70" s="412"/>
      <c r="BW70" s="413"/>
      <c r="BX70" s="409"/>
      <c r="BY70" s="409"/>
      <c r="BZ70" s="413"/>
      <c r="CA70" s="413"/>
      <c r="CB70" s="413"/>
      <c r="CC70" s="411"/>
      <c r="CD70" s="414"/>
      <c r="CE70" s="415"/>
      <c r="CF70" s="416" t="s">
        <v>166</v>
      </c>
      <c r="CG70" s="416"/>
    </row>
    <row r="71" spans="1:85" s="417" customFormat="1" ht="15" customHeight="1">
      <c r="A71" s="427" t="s">
        <v>330</v>
      </c>
      <c r="B71" s="428" t="s">
        <v>111</v>
      </c>
      <c r="C71" s="429">
        <v>45870</v>
      </c>
      <c r="D71" s="430" t="s">
        <v>290</v>
      </c>
      <c r="E71" s="431" t="s">
        <v>113</v>
      </c>
      <c r="F71" s="431" t="s">
        <v>114</v>
      </c>
      <c r="G71" s="431" t="s">
        <v>153</v>
      </c>
      <c r="H71" s="431" t="s">
        <v>116</v>
      </c>
      <c r="I71" s="431" t="s">
        <v>116</v>
      </c>
      <c r="J71" s="432" t="s">
        <v>116</v>
      </c>
      <c r="K71" s="431" t="b">
        <v>0</v>
      </c>
      <c r="L71" s="431" t="s">
        <v>116</v>
      </c>
      <c r="M71" s="432" t="s">
        <v>116</v>
      </c>
      <c r="N71" s="431"/>
      <c r="O71" s="433"/>
      <c r="P71" s="431" t="s">
        <v>118</v>
      </c>
      <c r="Q71" s="433" t="s">
        <v>180</v>
      </c>
      <c r="R71" s="431" t="s">
        <v>116</v>
      </c>
      <c r="S71" s="431" t="s">
        <v>116</v>
      </c>
      <c r="T71" s="433" t="s">
        <v>116</v>
      </c>
      <c r="U71" s="433" t="s">
        <v>116</v>
      </c>
      <c r="V71" s="431" t="s">
        <v>116</v>
      </c>
      <c r="W71" s="433" t="s">
        <v>116</v>
      </c>
      <c r="X71" s="434" t="s">
        <v>331</v>
      </c>
      <c r="Y71" s="435">
        <v>164.36</v>
      </c>
      <c r="Z71" s="436" t="s">
        <v>123</v>
      </c>
      <c r="AA71" s="400">
        <v>1</v>
      </c>
      <c r="AB71" s="401">
        <v>0</v>
      </c>
      <c r="AC71" s="422"/>
      <c r="AD71" s="401">
        <v>8.2200000000000006</v>
      </c>
      <c r="AE71" s="401">
        <v>0</v>
      </c>
      <c r="AF71" s="401">
        <v>0</v>
      </c>
      <c r="AG71" s="401">
        <v>0</v>
      </c>
      <c r="AH71" s="401">
        <v>0</v>
      </c>
      <c r="AI71" s="401">
        <v>0</v>
      </c>
      <c r="AJ71" s="401">
        <v>0</v>
      </c>
      <c r="AK71" s="401">
        <v>0</v>
      </c>
      <c r="AL71" s="401">
        <v>0</v>
      </c>
      <c r="AM71" s="401">
        <v>0</v>
      </c>
      <c r="AN71" s="401">
        <v>0</v>
      </c>
      <c r="AO71" s="401">
        <v>0</v>
      </c>
      <c r="AP71" s="401">
        <v>0</v>
      </c>
      <c r="AQ71" s="401">
        <v>0</v>
      </c>
      <c r="AR71" s="401">
        <v>0</v>
      </c>
      <c r="AS71" s="401">
        <v>0</v>
      </c>
      <c r="AT71" s="401">
        <v>0</v>
      </c>
      <c r="AU71" s="401">
        <v>0</v>
      </c>
      <c r="AV71" s="401">
        <v>0</v>
      </c>
      <c r="AW71" s="401">
        <v>0</v>
      </c>
      <c r="AX71" s="401">
        <v>0</v>
      </c>
      <c r="AY71" s="401">
        <v>0</v>
      </c>
      <c r="AZ71" s="401">
        <v>0</v>
      </c>
      <c r="BA71" s="401">
        <v>0</v>
      </c>
      <c r="BB71" s="401">
        <v>0</v>
      </c>
      <c r="BC71" s="401">
        <v>0</v>
      </c>
      <c r="BD71" s="401">
        <v>0</v>
      </c>
      <c r="BE71" s="401">
        <v>0</v>
      </c>
      <c r="BF71" s="401">
        <v>0</v>
      </c>
      <c r="BG71" s="423"/>
      <c r="BH71" s="424" t="s">
        <v>332</v>
      </c>
      <c r="BI71" s="404">
        <v>46011</v>
      </c>
      <c r="BJ71" s="405">
        <v>504.9</v>
      </c>
      <c r="BK71" s="425"/>
      <c r="BL71" s="406"/>
      <c r="BM71" s="409" t="s">
        <v>118</v>
      </c>
      <c r="BN71" s="408" t="s">
        <v>386</v>
      </c>
      <c r="BO71" s="409"/>
      <c r="BP71" s="409"/>
      <c r="BQ71" s="409">
        <v>46022</v>
      </c>
      <c r="BR71" s="410"/>
      <c r="BS71" s="409"/>
      <c r="BT71" s="409"/>
      <c r="BU71" s="411"/>
      <c r="BV71" s="412"/>
      <c r="BW71" s="413"/>
      <c r="BX71" s="409"/>
      <c r="BY71" s="409"/>
      <c r="BZ71" s="413"/>
      <c r="CA71" s="413"/>
      <c r="CB71" s="413"/>
      <c r="CC71" s="411"/>
      <c r="CD71" s="414"/>
      <c r="CE71" s="415"/>
      <c r="CF71" s="416" t="s">
        <v>166</v>
      </c>
      <c r="CG71" s="416"/>
    </row>
    <row r="72" spans="1:85" s="417" customFormat="1" ht="15" customHeight="1">
      <c r="A72" s="393" t="s">
        <v>333</v>
      </c>
      <c r="B72" s="394" t="s">
        <v>111</v>
      </c>
      <c r="C72" s="395">
        <v>45292</v>
      </c>
      <c r="D72" s="396" t="s">
        <v>334</v>
      </c>
      <c r="E72" s="397" t="s">
        <v>113</v>
      </c>
      <c r="F72" s="397" t="s">
        <v>114</v>
      </c>
      <c r="G72" s="397" t="s">
        <v>115</v>
      </c>
      <c r="H72" s="397" t="s">
        <v>116</v>
      </c>
      <c r="I72" s="397" t="s">
        <v>117</v>
      </c>
      <c r="J72" s="397" t="s">
        <v>116</v>
      </c>
      <c r="K72" s="397" t="b">
        <v>0</v>
      </c>
      <c r="L72" s="397" t="s">
        <v>116</v>
      </c>
      <c r="M72" s="397" t="s">
        <v>116</v>
      </c>
      <c r="N72" s="397" t="s">
        <v>116</v>
      </c>
      <c r="O72" s="397" t="s">
        <v>116</v>
      </c>
      <c r="P72" s="397" t="s">
        <v>118</v>
      </c>
      <c r="Q72" s="397" t="s">
        <v>180</v>
      </c>
      <c r="R72" s="397" t="s">
        <v>116</v>
      </c>
      <c r="S72" s="397" t="s">
        <v>116</v>
      </c>
      <c r="T72" s="397" t="s">
        <v>116</v>
      </c>
      <c r="U72" s="397" t="s">
        <v>116</v>
      </c>
      <c r="V72" s="397" t="s">
        <v>116</v>
      </c>
      <c r="W72" s="397" t="s">
        <v>116</v>
      </c>
      <c r="X72" s="398" t="s">
        <v>335</v>
      </c>
      <c r="Y72" s="399" t="s">
        <v>116</v>
      </c>
      <c r="Z72" s="398" t="s">
        <v>123</v>
      </c>
      <c r="AA72" s="400">
        <v>1</v>
      </c>
      <c r="AB72" s="401">
        <v>0</v>
      </c>
      <c r="AC72" s="402"/>
      <c r="AD72" s="401">
        <v>4.16</v>
      </c>
      <c r="AE72" s="401">
        <v>0</v>
      </c>
      <c r="AF72" s="401">
        <v>0</v>
      </c>
      <c r="AG72" s="401">
        <v>0</v>
      </c>
      <c r="AH72" s="401">
        <v>0</v>
      </c>
      <c r="AI72" s="401">
        <v>0</v>
      </c>
      <c r="AJ72" s="401">
        <v>0</v>
      </c>
      <c r="AK72" s="401">
        <v>0</v>
      </c>
      <c r="AL72" s="401">
        <v>0</v>
      </c>
      <c r="AM72" s="401">
        <v>0</v>
      </c>
      <c r="AN72" s="401">
        <v>0</v>
      </c>
      <c r="AO72" s="401">
        <v>0</v>
      </c>
      <c r="AP72" s="401">
        <v>0</v>
      </c>
      <c r="AQ72" s="401">
        <v>0</v>
      </c>
      <c r="AR72" s="401">
        <v>0</v>
      </c>
      <c r="AS72" s="401">
        <v>0</v>
      </c>
      <c r="AT72" s="401">
        <v>0</v>
      </c>
      <c r="AU72" s="401">
        <v>0</v>
      </c>
      <c r="AV72" s="401">
        <v>0</v>
      </c>
      <c r="AW72" s="401">
        <v>0</v>
      </c>
      <c r="AX72" s="401">
        <v>0</v>
      </c>
      <c r="AY72" s="401">
        <v>0</v>
      </c>
      <c r="AZ72" s="401">
        <v>0</v>
      </c>
      <c r="BA72" s="401">
        <v>0</v>
      </c>
      <c r="BB72" s="401">
        <v>0</v>
      </c>
      <c r="BC72" s="401">
        <v>0</v>
      </c>
      <c r="BD72" s="401">
        <v>0</v>
      </c>
      <c r="BE72" s="401">
        <v>0</v>
      </c>
      <c r="BF72" s="401">
        <v>0</v>
      </c>
      <c r="BG72" s="426"/>
      <c r="BH72" s="403" t="s">
        <v>336</v>
      </c>
      <c r="BI72" s="404">
        <v>45998</v>
      </c>
      <c r="BJ72" s="405">
        <v>233.1</v>
      </c>
      <c r="BK72" s="425"/>
      <c r="BL72" s="406"/>
      <c r="BM72" s="409" t="s">
        <v>118</v>
      </c>
      <c r="BN72" s="408" t="s">
        <v>386</v>
      </c>
      <c r="BO72" s="409"/>
      <c r="BP72" s="409"/>
      <c r="BQ72" s="409">
        <v>46022</v>
      </c>
      <c r="BR72" s="410"/>
      <c r="BS72" s="409"/>
      <c r="BT72" s="409"/>
      <c r="BU72" s="411"/>
      <c r="BV72" s="412"/>
      <c r="BW72" s="413"/>
      <c r="BX72" s="409"/>
      <c r="BY72" s="409"/>
      <c r="BZ72" s="413"/>
      <c r="CA72" s="413"/>
      <c r="CB72" s="413"/>
      <c r="CC72" s="411"/>
      <c r="CD72" s="414"/>
      <c r="CE72" s="415"/>
      <c r="CF72" s="416" t="s">
        <v>157</v>
      </c>
      <c r="CG72" s="416"/>
    </row>
    <row r="73" spans="1:85" s="417" customFormat="1" ht="15" customHeight="1">
      <c r="A73" s="393" t="s">
        <v>337</v>
      </c>
      <c r="B73" s="394" t="s">
        <v>111</v>
      </c>
      <c r="C73" s="395">
        <v>45901</v>
      </c>
      <c r="D73" s="396" t="s">
        <v>290</v>
      </c>
      <c r="E73" s="397" t="s">
        <v>113</v>
      </c>
      <c r="F73" s="397" t="s">
        <v>114</v>
      </c>
      <c r="G73" s="397" t="s">
        <v>130</v>
      </c>
      <c r="H73" s="397" t="s">
        <v>116</v>
      </c>
      <c r="I73" s="397" t="s">
        <v>116</v>
      </c>
      <c r="J73" s="397" t="s">
        <v>116</v>
      </c>
      <c r="K73" s="397" t="b">
        <v>0</v>
      </c>
      <c r="L73" s="397" t="s">
        <v>116</v>
      </c>
      <c r="M73" s="397" t="s">
        <v>116</v>
      </c>
      <c r="N73" s="397" t="s">
        <v>116</v>
      </c>
      <c r="O73" s="397" t="s">
        <v>116</v>
      </c>
      <c r="P73" s="397" t="s">
        <v>118</v>
      </c>
      <c r="Q73" s="397" t="s">
        <v>338</v>
      </c>
      <c r="R73" s="397" t="s">
        <v>116</v>
      </c>
      <c r="S73" s="397" t="s">
        <v>116</v>
      </c>
      <c r="T73" s="397" t="s">
        <v>116</v>
      </c>
      <c r="U73" s="397" t="s">
        <v>116</v>
      </c>
      <c r="V73" s="397" t="s">
        <v>116</v>
      </c>
      <c r="W73" s="397" t="s">
        <v>116</v>
      </c>
      <c r="X73" s="398" t="s">
        <v>339</v>
      </c>
      <c r="Y73" s="399">
        <v>250.1</v>
      </c>
      <c r="Z73" s="398" t="s">
        <v>123</v>
      </c>
      <c r="AA73" s="400">
        <v>1</v>
      </c>
      <c r="AB73" s="401">
        <v>0</v>
      </c>
      <c r="AC73" s="402"/>
      <c r="AD73" s="401">
        <v>7.5</v>
      </c>
      <c r="AE73" s="401">
        <v>0</v>
      </c>
      <c r="AF73" s="401">
        <v>0</v>
      </c>
      <c r="AG73" s="401">
        <v>0</v>
      </c>
      <c r="AH73" s="401">
        <v>0</v>
      </c>
      <c r="AI73" s="401">
        <v>0</v>
      </c>
      <c r="AJ73" s="401">
        <v>0</v>
      </c>
      <c r="AK73" s="401">
        <v>0</v>
      </c>
      <c r="AL73" s="401">
        <v>0</v>
      </c>
      <c r="AM73" s="401">
        <v>0</v>
      </c>
      <c r="AN73" s="401">
        <v>0</v>
      </c>
      <c r="AO73" s="401">
        <v>0</v>
      </c>
      <c r="AP73" s="401">
        <v>0</v>
      </c>
      <c r="AQ73" s="401">
        <v>0</v>
      </c>
      <c r="AR73" s="401">
        <v>0</v>
      </c>
      <c r="AS73" s="401">
        <v>0</v>
      </c>
      <c r="AT73" s="401">
        <v>0</v>
      </c>
      <c r="AU73" s="401">
        <v>0</v>
      </c>
      <c r="AV73" s="401">
        <v>0</v>
      </c>
      <c r="AW73" s="401">
        <v>0</v>
      </c>
      <c r="AX73" s="401">
        <v>0</v>
      </c>
      <c r="AY73" s="401">
        <v>0</v>
      </c>
      <c r="AZ73" s="401">
        <v>0</v>
      </c>
      <c r="BA73" s="401">
        <v>0</v>
      </c>
      <c r="BB73" s="401">
        <v>0</v>
      </c>
      <c r="BC73" s="401">
        <v>0</v>
      </c>
      <c r="BD73" s="401">
        <v>0</v>
      </c>
      <c r="BE73" s="401">
        <v>0</v>
      </c>
      <c r="BF73" s="401">
        <v>0</v>
      </c>
      <c r="BG73" s="426"/>
      <c r="BH73" s="403" t="s">
        <v>340</v>
      </c>
      <c r="BI73" s="404">
        <v>45998</v>
      </c>
      <c r="BJ73" s="405">
        <v>233.1</v>
      </c>
      <c r="BK73" s="425"/>
      <c r="BL73" s="406"/>
      <c r="BM73" s="409" t="s">
        <v>118</v>
      </c>
      <c r="BN73" s="408" t="s">
        <v>386</v>
      </c>
      <c r="BO73" s="409"/>
      <c r="BP73" s="409"/>
      <c r="BQ73" s="409">
        <v>46022</v>
      </c>
      <c r="BR73" s="410"/>
      <c r="BS73" s="409"/>
      <c r="BT73" s="409"/>
      <c r="BU73" s="411"/>
      <c r="BV73" s="412"/>
      <c r="BW73" s="413"/>
      <c r="BX73" s="409"/>
      <c r="BY73" s="409"/>
      <c r="BZ73" s="413"/>
      <c r="CA73" s="413"/>
      <c r="CB73" s="413"/>
      <c r="CC73" s="411"/>
      <c r="CD73" s="414"/>
      <c r="CE73" s="415"/>
      <c r="CF73" s="416" t="s">
        <v>166</v>
      </c>
      <c r="CG73" s="416"/>
    </row>
    <row r="74" spans="1:85" s="417" customFormat="1" ht="15" customHeight="1">
      <c r="A74" s="393" t="s">
        <v>341</v>
      </c>
      <c r="B74" s="394" t="s">
        <v>111</v>
      </c>
      <c r="C74" s="395">
        <v>45748</v>
      </c>
      <c r="D74" s="396" t="s">
        <v>290</v>
      </c>
      <c r="E74" s="397" t="s">
        <v>113</v>
      </c>
      <c r="F74" s="397" t="s">
        <v>114</v>
      </c>
      <c r="G74" s="397" t="s">
        <v>130</v>
      </c>
      <c r="H74" s="397" t="s">
        <v>116</v>
      </c>
      <c r="I74" s="397" t="s">
        <v>223</v>
      </c>
      <c r="J74" s="397" t="s">
        <v>116</v>
      </c>
      <c r="K74" s="397" t="b">
        <v>0</v>
      </c>
      <c r="L74" s="397" t="s">
        <v>116</v>
      </c>
      <c r="M74" s="397" t="s">
        <v>116</v>
      </c>
      <c r="N74" s="397" t="s">
        <v>116</v>
      </c>
      <c r="O74" s="397" t="s">
        <v>116</v>
      </c>
      <c r="P74" s="397" t="s">
        <v>118</v>
      </c>
      <c r="Q74" s="397" t="s">
        <v>338</v>
      </c>
      <c r="R74" s="397" t="s">
        <v>116</v>
      </c>
      <c r="S74" s="397" t="s">
        <v>116</v>
      </c>
      <c r="T74" s="397" t="s">
        <v>116</v>
      </c>
      <c r="U74" s="397" t="s">
        <v>116</v>
      </c>
      <c r="V74" s="397" t="s">
        <v>116</v>
      </c>
      <c r="W74" s="397" t="s">
        <v>116</v>
      </c>
      <c r="X74" s="398" t="s">
        <v>342</v>
      </c>
      <c r="Y74" s="399">
        <v>183.83</v>
      </c>
      <c r="Z74" s="398" t="s">
        <v>123</v>
      </c>
      <c r="AA74" s="400">
        <v>1</v>
      </c>
      <c r="AB74" s="401">
        <v>0</v>
      </c>
      <c r="AC74" s="402"/>
      <c r="AD74" s="401">
        <v>4.6500000000000004</v>
      </c>
      <c r="AE74" s="401">
        <v>0</v>
      </c>
      <c r="AF74" s="401">
        <v>0</v>
      </c>
      <c r="AG74" s="401">
        <v>0</v>
      </c>
      <c r="AH74" s="401">
        <v>0</v>
      </c>
      <c r="AI74" s="401">
        <v>0</v>
      </c>
      <c r="AJ74" s="401">
        <v>0</v>
      </c>
      <c r="AK74" s="401">
        <v>0</v>
      </c>
      <c r="AL74" s="401">
        <v>0</v>
      </c>
      <c r="AM74" s="401">
        <v>0</v>
      </c>
      <c r="AN74" s="401">
        <v>0</v>
      </c>
      <c r="AO74" s="401">
        <v>0</v>
      </c>
      <c r="AP74" s="401">
        <v>0</v>
      </c>
      <c r="AQ74" s="401">
        <v>0</v>
      </c>
      <c r="AR74" s="401">
        <v>0</v>
      </c>
      <c r="AS74" s="401">
        <v>0</v>
      </c>
      <c r="AT74" s="401">
        <v>0</v>
      </c>
      <c r="AU74" s="401">
        <v>0</v>
      </c>
      <c r="AV74" s="401">
        <v>0</v>
      </c>
      <c r="AW74" s="401">
        <v>0</v>
      </c>
      <c r="AX74" s="401">
        <v>0</v>
      </c>
      <c r="AY74" s="401">
        <v>0</v>
      </c>
      <c r="AZ74" s="401">
        <v>0</v>
      </c>
      <c r="BA74" s="401">
        <v>0</v>
      </c>
      <c r="BB74" s="401">
        <v>0</v>
      </c>
      <c r="BC74" s="401">
        <v>0</v>
      </c>
      <c r="BD74" s="401">
        <v>0</v>
      </c>
      <c r="BE74" s="401">
        <v>0</v>
      </c>
      <c r="BF74" s="401">
        <v>0</v>
      </c>
      <c r="BG74" s="426"/>
      <c r="BH74" s="403" t="s">
        <v>343</v>
      </c>
      <c r="BI74" s="404">
        <v>45998</v>
      </c>
      <c r="BJ74" s="405">
        <v>233.1</v>
      </c>
      <c r="BK74" s="425"/>
      <c r="BL74" s="406"/>
      <c r="BM74" s="409" t="s">
        <v>118</v>
      </c>
      <c r="BN74" s="408" t="s">
        <v>386</v>
      </c>
      <c r="BO74" s="409"/>
      <c r="BP74" s="409"/>
      <c r="BQ74" s="409">
        <v>46022</v>
      </c>
      <c r="BR74" s="410"/>
      <c r="BS74" s="409"/>
      <c r="BT74" s="409"/>
      <c r="BU74" s="411"/>
      <c r="BV74" s="412"/>
      <c r="BW74" s="413"/>
      <c r="BX74" s="409"/>
      <c r="BY74" s="409"/>
      <c r="BZ74" s="413"/>
      <c r="CA74" s="413"/>
      <c r="CB74" s="413"/>
      <c r="CC74" s="411"/>
      <c r="CD74" s="414"/>
      <c r="CE74" s="415"/>
      <c r="CF74" s="416" t="s">
        <v>166</v>
      </c>
      <c r="CG74" s="416"/>
    </row>
    <row r="75" spans="1:85" s="417" customFormat="1" ht="15" customHeight="1">
      <c r="A75" s="393" t="s">
        <v>344</v>
      </c>
      <c r="B75" s="394" t="s">
        <v>111</v>
      </c>
      <c r="C75" s="395">
        <v>43009.291666666664</v>
      </c>
      <c r="D75" s="396" t="s">
        <v>179</v>
      </c>
      <c r="E75" s="397" t="s">
        <v>113</v>
      </c>
      <c r="F75" s="397" t="s">
        <v>114</v>
      </c>
      <c r="G75" s="397" t="s">
        <v>130</v>
      </c>
      <c r="H75" s="397" t="s">
        <v>116</v>
      </c>
      <c r="I75" s="397" t="s">
        <v>116</v>
      </c>
      <c r="J75" s="397" t="s">
        <v>116</v>
      </c>
      <c r="K75" s="397" t="b">
        <v>0</v>
      </c>
      <c r="L75" s="397" t="s">
        <v>116</v>
      </c>
      <c r="M75" s="397" t="s">
        <v>116</v>
      </c>
      <c r="N75" s="397" t="s">
        <v>116</v>
      </c>
      <c r="O75" s="397" t="s">
        <v>116</v>
      </c>
      <c r="P75" s="397" t="s">
        <v>118</v>
      </c>
      <c r="Q75" s="397" t="s">
        <v>345</v>
      </c>
      <c r="R75" s="397" t="s">
        <v>116</v>
      </c>
      <c r="S75" s="397" t="s">
        <v>116</v>
      </c>
      <c r="T75" s="397" t="s">
        <v>116</v>
      </c>
      <c r="U75" s="397" t="s">
        <v>116</v>
      </c>
      <c r="V75" s="397" t="s">
        <v>116</v>
      </c>
      <c r="W75" s="397" t="s">
        <v>116</v>
      </c>
      <c r="X75" s="398" t="s">
        <v>346</v>
      </c>
      <c r="Y75" s="399">
        <v>133.16</v>
      </c>
      <c r="Z75" s="398" t="s">
        <v>123</v>
      </c>
      <c r="AA75" s="400">
        <v>1</v>
      </c>
      <c r="AB75" s="401">
        <v>0</v>
      </c>
      <c r="AC75" s="401"/>
      <c r="AD75" s="401">
        <v>2</v>
      </c>
      <c r="AE75" s="401">
        <v>0</v>
      </c>
      <c r="AF75" s="401">
        <v>0</v>
      </c>
      <c r="AG75" s="401">
        <v>0</v>
      </c>
      <c r="AH75" s="401">
        <v>0</v>
      </c>
      <c r="AI75" s="401">
        <v>0</v>
      </c>
      <c r="AJ75" s="401">
        <v>0</v>
      </c>
      <c r="AK75" s="401">
        <v>0</v>
      </c>
      <c r="AL75" s="401">
        <v>0</v>
      </c>
      <c r="AM75" s="401">
        <v>0</v>
      </c>
      <c r="AN75" s="401">
        <v>0</v>
      </c>
      <c r="AO75" s="401">
        <v>0</v>
      </c>
      <c r="AP75" s="401">
        <v>0</v>
      </c>
      <c r="AQ75" s="401">
        <v>0</v>
      </c>
      <c r="AR75" s="401">
        <v>0</v>
      </c>
      <c r="AS75" s="401">
        <v>0</v>
      </c>
      <c r="AT75" s="401">
        <v>0</v>
      </c>
      <c r="AU75" s="401">
        <v>0</v>
      </c>
      <c r="AV75" s="401">
        <v>0</v>
      </c>
      <c r="AW75" s="401">
        <v>0</v>
      </c>
      <c r="AX75" s="401">
        <v>0</v>
      </c>
      <c r="AY75" s="401">
        <v>0</v>
      </c>
      <c r="AZ75" s="401">
        <v>0</v>
      </c>
      <c r="BA75" s="401">
        <v>0</v>
      </c>
      <c r="BB75" s="401">
        <v>0</v>
      </c>
      <c r="BC75" s="401">
        <v>0</v>
      </c>
      <c r="BD75" s="401">
        <v>0</v>
      </c>
      <c r="BE75" s="401">
        <v>0</v>
      </c>
      <c r="BF75" s="401">
        <v>0</v>
      </c>
      <c r="BG75" s="426"/>
      <c r="BH75" s="403" t="s">
        <v>347</v>
      </c>
      <c r="BI75" s="404">
        <v>45997</v>
      </c>
      <c r="BJ75" s="405">
        <v>4</v>
      </c>
      <c r="BK75" s="406"/>
      <c r="BL75" s="406"/>
      <c r="BM75" s="409" t="s">
        <v>118</v>
      </c>
      <c r="BN75" s="408" t="s">
        <v>386</v>
      </c>
      <c r="BO75" s="409"/>
      <c r="BP75" s="409"/>
      <c r="BQ75" s="409">
        <v>46022</v>
      </c>
      <c r="BR75" s="410"/>
      <c r="BS75" s="409"/>
      <c r="BT75" s="409"/>
      <c r="BU75" s="411"/>
      <c r="BV75" s="412"/>
      <c r="BW75" s="413"/>
      <c r="BX75" s="409"/>
      <c r="BY75" s="409"/>
      <c r="BZ75" s="413"/>
      <c r="CA75" s="413"/>
      <c r="CB75" s="413"/>
      <c r="CC75" s="411"/>
      <c r="CD75" s="414"/>
      <c r="CE75" s="415"/>
      <c r="CF75" s="416" t="s">
        <v>157</v>
      </c>
      <c r="CG75" s="416"/>
    </row>
    <row r="76" spans="1:85" s="417" customFormat="1" ht="15" customHeight="1">
      <c r="A76" s="418" t="s">
        <v>344</v>
      </c>
      <c r="B76" s="397" t="s">
        <v>111</v>
      </c>
      <c r="C76" s="419">
        <v>43009.291666666664</v>
      </c>
      <c r="D76" s="420" t="s">
        <v>179</v>
      </c>
      <c r="E76" s="397" t="s">
        <v>113</v>
      </c>
      <c r="F76" s="420" t="s">
        <v>114</v>
      </c>
      <c r="G76" s="420" t="s">
        <v>130</v>
      </c>
      <c r="H76" s="420" t="s">
        <v>116</v>
      </c>
      <c r="I76" s="420" t="s">
        <v>116</v>
      </c>
      <c r="J76" s="421" t="s">
        <v>116</v>
      </c>
      <c r="K76" s="421" t="b">
        <v>0</v>
      </c>
      <c r="L76" s="421" t="s">
        <v>116</v>
      </c>
      <c r="M76" s="421" t="s">
        <v>116</v>
      </c>
      <c r="N76" s="421" t="s">
        <v>116</v>
      </c>
      <c r="O76" s="421" t="s">
        <v>116</v>
      </c>
      <c r="P76" s="420" t="s">
        <v>118</v>
      </c>
      <c r="Q76" s="420" t="s">
        <v>345</v>
      </c>
      <c r="R76" s="421" t="s">
        <v>116</v>
      </c>
      <c r="S76" s="421" t="s">
        <v>116</v>
      </c>
      <c r="T76" s="421" t="s">
        <v>116</v>
      </c>
      <c r="U76" s="421" t="s">
        <v>116</v>
      </c>
      <c r="V76" s="421" t="s">
        <v>116</v>
      </c>
      <c r="W76" s="421" t="s">
        <v>116</v>
      </c>
      <c r="X76" s="420" t="s">
        <v>346</v>
      </c>
      <c r="Y76" s="399">
        <v>133.16</v>
      </c>
      <c r="Z76" s="420" t="s">
        <v>123</v>
      </c>
      <c r="AA76" s="400">
        <v>1</v>
      </c>
      <c r="AB76" s="401">
        <v>0</v>
      </c>
      <c r="AC76" s="402"/>
      <c r="AD76" s="401">
        <v>2</v>
      </c>
      <c r="AE76" s="401">
        <v>0</v>
      </c>
      <c r="AF76" s="401">
        <v>0</v>
      </c>
      <c r="AG76" s="401">
        <v>0</v>
      </c>
      <c r="AH76" s="401">
        <v>0</v>
      </c>
      <c r="AI76" s="401">
        <v>0</v>
      </c>
      <c r="AJ76" s="401">
        <v>0</v>
      </c>
      <c r="AK76" s="401">
        <v>0</v>
      </c>
      <c r="AL76" s="401">
        <v>0</v>
      </c>
      <c r="AM76" s="401">
        <v>0</v>
      </c>
      <c r="AN76" s="401">
        <v>0</v>
      </c>
      <c r="AO76" s="401">
        <v>0</v>
      </c>
      <c r="AP76" s="401">
        <v>0</v>
      </c>
      <c r="AQ76" s="401">
        <v>0</v>
      </c>
      <c r="AR76" s="401">
        <v>0</v>
      </c>
      <c r="AS76" s="401">
        <v>0</v>
      </c>
      <c r="AT76" s="401">
        <v>0</v>
      </c>
      <c r="AU76" s="401">
        <v>0</v>
      </c>
      <c r="AV76" s="401">
        <v>0</v>
      </c>
      <c r="AW76" s="401">
        <v>0</v>
      </c>
      <c r="AX76" s="401">
        <v>0</v>
      </c>
      <c r="AY76" s="401">
        <v>0</v>
      </c>
      <c r="AZ76" s="401">
        <v>0</v>
      </c>
      <c r="BA76" s="401">
        <v>0</v>
      </c>
      <c r="BB76" s="401">
        <v>0</v>
      </c>
      <c r="BC76" s="401">
        <v>0</v>
      </c>
      <c r="BD76" s="401">
        <v>0</v>
      </c>
      <c r="BE76" s="401">
        <v>0</v>
      </c>
      <c r="BF76" s="401">
        <v>0</v>
      </c>
      <c r="BG76" s="426"/>
      <c r="BH76" s="403" t="s">
        <v>348</v>
      </c>
      <c r="BI76" s="404">
        <v>46022</v>
      </c>
      <c r="BJ76" s="405">
        <v>4</v>
      </c>
      <c r="BK76" s="406"/>
      <c r="BL76" s="406"/>
      <c r="BM76" s="409" t="s">
        <v>118</v>
      </c>
      <c r="BN76" s="408" t="s">
        <v>386</v>
      </c>
      <c r="BO76" s="409"/>
      <c r="BP76" s="409"/>
      <c r="BQ76" s="409">
        <v>46022</v>
      </c>
      <c r="BR76" s="410"/>
      <c r="BS76" s="409"/>
      <c r="BT76" s="409"/>
      <c r="BU76" s="411"/>
      <c r="BV76" s="412"/>
      <c r="BW76" s="413"/>
      <c r="BX76" s="409"/>
      <c r="BY76" s="409"/>
      <c r="BZ76" s="413"/>
      <c r="CA76" s="413"/>
      <c r="CB76" s="413"/>
      <c r="CC76" s="411"/>
      <c r="CD76" s="414"/>
      <c r="CE76" s="415"/>
      <c r="CF76" s="416" t="s">
        <v>157</v>
      </c>
      <c r="CG76" s="416"/>
    </row>
    <row r="77" spans="1:85" s="417" customFormat="1" ht="15" customHeight="1">
      <c r="A77" s="393" t="s">
        <v>349</v>
      </c>
      <c r="B77" s="394" t="s">
        <v>111</v>
      </c>
      <c r="C77" s="395">
        <v>43009.291666666664</v>
      </c>
      <c r="D77" s="396" t="s">
        <v>179</v>
      </c>
      <c r="E77" s="397" t="s">
        <v>113</v>
      </c>
      <c r="F77" s="397" t="s">
        <v>114</v>
      </c>
      <c r="G77" s="397" t="s">
        <v>115</v>
      </c>
      <c r="H77" s="397" t="s">
        <v>116</v>
      </c>
      <c r="I77" s="397" t="s">
        <v>116</v>
      </c>
      <c r="J77" s="397" t="s">
        <v>116</v>
      </c>
      <c r="K77" s="397" t="b">
        <v>0</v>
      </c>
      <c r="L77" s="397" t="s">
        <v>116</v>
      </c>
      <c r="M77" s="397" t="s">
        <v>116</v>
      </c>
      <c r="N77" s="397" t="s">
        <v>116</v>
      </c>
      <c r="O77" s="397" t="s">
        <v>118</v>
      </c>
      <c r="P77" s="397" t="s">
        <v>350</v>
      </c>
      <c r="Q77" s="397" t="s">
        <v>351</v>
      </c>
      <c r="R77" s="397" t="s">
        <v>116</v>
      </c>
      <c r="S77" s="397" t="s">
        <v>116</v>
      </c>
      <c r="T77" s="397" t="s">
        <v>116</v>
      </c>
      <c r="U77" s="397" t="s">
        <v>116</v>
      </c>
      <c r="V77" s="397" t="s">
        <v>116</v>
      </c>
      <c r="W77" s="397" t="s">
        <v>116</v>
      </c>
      <c r="X77" s="398" t="s">
        <v>352</v>
      </c>
      <c r="Y77" s="399">
        <v>154.75</v>
      </c>
      <c r="Z77" s="398" t="s">
        <v>123</v>
      </c>
      <c r="AA77" s="400">
        <v>1</v>
      </c>
      <c r="AB77" s="401">
        <v>0</v>
      </c>
      <c r="AC77" s="401"/>
      <c r="AD77" s="401">
        <v>1.66</v>
      </c>
      <c r="AE77" s="401">
        <v>0</v>
      </c>
      <c r="AF77" s="401">
        <v>0</v>
      </c>
      <c r="AG77" s="401">
        <v>0</v>
      </c>
      <c r="AH77" s="401">
        <v>0</v>
      </c>
      <c r="AI77" s="401">
        <v>0</v>
      </c>
      <c r="AJ77" s="401">
        <v>0</v>
      </c>
      <c r="AK77" s="401">
        <v>0</v>
      </c>
      <c r="AL77" s="401">
        <v>0</v>
      </c>
      <c r="AM77" s="401">
        <v>0</v>
      </c>
      <c r="AN77" s="401">
        <v>0</v>
      </c>
      <c r="AO77" s="401">
        <v>0</v>
      </c>
      <c r="AP77" s="401">
        <v>0</v>
      </c>
      <c r="AQ77" s="401">
        <v>0</v>
      </c>
      <c r="AR77" s="401">
        <v>0</v>
      </c>
      <c r="AS77" s="401">
        <v>0</v>
      </c>
      <c r="AT77" s="401">
        <v>0</v>
      </c>
      <c r="AU77" s="401">
        <v>0</v>
      </c>
      <c r="AV77" s="401">
        <v>0</v>
      </c>
      <c r="AW77" s="401">
        <v>0</v>
      </c>
      <c r="AX77" s="401">
        <v>0</v>
      </c>
      <c r="AY77" s="401">
        <v>0</v>
      </c>
      <c r="AZ77" s="401">
        <v>0</v>
      </c>
      <c r="BA77" s="401">
        <v>0</v>
      </c>
      <c r="BB77" s="401">
        <v>0</v>
      </c>
      <c r="BC77" s="401">
        <v>0</v>
      </c>
      <c r="BD77" s="401">
        <v>0</v>
      </c>
      <c r="BE77" s="401">
        <v>0</v>
      </c>
      <c r="BF77" s="401">
        <v>0</v>
      </c>
      <c r="BG77" s="426"/>
      <c r="BH77" s="403" t="s">
        <v>353</v>
      </c>
      <c r="BI77" s="404">
        <v>45997</v>
      </c>
      <c r="BJ77" s="405">
        <v>4</v>
      </c>
      <c r="BK77" s="406"/>
      <c r="BL77" s="406"/>
      <c r="BM77" s="409" t="s">
        <v>118</v>
      </c>
      <c r="BN77" s="408" t="s">
        <v>386</v>
      </c>
      <c r="BO77" s="409"/>
      <c r="BP77" s="409"/>
      <c r="BQ77" s="409">
        <v>46022</v>
      </c>
      <c r="BR77" s="410"/>
      <c r="BS77" s="409"/>
      <c r="BT77" s="409"/>
      <c r="BU77" s="411"/>
      <c r="BV77" s="412"/>
      <c r="BW77" s="413"/>
      <c r="BX77" s="409"/>
      <c r="BY77" s="409"/>
      <c r="BZ77" s="413"/>
      <c r="CA77" s="413"/>
      <c r="CB77" s="413"/>
      <c r="CC77" s="411"/>
      <c r="CD77" s="414"/>
      <c r="CE77" s="415"/>
      <c r="CF77" s="416" t="s">
        <v>157</v>
      </c>
      <c r="CG77" s="416"/>
    </row>
    <row r="78" spans="1:85" s="417" customFormat="1" ht="15" customHeight="1">
      <c r="A78" s="418" t="s">
        <v>349</v>
      </c>
      <c r="B78" s="397" t="s">
        <v>111</v>
      </c>
      <c r="C78" s="419">
        <v>43009.291666666664</v>
      </c>
      <c r="D78" s="420" t="s">
        <v>179</v>
      </c>
      <c r="E78" s="397" t="s">
        <v>113</v>
      </c>
      <c r="F78" s="420" t="s">
        <v>114</v>
      </c>
      <c r="G78" s="420" t="s">
        <v>115</v>
      </c>
      <c r="H78" s="420" t="s">
        <v>116</v>
      </c>
      <c r="I78" s="420" t="s">
        <v>116</v>
      </c>
      <c r="J78" s="421" t="s">
        <v>116</v>
      </c>
      <c r="K78" s="421" t="b">
        <v>0</v>
      </c>
      <c r="L78" s="421" t="s">
        <v>116</v>
      </c>
      <c r="M78" s="421" t="s">
        <v>116</v>
      </c>
      <c r="N78" s="421" t="s">
        <v>116</v>
      </c>
      <c r="O78" s="421" t="s">
        <v>118</v>
      </c>
      <c r="P78" s="420" t="s">
        <v>350</v>
      </c>
      <c r="Q78" s="420" t="s">
        <v>351</v>
      </c>
      <c r="R78" s="421" t="s">
        <v>116</v>
      </c>
      <c r="S78" s="421" t="s">
        <v>116</v>
      </c>
      <c r="T78" s="421" t="s">
        <v>116</v>
      </c>
      <c r="U78" s="421" t="s">
        <v>116</v>
      </c>
      <c r="V78" s="421" t="s">
        <v>116</v>
      </c>
      <c r="W78" s="421" t="s">
        <v>116</v>
      </c>
      <c r="X78" s="420" t="s">
        <v>352</v>
      </c>
      <c r="Y78" s="399">
        <v>154.75</v>
      </c>
      <c r="Z78" s="420" t="s">
        <v>123</v>
      </c>
      <c r="AA78" s="400">
        <v>1</v>
      </c>
      <c r="AB78" s="401">
        <v>0</v>
      </c>
      <c r="AC78" s="402"/>
      <c r="AD78" s="401">
        <v>1.66</v>
      </c>
      <c r="AE78" s="401">
        <v>0</v>
      </c>
      <c r="AF78" s="401">
        <v>0</v>
      </c>
      <c r="AG78" s="401">
        <v>0</v>
      </c>
      <c r="AH78" s="401">
        <v>0</v>
      </c>
      <c r="AI78" s="401">
        <v>0</v>
      </c>
      <c r="AJ78" s="401">
        <v>0</v>
      </c>
      <c r="AK78" s="401">
        <v>0</v>
      </c>
      <c r="AL78" s="401">
        <v>0</v>
      </c>
      <c r="AM78" s="401">
        <v>0</v>
      </c>
      <c r="AN78" s="401">
        <v>0</v>
      </c>
      <c r="AO78" s="401">
        <v>0</v>
      </c>
      <c r="AP78" s="401">
        <v>0</v>
      </c>
      <c r="AQ78" s="401">
        <v>0</v>
      </c>
      <c r="AR78" s="401">
        <v>0</v>
      </c>
      <c r="AS78" s="401">
        <v>0</v>
      </c>
      <c r="AT78" s="401">
        <v>0</v>
      </c>
      <c r="AU78" s="401">
        <v>0</v>
      </c>
      <c r="AV78" s="401">
        <v>0</v>
      </c>
      <c r="AW78" s="401">
        <v>0</v>
      </c>
      <c r="AX78" s="401">
        <v>0</v>
      </c>
      <c r="AY78" s="401">
        <v>0</v>
      </c>
      <c r="AZ78" s="401">
        <v>0</v>
      </c>
      <c r="BA78" s="401">
        <v>0</v>
      </c>
      <c r="BB78" s="401">
        <v>0</v>
      </c>
      <c r="BC78" s="401">
        <v>0</v>
      </c>
      <c r="BD78" s="401">
        <v>0</v>
      </c>
      <c r="BE78" s="401">
        <v>0</v>
      </c>
      <c r="BF78" s="401">
        <v>0</v>
      </c>
      <c r="BG78" s="426"/>
      <c r="BH78" s="403" t="s">
        <v>354</v>
      </c>
      <c r="BI78" s="404">
        <v>46022</v>
      </c>
      <c r="BJ78" s="405">
        <v>4</v>
      </c>
      <c r="BK78" s="406"/>
      <c r="BL78" s="406"/>
      <c r="BM78" s="409" t="s">
        <v>118</v>
      </c>
      <c r="BN78" s="408" t="s">
        <v>386</v>
      </c>
      <c r="BO78" s="409"/>
      <c r="BP78" s="409"/>
      <c r="BQ78" s="409">
        <v>46022</v>
      </c>
      <c r="BR78" s="410"/>
      <c r="BS78" s="409"/>
      <c r="BT78" s="409"/>
      <c r="BU78" s="411"/>
      <c r="BV78" s="412"/>
      <c r="BW78" s="413"/>
      <c r="BX78" s="409"/>
      <c r="BY78" s="409"/>
      <c r="BZ78" s="413"/>
      <c r="CA78" s="413"/>
      <c r="CB78" s="413"/>
      <c r="CC78" s="411"/>
      <c r="CD78" s="414"/>
      <c r="CE78" s="415"/>
      <c r="CF78" s="416" t="s">
        <v>157</v>
      </c>
      <c r="CG78" s="416"/>
    </row>
    <row r="79" spans="1:85" s="417" customFormat="1" ht="15" customHeight="1">
      <c r="A79" s="393" t="s">
        <v>355</v>
      </c>
      <c r="B79" s="394" t="s">
        <v>111</v>
      </c>
      <c r="C79" s="395">
        <v>46023</v>
      </c>
      <c r="D79" s="396" t="s">
        <v>179</v>
      </c>
      <c r="E79" s="397" t="s">
        <v>113</v>
      </c>
      <c r="F79" s="397" t="s">
        <v>114</v>
      </c>
      <c r="G79" s="397"/>
      <c r="H79" s="397"/>
      <c r="I79" s="397"/>
      <c r="J79" s="397"/>
      <c r="K79" s="397"/>
      <c r="L79" s="397"/>
      <c r="M79" s="397"/>
      <c r="N79" s="397"/>
      <c r="O79" s="397" t="s">
        <v>118</v>
      </c>
      <c r="P79" s="397" t="s">
        <v>256</v>
      </c>
      <c r="Q79" s="397" t="s">
        <v>356</v>
      </c>
      <c r="R79" s="397"/>
      <c r="S79" s="397"/>
      <c r="T79" s="397"/>
      <c r="U79" s="397"/>
      <c r="V79" s="397"/>
      <c r="W79" s="397"/>
      <c r="X79" s="398" t="s">
        <v>357</v>
      </c>
      <c r="Y79" s="399"/>
      <c r="Z79" s="398"/>
      <c r="AA79" s="400">
        <v>1</v>
      </c>
      <c r="AB79" s="401">
        <v>0</v>
      </c>
      <c r="AC79" s="402"/>
      <c r="AD79" s="401">
        <v>144.33000000000001</v>
      </c>
      <c r="AE79" s="401">
        <v>0</v>
      </c>
      <c r="AF79" s="401">
        <v>0</v>
      </c>
      <c r="AG79" s="401">
        <v>0</v>
      </c>
      <c r="AH79" s="401">
        <v>0</v>
      </c>
      <c r="AI79" s="401">
        <v>0</v>
      </c>
      <c r="AJ79" s="401">
        <v>0</v>
      </c>
      <c r="AK79" s="401">
        <v>0</v>
      </c>
      <c r="AL79" s="401">
        <v>0</v>
      </c>
      <c r="AM79" s="401">
        <v>0</v>
      </c>
      <c r="AN79" s="401">
        <v>0</v>
      </c>
      <c r="AO79" s="401">
        <v>0</v>
      </c>
      <c r="AP79" s="401">
        <v>0</v>
      </c>
      <c r="AQ79" s="401">
        <v>0</v>
      </c>
      <c r="AR79" s="401">
        <v>0</v>
      </c>
      <c r="AS79" s="401">
        <v>0</v>
      </c>
      <c r="AT79" s="401">
        <v>0</v>
      </c>
      <c r="AU79" s="401">
        <v>0</v>
      </c>
      <c r="AV79" s="401">
        <v>0</v>
      </c>
      <c r="AW79" s="401">
        <v>0</v>
      </c>
      <c r="AX79" s="401">
        <v>0</v>
      </c>
      <c r="AY79" s="401">
        <v>0</v>
      </c>
      <c r="AZ79" s="401">
        <v>0</v>
      </c>
      <c r="BA79" s="401">
        <v>0</v>
      </c>
      <c r="BB79" s="401">
        <v>0</v>
      </c>
      <c r="BC79" s="401">
        <v>0</v>
      </c>
      <c r="BD79" s="401">
        <v>0</v>
      </c>
      <c r="BE79" s="401">
        <v>0</v>
      </c>
      <c r="BF79" s="401">
        <v>0</v>
      </c>
      <c r="BG79" s="426"/>
      <c r="BH79" s="403"/>
      <c r="BI79" s="404">
        <v>46011</v>
      </c>
      <c r="BJ79" s="405">
        <v>504.9</v>
      </c>
      <c r="BK79" s="425"/>
      <c r="BL79" s="406"/>
      <c r="BM79" s="409" t="s">
        <v>118</v>
      </c>
      <c r="BN79" s="408" t="s">
        <v>386</v>
      </c>
      <c r="BO79" s="409"/>
      <c r="BP79" s="409"/>
      <c r="BQ79" s="409">
        <v>46022</v>
      </c>
      <c r="BR79" s="410"/>
      <c r="BS79" s="409"/>
      <c r="BT79" s="409"/>
      <c r="BU79" s="411"/>
      <c r="BV79" s="412"/>
      <c r="BW79" s="413"/>
      <c r="BX79" s="409"/>
      <c r="BY79" s="409"/>
      <c r="BZ79" s="413"/>
      <c r="CA79" s="413"/>
      <c r="CB79" s="413"/>
      <c r="CC79" s="411"/>
      <c r="CD79" s="414"/>
      <c r="CE79" s="415"/>
      <c r="CF79" s="416" t="s">
        <v>166</v>
      </c>
      <c r="CG79" s="416"/>
    </row>
    <row r="80" spans="1:85" s="417" customFormat="1" ht="15" customHeight="1">
      <c r="A80" s="418" t="s">
        <v>355</v>
      </c>
      <c r="B80" s="397" t="s">
        <v>111</v>
      </c>
      <c r="C80" s="419">
        <v>46023</v>
      </c>
      <c r="D80" s="420" t="s">
        <v>179</v>
      </c>
      <c r="E80" s="397" t="s">
        <v>113</v>
      </c>
      <c r="F80" s="420" t="s">
        <v>114</v>
      </c>
      <c r="G80" s="420"/>
      <c r="H80" s="420"/>
      <c r="I80" s="420"/>
      <c r="J80" s="421"/>
      <c r="K80" s="421"/>
      <c r="L80" s="421"/>
      <c r="M80" s="421"/>
      <c r="N80" s="421"/>
      <c r="O80" s="397" t="s">
        <v>118</v>
      </c>
      <c r="P80" s="397" t="s">
        <v>256</v>
      </c>
      <c r="Q80" s="420" t="s">
        <v>356</v>
      </c>
      <c r="R80" s="421"/>
      <c r="S80" s="421"/>
      <c r="T80" s="421"/>
      <c r="U80" s="421"/>
      <c r="V80" s="421"/>
      <c r="W80" s="421"/>
      <c r="X80" s="420" t="s">
        <v>357</v>
      </c>
      <c r="Y80" s="399"/>
      <c r="Z80" s="420"/>
      <c r="AA80" s="400">
        <v>1</v>
      </c>
      <c r="AB80" s="401">
        <v>0</v>
      </c>
      <c r="AC80" s="402"/>
      <c r="AD80" s="401">
        <v>-144.33000000000001</v>
      </c>
      <c r="AE80" s="401">
        <v>0</v>
      </c>
      <c r="AF80" s="401">
        <v>0</v>
      </c>
      <c r="AG80" s="401">
        <v>0</v>
      </c>
      <c r="AH80" s="401">
        <v>0</v>
      </c>
      <c r="AI80" s="401">
        <v>0</v>
      </c>
      <c r="AJ80" s="401">
        <v>0</v>
      </c>
      <c r="AK80" s="401">
        <v>0</v>
      </c>
      <c r="AL80" s="401">
        <v>0</v>
      </c>
      <c r="AM80" s="401">
        <v>0</v>
      </c>
      <c r="AN80" s="401">
        <v>0</v>
      </c>
      <c r="AO80" s="401">
        <v>0</v>
      </c>
      <c r="AP80" s="401">
        <v>0</v>
      </c>
      <c r="AQ80" s="401">
        <v>0</v>
      </c>
      <c r="AR80" s="401">
        <v>0</v>
      </c>
      <c r="AS80" s="401">
        <v>0</v>
      </c>
      <c r="AT80" s="401">
        <v>0</v>
      </c>
      <c r="AU80" s="401">
        <v>0</v>
      </c>
      <c r="AV80" s="401">
        <v>0</v>
      </c>
      <c r="AW80" s="401">
        <v>0</v>
      </c>
      <c r="AX80" s="401">
        <v>0</v>
      </c>
      <c r="AY80" s="401">
        <v>0</v>
      </c>
      <c r="AZ80" s="401">
        <v>0</v>
      </c>
      <c r="BA80" s="401">
        <v>0</v>
      </c>
      <c r="BB80" s="401">
        <v>0</v>
      </c>
      <c r="BC80" s="401">
        <v>0</v>
      </c>
      <c r="BD80" s="401">
        <v>0</v>
      </c>
      <c r="BE80" s="401">
        <v>0</v>
      </c>
      <c r="BF80" s="401">
        <v>0</v>
      </c>
      <c r="BG80" s="426"/>
      <c r="BH80" s="403"/>
      <c r="BI80" s="404">
        <v>46022</v>
      </c>
      <c r="BJ80" s="405">
        <v>-95.24</v>
      </c>
      <c r="BK80" s="406"/>
      <c r="BL80" s="406"/>
      <c r="BM80" s="409" t="s">
        <v>118</v>
      </c>
      <c r="BN80" s="408" t="s">
        <v>386</v>
      </c>
      <c r="BO80" s="409"/>
      <c r="BP80" s="409"/>
      <c r="BQ80" s="409">
        <v>46022</v>
      </c>
      <c r="BR80" s="410"/>
      <c r="BS80" s="409"/>
      <c r="BT80" s="409"/>
      <c r="BU80" s="411"/>
      <c r="BV80" s="412"/>
      <c r="BW80" s="413"/>
      <c r="BX80" s="409"/>
      <c r="BY80" s="409"/>
      <c r="BZ80" s="413"/>
      <c r="CA80" s="413"/>
      <c r="CB80" s="413"/>
      <c r="CC80" s="411"/>
      <c r="CD80" s="414"/>
      <c r="CE80" s="415"/>
      <c r="CF80" s="416" t="s">
        <v>166</v>
      </c>
      <c r="CG80" s="416"/>
    </row>
    <row r="81" spans="1:85" s="417" customFormat="1" ht="15" customHeight="1" thickBot="1">
      <c r="A81" s="444" t="s">
        <v>358</v>
      </c>
      <c r="B81" s="445" t="s">
        <v>111</v>
      </c>
      <c r="C81" s="446">
        <v>45839</v>
      </c>
      <c r="D81" s="447" t="s">
        <v>179</v>
      </c>
      <c r="E81" s="448" t="s">
        <v>113</v>
      </c>
      <c r="F81" s="448" t="s">
        <v>114</v>
      </c>
      <c r="G81" s="448" t="s">
        <v>153</v>
      </c>
      <c r="H81" s="448" t="s">
        <v>116</v>
      </c>
      <c r="I81" s="448" t="s">
        <v>116</v>
      </c>
      <c r="J81" s="448" t="s">
        <v>116</v>
      </c>
      <c r="K81" s="448" t="b">
        <v>0</v>
      </c>
      <c r="L81" s="448" t="s">
        <v>116</v>
      </c>
      <c r="M81" s="448" t="s">
        <v>116</v>
      </c>
      <c r="N81" s="448" t="s">
        <v>116</v>
      </c>
      <c r="O81" s="448" t="s">
        <v>118</v>
      </c>
      <c r="P81" s="448" t="s">
        <v>256</v>
      </c>
      <c r="Q81" s="448" t="s">
        <v>359</v>
      </c>
      <c r="R81" s="448" t="s">
        <v>116</v>
      </c>
      <c r="S81" s="448" t="s">
        <v>116</v>
      </c>
      <c r="T81" s="448" t="s">
        <v>116</v>
      </c>
      <c r="U81" s="448" t="s">
        <v>116</v>
      </c>
      <c r="V81" s="448" t="s">
        <v>116</v>
      </c>
      <c r="W81" s="448" t="s">
        <v>116</v>
      </c>
      <c r="X81" s="473" t="s">
        <v>360</v>
      </c>
      <c r="Y81" s="474">
        <v>114.65</v>
      </c>
      <c r="Z81" s="473" t="s">
        <v>116</v>
      </c>
      <c r="AA81" s="475">
        <v>1</v>
      </c>
      <c r="AB81" s="476">
        <v>0</v>
      </c>
      <c r="AC81" s="477"/>
      <c r="AD81" s="476">
        <v>4.58</v>
      </c>
      <c r="AE81" s="452">
        <v>0</v>
      </c>
      <c r="AF81" s="452">
        <v>0</v>
      </c>
      <c r="AG81" s="452">
        <v>0</v>
      </c>
      <c r="AH81" s="452">
        <v>0</v>
      </c>
      <c r="AI81" s="401">
        <v>0</v>
      </c>
      <c r="AJ81" s="401">
        <v>0</v>
      </c>
      <c r="AK81" s="401">
        <v>0</v>
      </c>
      <c r="AL81" s="401">
        <v>0</v>
      </c>
      <c r="AM81" s="401">
        <v>0</v>
      </c>
      <c r="AN81" s="401">
        <v>0</v>
      </c>
      <c r="AO81" s="401">
        <v>0</v>
      </c>
      <c r="AP81" s="401">
        <v>0</v>
      </c>
      <c r="AQ81" s="401">
        <v>0</v>
      </c>
      <c r="AR81" s="401">
        <v>0</v>
      </c>
      <c r="AS81" s="401">
        <v>0</v>
      </c>
      <c r="AT81" s="401">
        <v>0</v>
      </c>
      <c r="AU81" s="401">
        <v>0</v>
      </c>
      <c r="AV81" s="401">
        <v>0</v>
      </c>
      <c r="AW81" s="401">
        <v>0</v>
      </c>
      <c r="AX81" s="401">
        <v>0</v>
      </c>
      <c r="AY81" s="401">
        <v>0</v>
      </c>
      <c r="AZ81" s="401">
        <v>0</v>
      </c>
      <c r="BA81" s="401">
        <v>0</v>
      </c>
      <c r="BB81" s="401">
        <v>0</v>
      </c>
      <c r="BC81" s="401">
        <v>0</v>
      </c>
      <c r="BD81" s="401">
        <v>0</v>
      </c>
      <c r="BE81" s="401">
        <v>0</v>
      </c>
      <c r="BF81" s="401">
        <v>0</v>
      </c>
      <c r="BG81" s="454"/>
      <c r="BH81" s="455" t="s">
        <v>361</v>
      </c>
      <c r="BI81" s="404">
        <v>46011</v>
      </c>
      <c r="BJ81" s="405">
        <v>504.9</v>
      </c>
      <c r="BK81" s="425"/>
      <c r="BL81" s="406"/>
      <c r="BM81" s="409" t="s">
        <v>118</v>
      </c>
      <c r="BN81" s="408" t="s">
        <v>386</v>
      </c>
      <c r="BO81" s="409"/>
      <c r="BP81" s="409"/>
      <c r="BQ81" s="409">
        <v>46022</v>
      </c>
      <c r="BR81" s="410"/>
      <c r="BS81" s="409"/>
      <c r="BT81" s="409"/>
      <c r="BU81" s="411"/>
      <c r="BV81" s="412"/>
      <c r="BW81" s="413"/>
      <c r="BX81" s="409"/>
      <c r="BY81" s="409"/>
      <c r="BZ81" s="413"/>
      <c r="CA81" s="413"/>
      <c r="CB81" s="413"/>
      <c r="CC81" s="411"/>
      <c r="CD81" s="414"/>
      <c r="CE81" s="415"/>
      <c r="CF81" s="416" t="s">
        <v>166</v>
      </c>
      <c r="CG81" s="416"/>
    </row>
    <row r="82" spans="1:85" ht="15" customHeight="1" thickBot="1">
      <c r="A82" s="456"/>
      <c r="B82" s="456"/>
      <c r="C82" s="457"/>
      <c r="D82" s="456"/>
      <c r="E82" s="456"/>
      <c r="F82" s="456"/>
      <c r="G82" s="456"/>
      <c r="H82" s="456"/>
      <c r="I82" s="456"/>
      <c r="J82" s="456"/>
      <c r="K82" s="456"/>
      <c r="L82" s="456"/>
      <c r="M82" s="456"/>
      <c r="N82" s="456"/>
      <c r="O82" s="456"/>
      <c r="P82" s="456"/>
      <c r="Q82" s="458"/>
      <c r="R82" s="458"/>
      <c r="S82" s="458"/>
      <c r="T82" s="458"/>
      <c r="U82" s="458"/>
      <c r="V82" s="458"/>
      <c r="W82" s="458"/>
      <c r="X82" s="478" t="s">
        <v>140</v>
      </c>
      <c r="Y82" s="479"/>
      <c r="Z82" s="480"/>
      <c r="AA82" s="480">
        <f t="shared" ref="AA82:BG82" si="0">SUM(AA12:AA81)</f>
        <v>70</v>
      </c>
      <c r="AB82" s="481">
        <f t="shared" si="0"/>
        <v>0</v>
      </c>
      <c r="AC82" s="481">
        <f t="shared" si="0"/>
        <v>0</v>
      </c>
      <c r="AD82" s="482">
        <f t="shared" si="0"/>
        <v>291.46999999999997</v>
      </c>
      <c r="AE82" s="462">
        <f t="shared" si="0"/>
        <v>0</v>
      </c>
      <c r="AF82" s="462">
        <f t="shared" si="0"/>
        <v>0</v>
      </c>
      <c r="AG82" s="462">
        <f t="shared" si="0"/>
        <v>0</v>
      </c>
      <c r="AH82" s="462">
        <f t="shared" si="0"/>
        <v>0</v>
      </c>
      <c r="AI82" s="462">
        <f t="shared" si="0"/>
        <v>0</v>
      </c>
      <c r="AJ82" s="462">
        <f t="shared" si="0"/>
        <v>0</v>
      </c>
      <c r="AK82" s="462">
        <f t="shared" si="0"/>
        <v>0</v>
      </c>
      <c r="AL82" s="462">
        <f t="shared" si="0"/>
        <v>0</v>
      </c>
      <c r="AM82" s="462">
        <f t="shared" si="0"/>
        <v>0</v>
      </c>
      <c r="AN82" s="462">
        <f t="shared" si="0"/>
        <v>0</v>
      </c>
      <c r="AO82" s="462">
        <f t="shared" si="0"/>
        <v>0</v>
      </c>
      <c r="AP82" s="462">
        <f t="shared" si="0"/>
        <v>0</v>
      </c>
      <c r="AQ82" s="462">
        <f t="shared" si="0"/>
        <v>0</v>
      </c>
      <c r="AR82" s="462">
        <f t="shared" si="0"/>
        <v>0</v>
      </c>
      <c r="AS82" s="462">
        <f t="shared" si="0"/>
        <v>0</v>
      </c>
      <c r="AT82" s="462">
        <f t="shared" si="0"/>
        <v>0</v>
      </c>
      <c r="AU82" s="462">
        <f t="shared" si="0"/>
        <v>0</v>
      </c>
      <c r="AV82" s="462">
        <f t="shared" si="0"/>
        <v>0</v>
      </c>
      <c r="AW82" s="462">
        <f t="shared" si="0"/>
        <v>0</v>
      </c>
      <c r="AX82" s="462">
        <f t="shared" si="0"/>
        <v>0</v>
      </c>
      <c r="AY82" s="462">
        <f t="shared" si="0"/>
        <v>0</v>
      </c>
      <c r="AZ82" s="462">
        <f t="shared" si="0"/>
        <v>0</v>
      </c>
      <c r="BA82" s="462">
        <f t="shared" si="0"/>
        <v>0</v>
      </c>
      <c r="BB82" s="462">
        <f t="shared" si="0"/>
        <v>0</v>
      </c>
      <c r="BC82" s="462">
        <f t="shared" si="0"/>
        <v>0</v>
      </c>
      <c r="BD82" s="462">
        <f t="shared" si="0"/>
        <v>0</v>
      </c>
      <c r="BE82" s="462">
        <f t="shared" si="0"/>
        <v>0</v>
      </c>
      <c r="BF82" s="462">
        <f t="shared" si="0"/>
        <v>0</v>
      </c>
      <c r="BG82" s="463">
        <f t="shared" si="0"/>
        <v>0</v>
      </c>
      <c r="BH82" s="464"/>
      <c r="BI82" s="457"/>
      <c r="BJ82" s="465"/>
      <c r="BK82" s="457"/>
      <c r="BL82" s="466"/>
      <c r="BM82" s="456"/>
      <c r="BN82" s="468"/>
      <c r="BO82" s="457"/>
      <c r="BP82" s="457"/>
      <c r="BQ82" s="457"/>
      <c r="BR82" s="469"/>
      <c r="BS82" s="457"/>
      <c r="BT82" s="468"/>
      <c r="BU82" s="470"/>
      <c r="BV82" s="468"/>
      <c r="BW82" s="468"/>
      <c r="BX82" s="457"/>
      <c r="BY82" s="468"/>
      <c r="BZ82" s="468"/>
      <c r="CA82" s="468"/>
      <c r="CB82" s="468"/>
      <c r="CC82" s="471"/>
      <c r="CD82" s="467"/>
      <c r="CE82" s="468"/>
      <c r="CF82" s="468"/>
      <c r="CG82" s="468"/>
    </row>
    <row r="83" spans="1:85" ht="15" customHeight="1" thickBot="1">
      <c r="A83" s="87"/>
      <c r="B83" s="87"/>
      <c r="C83" s="88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9"/>
      <c r="R83" s="89"/>
      <c r="S83" s="89"/>
      <c r="T83" s="89"/>
      <c r="U83" s="89"/>
      <c r="V83" s="89"/>
      <c r="W83" s="89"/>
      <c r="X83" s="90"/>
      <c r="Y83" s="89"/>
      <c r="Z83" s="89"/>
      <c r="AA83" s="87"/>
      <c r="AB83" s="91"/>
      <c r="AC83" s="91"/>
      <c r="AD83" s="91"/>
      <c r="AE83" s="91"/>
      <c r="AF83" s="91"/>
      <c r="AG83" s="91"/>
      <c r="AH83" s="91"/>
      <c r="AI83" s="91"/>
      <c r="AJ83" s="91"/>
      <c r="AK83" s="91"/>
      <c r="AL83" s="91"/>
      <c r="AM83" s="91"/>
      <c r="AN83" s="91"/>
      <c r="AO83" s="91"/>
      <c r="AP83" s="91"/>
      <c r="AQ83" s="91"/>
      <c r="AR83" s="91"/>
      <c r="AS83" s="91"/>
      <c r="AT83" s="91"/>
      <c r="AU83" s="91"/>
      <c r="AV83" s="91"/>
      <c r="AW83" s="91"/>
      <c r="AX83" s="91"/>
      <c r="AY83" s="91"/>
      <c r="AZ83" s="91"/>
      <c r="BA83" s="91"/>
      <c r="BB83" s="91"/>
      <c r="BC83" s="91"/>
      <c r="BD83" s="91"/>
      <c r="BE83" s="91"/>
      <c r="BF83" s="91"/>
      <c r="BG83" s="91"/>
      <c r="BH83" s="92"/>
      <c r="BI83" s="88"/>
      <c r="BJ83" s="243"/>
      <c r="BK83" s="88"/>
      <c r="BL83" s="93"/>
      <c r="BM83" s="87"/>
      <c r="BN83" s="95"/>
      <c r="BO83" s="88"/>
      <c r="BP83" s="88"/>
      <c r="BQ83" s="88"/>
      <c r="BR83" s="203"/>
      <c r="BS83" s="88"/>
      <c r="BT83" s="95"/>
      <c r="BU83" s="96"/>
      <c r="BV83" s="95"/>
      <c r="BW83" s="95"/>
      <c r="BX83" s="88"/>
      <c r="BY83" s="95"/>
      <c r="BZ83" s="95"/>
      <c r="CA83" s="95"/>
      <c r="CB83" s="95"/>
      <c r="CC83" s="95"/>
      <c r="CD83" s="94"/>
      <c r="CE83" s="95"/>
      <c r="CF83" s="95"/>
      <c r="CG83" s="95"/>
    </row>
    <row r="84" spans="1:85" ht="15" customHeight="1">
      <c r="A84" s="87"/>
      <c r="B84" s="87"/>
      <c r="C84" s="88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7"/>
      <c r="O84" s="87"/>
      <c r="P84" s="87"/>
      <c r="Q84" s="97"/>
      <c r="R84" s="98"/>
      <c r="S84" s="98"/>
      <c r="T84" s="98"/>
      <c r="U84" s="98"/>
      <c r="V84" s="98"/>
      <c r="W84" s="98"/>
      <c r="X84" s="99"/>
      <c r="Y84" s="98"/>
      <c r="Z84" s="98"/>
      <c r="AA84" s="100"/>
      <c r="AB84" s="101"/>
      <c r="AC84" s="101"/>
      <c r="AD84" s="101"/>
      <c r="AE84" s="101"/>
      <c r="AF84" s="101"/>
      <c r="AG84" s="101"/>
      <c r="AH84" s="101"/>
      <c r="AI84" s="101"/>
      <c r="AJ84" s="101"/>
      <c r="AK84" s="101"/>
      <c r="AL84" s="101"/>
      <c r="AM84" s="101"/>
      <c r="AN84" s="101"/>
      <c r="AO84" s="101"/>
      <c r="AP84" s="101"/>
      <c r="AQ84" s="101"/>
      <c r="AR84" s="101"/>
      <c r="AS84" s="101"/>
      <c r="AT84" s="101"/>
      <c r="AU84" s="101"/>
      <c r="AV84" s="101"/>
      <c r="AW84" s="101"/>
      <c r="AX84" s="101"/>
      <c r="AY84" s="101"/>
      <c r="AZ84" s="101"/>
      <c r="BA84" s="101"/>
      <c r="BB84" s="101"/>
      <c r="BC84" s="101"/>
      <c r="BD84" s="101"/>
      <c r="BE84" s="101"/>
      <c r="BF84" s="101"/>
      <c r="BG84" s="101"/>
      <c r="BH84" s="102"/>
      <c r="BI84" s="88"/>
      <c r="BJ84" s="243"/>
      <c r="BK84" s="88"/>
      <c r="BL84" s="93"/>
      <c r="BM84" s="87"/>
      <c r="BN84" s="95"/>
      <c r="BO84" s="88"/>
      <c r="BP84" s="88"/>
      <c r="BQ84" s="88"/>
      <c r="BR84" s="203"/>
      <c r="BS84" s="88"/>
      <c r="BT84" s="95"/>
      <c r="BU84" s="96"/>
      <c r="BV84" s="95"/>
      <c r="BW84" s="95"/>
      <c r="BX84" s="88"/>
      <c r="BY84" s="95"/>
      <c r="BZ84" s="95"/>
      <c r="CA84" s="95"/>
      <c r="CB84" s="95"/>
      <c r="CC84" s="95"/>
      <c r="CD84" s="94"/>
      <c r="CE84" s="95"/>
      <c r="CF84" s="95"/>
      <c r="CG84" s="95"/>
    </row>
    <row r="85" spans="1:85" ht="30" customHeight="1">
      <c r="A85" s="87"/>
      <c r="B85" s="87"/>
      <c r="C85" s="88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103"/>
      <c r="R85" s="89"/>
      <c r="S85" s="89"/>
      <c r="T85" s="89"/>
      <c r="U85" s="89"/>
      <c r="V85" s="89"/>
      <c r="W85" s="89"/>
      <c r="X85" s="90"/>
      <c r="Y85" s="89"/>
      <c r="Z85" s="89"/>
      <c r="AA85" s="87"/>
      <c r="AB85" s="104" t="s">
        <v>70</v>
      </c>
      <c r="AC85" s="104"/>
      <c r="AD85" s="105" t="s">
        <v>52</v>
      </c>
      <c r="AE85" s="105" t="s">
        <v>71</v>
      </c>
      <c r="AF85" s="105" t="s">
        <v>72</v>
      </c>
      <c r="AG85" s="105" t="s">
        <v>73</v>
      </c>
      <c r="AH85" s="105" t="s">
        <v>362</v>
      </c>
      <c r="AI85" s="105" t="s">
        <v>362</v>
      </c>
      <c r="AJ85" s="105" t="s">
        <v>362</v>
      </c>
      <c r="AK85" s="105" t="s">
        <v>59</v>
      </c>
      <c r="AL85" s="106" t="s">
        <v>363</v>
      </c>
      <c r="AM85" s="105" t="s">
        <v>364</v>
      </c>
      <c r="AN85" s="105" t="s">
        <v>365</v>
      </c>
      <c r="AO85" s="105" t="s">
        <v>366</v>
      </c>
      <c r="AP85" s="105" t="s">
        <v>367</v>
      </c>
      <c r="AQ85" s="105" t="s">
        <v>368</v>
      </c>
      <c r="AR85" s="105" t="s">
        <v>369</v>
      </c>
      <c r="AS85" s="105" t="s">
        <v>370</v>
      </c>
      <c r="AT85" s="105" t="s">
        <v>371</v>
      </c>
      <c r="AU85" s="105" t="s">
        <v>372</v>
      </c>
      <c r="AV85" s="105" t="s">
        <v>373</v>
      </c>
      <c r="AW85" s="105" t="s">
        <v>374</v>
      </c>
      <c r="AX85" s="105" t="s">
        <v>375</v>
      </c>
      <c r="AY85" s="105" t="s">
        <v>376</v>
      </c>
      <c r="AZ85" s="105" t="s">
        <v>377</v>
      </c>
      <c r="BA85" s="105" t="s">
        <v>378</v>
      </c>
      <c r="BB85" s="105" t="s">
        <v>379</v>
      </c>
      <c r="BC85" s="105"/>
      <c r="BD85" s="105"/>
      <c r="BE85" s="105" t="s">
        <v>380</v>
      </c>
      <c r="BF85" s="105" t="s">
        <v>381</v>
      </c>
      <c r="BG85" s="105" t="s">
        <v>382</v>
      </c>
      <c r="BH85" s="107"/>
      <c r="BI85" s="96"/>
      <c r="BJ85" s="93"/>
      <c r="BK85" s="94"/>
      <c r="BL85" s="91"/>
      <c r="BM85" s="87"/>
      <c r="BN85" s="88"/>
      <c r="BO85" s="88"/>
      <c r="BP85" s="88"/>
      <c r="BQ85" s="88"/>
      <c r="BR85" s="203"/>
      <c r="BS85" s="95"/>
      <c r="BT85" s="96"/>
      <c r="BU85" s="95"/>
      <c r="BV85" s="95"/>
      <c r="BW85" s="88"/>
      <c r="BX85" s="95"/>
      <c r="BY85" s="95"/>
      <c r="BZ85" s="95"/>
      <c r="CA85" s="95"/>
      <c r="CB85" s="95"/>
      <c r="CC85" s="95"/>
      <c r="CD85" s="94"/>
      <c r="CE85" s="95"/>
      <c r="CF85" s="95"/>
      <c r="CG85" s="95"/>
    </row>
    <row r="86" spans="1:85" ht="15" customHeight="1">
      <c r="A86" s="87"/>
      <c r="B86" s="87"/>
      <c r="C86" s="88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7"/>
      <c r="O86" s="87"/>
      <c r="P86" s="87"/>
      <c r="Q86" s="103"/>
      <c r="R86" s="89"/>
      <c r="S86" s="89"/>
      <c r="T86" s="89"/>
      <c r="U86" s="89"/>
      <c r="V86" s="89"/>
      <c r="W86" s="89"/>
      <c r="X86" s="90"/>
      <c r="Y86" s="89"/>
      <c r="Z86" s="89"/>
      <c r="AA86" s="87"/>
      <c r="AB86" s="91"/>
      <c r="AC86" s="91"/>
      <c r="AD86" s="108"/>
      <c r="AE86" s="108"/>
      <c r="AF86" s="108"/>
      <c r="AG86" s="108"/>
      <c r="AH86" s="108"/>
      <c r="AI86" s="108"/>
      <c r="AJ86" s="108"/>
      <c r="AK86" s="108"/>
      <c r="AL86" s="108"/>
      <c r="AM86" s="108"/>
      <c r="AN86" s="108"/>
      <c r="AO86" s="108"/>
      <c r="AP86" s="108"/>
      <c r="AQ86" s="108"/>
      <c r="AR86" s="108"/>
      <c r="AS86" s="108"/>
      <c r="AT86" s="108"/>
      <c r="AU86" s="108"/>
      <c r="AV86" s="108"/>
      <c r="AW86" s="108"/>
      <c r="AX86" s="108"/>
      <c r="AY86" s="108"/>
      <c r="AZ86" s="108"/>
      <c r="BA86" s="108"/>
      <c r="BB86" s="108"/>
      <c r="BC86" s="108"/>
      <c r="BD86" s="108"/>
      <c r="BE86" s="108"/>
      <c r="BF86" s="108"/>
      <c r="BG86" s="108"/>
      <c r="BH86" s="107"/>
      <c r="BI86" s="96"/>
      <c r="BJ86" s="93"/>
      <c r="BK86" s="94"/>
      <c r="BL86" s="91"/>
      <c r="BM86" s="87"/>
      <c r="BN86" s="88"/>
      <c r="BO86" s="88"/>
      <c r="BP86" s="88"/>
      <c r="BQ86" s="88"/>
      <c r="BR86" s="203"/>
      <c r="BS86" s="95"/>
      <c r="BT86" s="96"/>
      <c r="BU86" s="95"/>
      <c r="BV86" s="95"/>
      <c r="BW86" s="88"/>
      <c r="BX86" s="95"/>
      <c r="BY86" s="95"/>
      <c r="BZ86" s="95"/>
      <c r="CA86" s="95"/>
      <c r="CB86" s="95"/>
      <c r="CC86" s="95"/>
      <c r="CD86" s="94"/>
      <c r="CE86" s="95"/>
      <c r="CF86" s="95"/>
      <c r="CG86" s="95"/>
    </row>
    <row r="87" spans="1:85" ht="15" customHeight="1">
      <c r="A87" s="87"/>
      <c r="B87" s="87"/>
      <c r="C87" s="472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103"/>
      <c r="R87" s="87"/>
      <c r="S87" s="87"/>
      <c r="T87" s="87"/>
      <c r="U87" s="87"/>
      <c r="V87" s="87"/>
      <c r="W87" s="87"/>
      <c r="X87" s="109" t="s">
        <v>383</v>
      </c>
      <c r="Y87" s="89"/>
      <c r="Z87" s="87"/>
      <c r="AA87" s="88"/>
      <c r="AB87" s="91">
        <v>0</v>
      </c>
      <c r="AC87" s="91"/>
      <c r="AD87" s="108">
        <f>SUM(AD82)</f>
        <v>291.46999999999997</v>
      </c>
      <c r="AE87" s="108">
        <f t="shared" ref="AE87:BB87" si="1">SUM(AE82)</f>
        <v>0</v>
      </c>
      <c r="AF87" s="108">
        <f t="shared" si="1"/>
        <v>0</v>
      </c>
      <c r="AG87" s="108">
        <f t="shared" si="1"/>
        <v>0</v>
      </c>
      <c r="AH87" s="108">
        <f t="shared" si="1"/>
        <v>0</v>
      </c>
      <c r="AI87" s="108">
        <f t="shared" si="1"/>
        <v>0</v>
      </c>
      <c r="AJ87" s="108">
        <f t="shared" si="1"/>
        <v>0</v>
      </c>
      <c r="AK87" s="108">
        <f t="shared" si="1"/>
        <v>0</v>
      </c>
      <c r="AL87" s="108"/>
      <c r="AM87" s="108">
        <f t="shared" si="1"/>
        <v>0</v>
      </c>
      <c r="AN87" s="108">
        <f t="shared" si="1"/>
        <v>0</v>
      </c>
      <c r="AO87" s="108">
        <f t="shared" si="1"/>
        <v>0</v>
      </c>
      <c r="AP87" s="108">
        <f t="shared" si="1"/>
        <v>0</v>
      </c>
      <c r="AQ87" s="108">
        <f t="shared" si="1"/>
        <v>0</v>
      </c>
      <c r="AR87" s="108">
        <f t="shared" si="1"/>
        <v>0</v>
      </c>
      <c r="AS87" s="108">
        <f t="shared" si="1"/>
        <v>0</v>
      </c>
      <c r="AT87" s="108">
        <f t="shared" si="1"/>
        <v>0</v>
      </c>
      <c r="AU87" s="108"/>
      <c r="AV87" s="108"/>
      <c r="AW87" s="108">
        <f t="shared" si="1"/>
        <v>0</v>
      </c>
      <c r="AX87" s="108">
        <f t="shared" si="1"/>
        <v>0</v>
      </c>
      <c r="AY87" s="108">
        <f t="shared" si="1"/>
        <v>0</v>
      </c>
      <c r="AZ87" s="108">
        <f t="shared" si="1"/>
        <v>0</v>
      </c>
      <c r="BA87" s="108">
        <f t="shared" si="1"/>
        <v>0</v>
      </c>
      <c r="BB87" s="108">
        <f t="shared" si="1"/>
        <v>0</v>
      </c>
      <c r="BC87" s="108"/>
      <c r="BD87" s="108"/>
      <c r="BE87" s="108">
        <f t="shared" ref="BE87:BG87" si="2">SUM(BE82)</f>
        <v>0</v>
      </c>
      <c r="BF87" s="108">
        <f t="shared" si="2"/>
        <v>0</v>
      </c>
      <c r="BG87" s="108">
        <f t="shared" si="2"/>
        <v>0</v>
      </c>
      <c r="BH87" s="107"/>
      <c r="BI87" s="89"/>
      <c r="BJ87" s="93"/>
      <c r="BK87" s="110"/>
      <c r="BL87" s="91"/>
      <c r="BM87" s="87"/>
      <c r="BN87" s="111"/>
      <c r="BO87" s="88"/>
      <c r="BP87" s="88"/>
      <c r="BQ87" s="88"/>
      <c r="BR87" s="203"/>
      <c r="BS87" s="88"/>
      <c r="BT87" s="96"/>
      <c r="BU87" s="95"/>
      <c r="BV87" s="95"/>
      <c r="BW87" s="111"/>
      <c r="BX87" s="88"/>
      <c r="BY87" s="95"/>
      <c r="BZ87" s="95"/>
      <c r="CA87" s="95"/>
      <c r="CB87" s="95"/>
      <c r="CC87" s="95"/>
      <c r="CD87" s="94"/>
      <c r="CE87" s="95"/>
      <c r="CF87" s="95"/>
      <c r="CG87" s="95"/>
    </row>
    <row r="88" spans="1:85" ht="15" customHeight="1">
      <c r="A88" s="87"/>
      <c r="B88" s="87"/>
      <c r="C88" s="472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7"/>
      <c r="O88" s="87"/>
      <c r="P88" s="87"/>
      <c r="Q88" s="103"/>
      <c r="R88" s="89"/>
      <c r="S88" s="89"/>
      <c r="T88" s="89"/>
      <c r="U88" s="89"/>
      <c r="V88" s="89"/>
      <c r="W88" s="89"/>
      <c r="X88" s="109"/>
      <c r="Y88" s="89"/>
      <c r="Z88" s="89"/>
      <c r="AA88" s="88"/>
      <c r="AB88" s="91"/>
      <c r="AC88" s="91"/>
      <c r="AD88" s="108"/>
      <c r="AE88" s="108"/>
      <c r="AF88" s="108"/>
      <c r="AG88" s="108"/>
      <c r="AH88" s="108"/>
      <c r="AI88" s="108"/>
      <c r="AJ88" s="108"/>
      <c r="AK88" s="108"/>
      <c r="AL88" s="108"/>
      <c r="AM88" s="108"/>
      <c r="AN88" s="108"/>
      <c r="AO88" s="108"/>
      <c r="AP88" s="108"/>
      <c r="AQ88" s="108"/>
      <c r="AR88" s="108"/>
      <c r="AS88" s="108"/>
      <c r="AT88" s="108"/>
      <c r="AU88" s="108"/>
      <c r="AV88" s="108"/>
      <c r="AW88" s="108"/>
      <c r="AX88" s="108"/>
      <c r="AY88" s="108"/>
      <c r="AZ88" s="108"/>
      <c r="BA88" s="108"/>
      <c r="BB88" s="108"/>
      <c r="BC88" s="108"/>
      <c r="BD88" s="108"/>
      <c r="BE88" s="108"/>
      <c r="BF88" s="108"/>
      <c r="BG88" s="108"/>
      <c r="BH88" s="107"/>
      <c r="BI88" s="89"/>
      <c r="BJ88" s="93"/>
      <c r="BK88" s="110"/>
      <c r="BL88" s="91"/>
      <c r="BM88" s="87"/>
      <c r="BN88" s="111"/>
      <c r="BO88" s="88"/>
      <c r="BP88" s="88"/>
      <c r="BQ88" s="88"/>
      <c r="BR88" s="203"/>
      <c r="BS88" s="88"/>
      <c r="BT88" s="96"/>
      <c r="BU88" s="95"/>
      <c r="BV88" s="95"/>
      <c r="BW88" s="111"/>
      <c r="BX88" s="88"/>
      <c r="BY88" s="95"/>
      <c r="BZ88" s="95"/>
      <c r="CA88" s="95"/>
      <c r="CB88" s="95"/>
      <c r="CC88" s="95"/>
      <c r="CD88" s="94"/>
      <c r="CE88" s="95"/>
      <c r="CF88" s="95"/>
      <c r="CG88" s="95"/>
    </row>
    <row r="89" spans="1:85" ht="15" customHeight="1">
      <c r="A89" s="87"/>
      <c r="B89" s="87"/>
      <c r="C89" s="88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103"/>
      <c r="R89" s="89"/>
      <c r="S89" s="89"/>
      <c r="T89" s="89"/>
      <c r="U89" s="89"/>
      <c r="V89" s="89"/>
      <c r="W89" s="89"/>
      <c r="X89" s="109" t="s">
        <v>384</v>
      </c>
      <c r="Y89" s="89"/>
      <c r="Z89" s="89"/>
      <c r="AA89" s="88"/>
      <c r="AB89" s="91"/>
      <c r="AC89" s="91"/>
      <c r="AD89" s="108">
        <v>0</v>
      </c>
      <c r="AE89" s="108"/>
      <c r="AF89" s="108"/>
      <c r="AG89" s="108"/>
      <c r="AH89" s="108">
        <v>0</v>
      </c>
      <c r="AI89" s="108">
        <v>0</v>
      </c>
      <c r="AJ89" s="108">
        <v>0</v>
      </c>
      <c r="AK89" s="108">
        <v>0</v>
      </c>
      <c r="AL89" s="108"/>
      <c r="AM89" s="108">
        <v>0</v>
      </c>
      <c r="AN89" s="108">
        <v>0</v>
      </c>
      <c r="AO89" s="108"/>
      <c r="AP89" s="108"/>
      <c r="AQ89" s="108"/>
      <c r="AR89" s="108"/>
      <c r="AS89" s="108"/>
      <c r="AT89" s="108"/>
      <c r="AU89" s="108"/>
      <c r="AV89" s="108"/>
      <c r="AW89" s="108"/>
      <c r="AX89" s="108"/>
      <c r="AY89" s="108"/>
      <c r="AZ89" s="108"/>
      <c r="BA89" s="108"/>
      <c r="BB89" s="108"/>
      <c r="BC89" s="108"/>
      <c r="BD89" s="108"/>
      <c r="BE89" s="108">
        <v>0</v>
      </c>
      <c r="BF89" s="108">
        <v>0</v>
      </c>
      <c r="BG89" s="108">
        <v>0</v>
      </c>
      <c r="BH89" s="107"/>
      <c r="BI89" s="89"/>
      <c r="BJ89" s="93"/>
      <c r="BK89" s="110"/>
      <c r="BL89" s="91"/>
      <c r="BM89" s="87"/>
      <c r="BN89" s="111"/>
      <c r="BO89" s="88"/>
      <c r="BP89" s="88"/>
      <c r="BQ89" s="88"/>
      <c r="BR89" s="203"/>
      <c r="BS89" s="88"/>
      <c r="BT89" s="96"/>
      <c r="BU89" s="95"/>
      <c r="BV89" s="95"/>
      <c r="BW89" s="111"/>
      <c r="BX89" s="88"/>
      <c r="BY89" s="95"/>
      <c r="BZ89" s="95"/>
      <c r="CA89" s="95"/>
      <c r="CB89" s="95"/>
      <c r="CC89" s="95"/>
      <c r="CD89" s="94"/>
      <c r="CE89" s="95"/>
      <c r="CF89" s="95"/>
      <c r="CG89" s="95"/>
    </row>
    <row r="90" spans="1:85" ht="15" customHeight="1">
      <c r="A90" s="87"/>
      <c r="B90" s="87"/>
      <c r="C90" s="88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103"/>
      <c r="R90" s="89"/>
      <c r="S90" s="89"/>
      <c r="T90" s="89"/>
      <c r="U90" s="89"/>
      <c r="V90" s="89"/>
      <c r="W90" s="89"/>
      <c r="X90" s="109"/>
      <c r="Y90" s="89"/>
      <c r="Z90" s="89"/>
      <c r="AA90" s="88"/>
      <c r="AB90" s="91"/>
      <c r="AC90" s="91"/>
      <c r="AD90" s="112"/>
      <c r="AE90" s="112"/>
      <c r="AF90" s="112"/>
      <c r="AG90" s="112"/>
      <c r="AH90" s="112"/>
      <c r="AI90" s="112"/>
      <c r="AJ90" s="112"/>
      <c r="AK90" s="112"/>
      <c r="AL90" s="112"/>
      <c r="AM90" s="112"/>
      <c r="AN90" s="112"/>
      <c r="AO90" s="112"/>
      <c r="AP90" s="112"/>
      <c r="AQ90" s="112"/>
      <c r="AR90" s="112"/>
      <c r="AS90" s="112"/>
      <c r="AT90" s="112"/>
      <c r="AU90" s="112"/>
      <c r="AV90" s="112"/>
      <c r="AW90" s="112"/>
      <c r="AX90" s="112"/>
      <c r="AY90" s="112"/>
      <c r="AZ90" s="112"/>
      <c r="BA90" s="112"/>
      <c r="BB90" s="112"/>
      <c r="BC90" s="112"/>
      <c r="BD90" s="112"/>
      <c r="BE90" s="112"/>
      <c r="BF90" s="112"/>
      <c r="BG90" s="112"/>
      <c r="BH90" s="113"/>
      <c r="BI90" s="114"/>
      <c r="BJ90" s="244"/>
      <c r="BK90" s="115"/>
      <c r="BL90" s="116"/>
      <c r="BM90" s="483"/>
      <c r="BN90" s="118"/>
      <c r="BO90" s="119"/>
      <c r="BP90" s="119"/>
      <c r="BQ90" s="119"/>
      <c r="BR90" s="204"/>
      <c r="BS90" s="119"/>
      <c r="BT90" s="120"/>
      <c r="BU90" s="117"/>
      <c r="BV90" s="117"/>
      <c r="BW90" s="118"/>
      <c r="BX90" s="119"/>
      <c r="BY90" s="117"/>
      <c r="BZ90" s="117"/>
      <c r="CA90" s="117"/>
      <c r="CB90" s="117"/>
      <c r="CC90" s="117"/>
      <c r="CD90" s="121"/>
      <c r="CE90" s="117"/>
      <c r="CF90" s="117"/>
      <c r="CG90" s="117"/>
    </row>
    <row r="91" spans="1:85" ht="15" customHeight="1" thickBot="1">
      <c r="A91" s="87"/>
      <c r="B91" s="87"/>
      <c r="C91" s="88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103"/>
      <c r="R91" s="89"/>
      <c r="S91" s="89"/>
      <c r="T91" s="89"/>
      <c r="U91" s="89"/>
      <c r="V91" s="89"/>
      <c r="W91" s="89"/>
      <c r="X91" s="109" t="s">
        <v>385</v>
      </c>
      <c r="Y91" s="89"/>
      <c r="Z91" s="89"/>
      <c r="AA91" s="88"/>
      <c r="AB91" s="91"/>
      <c r="AC91" s="91"/>
      <c r="AD91" s="122">
        <f>SUM(AD87:AD89)</f>
        <v>291.46999999999997</v>
      </c>
      <c r="AE91" s="122"/>
      <c r="AF91" s="122"/>
      <c r="AG91" s="122"/>
      <c r="AH91" s="122">
        <f t="shared" ref="AH91:BG91" si="3">SUM(AH87:AH89)</f>
        <v>0</v>
      </c>
      <c r="AI91" s="122">
        <f t="shared" si="3"/>
        <v>0</v>
      </c>
      <c r="AJ91" s="122">
        <f t="shared" si="3"/>
        <v>0</v>
      </c>
      <c r="AK91" s="122">
        <f t="shared" si="3"/>
        <v>0</v>
      </c>
      <c r="AL91" s="122"/>
      <c r="AM91" s="122">
        <f t="shared" si="3"/>
        <v>0</v>
      </c>
      <c r="AN91" s="122">
        <f t="shared" si="3"/>
        <v>0</v>
      </c>
      <c r="AO91" s="122">
        <f t="shared" si="3"/>
        <v>0</v>
      </c>
      <c r="AP91" s="122">
        <f t="shared" si="3"/>
        <v>0</v>
      </c>
      <c r="AQ91" s="122">
        <f t="shared" si="3"/>
        <v>0</v>
      </c>
      <c r="AR91" s="122">
        <f t="shared" si="3"/>
        <v>0</v>
      </c>
      <c r="AS91" s="122">
        <f t="shared" si="3"/>
        <v>0</v>
      </c>
      <c r="AT91" s="122">
        <f t="shared" si="3"/>
        <v>0</v>
      </c>
      <c r="AU91" s="122"/>
      <c r="AV91" s="122"/>
      <c r="AW91" s="122">
        <f t="shared" si="3"/>
        <v>0</v>
      </c>
      <c r="AX91" s="122">
        <f t="shared" si="3"/>
        <v>0</v>
      </c>
      <c r="AY91" s="122">
        <f t="shared" si="3"/>
        <v>0</v>
      </c>
      <c r="AZ91" s="122">
        <f t="shared" si="3"/>
        <v>0</v>
      </c>
      <c r="BA91" s="122">
        <f t="shared" si="3"/>
        <v>0</v>
      </c>
      <c r="BB91" s="122">
        <f t="shared" si="3"/>
        <v>0</v>
      </c>
      <c r="BC91" s="122"/>
      <c r="BD91" s="122"/>
      <c r="BE91" s="122">
        <f t="shared" si="3"/>
        <v>0</v>
      </c>
      <c r="BF91" s="122">
        <f t="shared" si="3"/>
        <v>0</v>
      </c>
      <c r="BG91" s="122">
        <f t="shared" si="3"/>
        <v>0</v>
      </c>
      <c r="BH91" s="113"/>
      <c r="BI91" s="114"/>
      <c r="BJ91" s="244"/>
      <c r="BK91" s="115"/>
      <c r="BL91" s="116"/>
      <c r="BM91" s="483"/>
      <c r="BN91" s="118"/>
      <c r="BO91" s="119"/>
      <c r="BP91" s="119"/>
      <c r="BQ91" s="119"/>
      <c r="BR91" s="204"/>
      <c r="BS91" s="119"/>
      <c r="BT91" s="120"/>
      <c r="BU91" s="117"/>
      <c r="BV91" s="117"/>
      <c r="BW91" s="118"/>
      <c r="BX91" s="119"/>
      <c r="BY91" s="117"/>
      <c r="BZ91" s="117"/>
      <c r="CA91" s="117"/>
      <c r="CB91" s="117"/>
      <c r="CC91" s="117"/>
      <c r="CD91" s="121"/>
      <c r="CE91" s="117"/>
      <c r="CF91" s="117"/>
      <c r="CG91" s="117"/>
    </row>
    <row r="92" spans="1:85" ht="15" customHeight="1" thickTop="1" thickBot="1">
      <c r="A92" s="87"/>
      <c r="B92" s="87"/>
      <c r="C92" s="88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87"/>
      <c r="Q92" s="123"/>
      <c r="R92" s="124"/>
      <c r="S92" s="124"/>
      <c r="T92" s="124"/>
      <c r="U92" s="124"/>
      <c r="V92" s="124"/>
      <c r="W92" s="124"/>
      <c r="X92" s="125"/>
      <c r="Y92" s="124"/>
      <c r="Z92" s="124"/>
      <c r="AA92" s="126"/>
      <c r="AB92" s="127"/>
      <c r="AC92" s="127"/>
      <c r="AD92" s="127"/>
      <c r="AE92" s="127"/>
      <c r="AF92" s="127"/>
      <c r="AG92" s="127"/>
      <c r="AH92" s="127"/>
      <c r="AI92" s="127"/>
      <c r="AJ92" s="127"/>
      <c r="AK92" s="127"/>
      <c r="AL92" s="127"/>
      <c r="AM92" s="127"/>
      <c r="AN92" s="127"/>
      <c r="AO92" s="127"/>
      <c r="AP92" s="127"/>
      <c r="AQ92" s="127"/>
      <c r="AR92" s="127"/>
      <c r="AS92" s="127"/>
      <c r="AT92" s="127"/>
      <c r="AU92" s="127"/>
      <c r="AV92" s="127"/>
      <c r="AW92" s="127"/>
      <c r="AX92" s="127"/>
      <c r="AY92" s="127"/>
      <c r="AZ92" s="127"/>
      <c r="BA92" s="127"/>
      <c r="BB92" s="127"/>
      <c r="BC92" s="127"/>
      <c r="BD92" s="127"/>
      <c r="BE92" s="127"/>
      <c r="BF92" s="127"/>
      <c r="BG92" s="128"/>
      <c r="BH92" s="129"/>
      <c r="BI92" s="120"/>
      <c r="BJ92" s="244"/>
      <c r="BK92" s="121"/>
      <c r="BL92" s="116"/>
      <c r="BM92" s="483"/>
      <c r="BN92" s="119"/>
      <c r="BO92" s="119"/>
      <c r="BP92" s="119"/>
      <c r="BQ92" s="119"/>
      <c r="BR92" s="204"/>
      <c r="BS92" s="117"/>
      <c r="BT92" s="120"/>
      <c r="BU92" s="117"/>
      <c r="BV92" s="117"/>
      <c r="BW92" s="119"/>
      <c r="BX92" s="117"/>
      <c r="BY92" s="117"/>
      <c r="BZ92" s="117"/>
      <c r="CA92" s="117"/>
      <c r="CB92" s="117"/>
      <c r="CC92" s="117"/>
      <c r="CD92" s="121"/>
      <c r="CE92" s="117"/>
      <c r="CF92" s="117"/>
      <c r="CG92" s="117"/>
    </row>
    <row r="93" spans="1:85" ht="15" customHeight="1"/>
  </sheetData>
  <autoFilter ref="A11:CG82" xr:uid="{19414DA4-C1FB-44B1-8E81-98EE130350A4}"/>
  <mergeCells count="2">
    <mergeCell ref="A2:F2"/>
    <mergeCell ref="A9:BH10"/>
  </mergeCells>
  <printOptions horizontalCentered="1"/>
  <pageMargins left="0.5" right="0.5" top="0.5" bottom="0.5" header="0.3" footer="0.3"/>
  <pageSetup scale="61" fitToHeight="0" orientation="landscape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promptTitle="Carriers" prompt="Please select a carrier from the list" xr:uid="{8619E4C5-D885-425A-BD05-52D46ABCC43A}">
          <x14:formula1>
            <xm:f>'Carrier Names'!$A$2:$A$104</xm:f>
          </x14:formula1>
          <xm:sqref>C4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BE0A8-94D9-4943-B51D-CC52050FCF99}">
  <sheetPr>
    <tabColor rgb="FF00B0F0"/>
    <pageSetUpPr fitToPage="1"/>
  </sheetPr>
  <dimension ref="A1:CH74"/>
  <sheetViews>
    <sheetView zoomScale="80" zoomScaleNormal="80" workbookViewId="0">
      <selection activeCell="CE26" sqref="CE26"/>
    </sheetView>
  </sheetViews>
  <sheetFormatPr defaultColWidth="8.85546875" defaultRowHeight="14.45"/>
  <cols>
    <col min="1" max="1" width="29.140625" style="136" customWidth="1"/>
    <col min="2" max="2" width="7.28515625" style="136" hidden="1" customWidth="1"/>
    <col min="3" max="3" width="16.42578125" style="188" bestFit="1" customWidth="1"/>
    <col min="4" max="4" width="6.7109375" style="136" bestFit="1" customWidth="1"/>
    <col min="5" max="5" width="9.28515625" style="136" customWidth="1"/>
    <col min="6" max="6" width="11.28515625" style="136" bestFit="1" customWidth="1"/>
    <col min="7" max="7" width="12.7109375" style="136" bestFit="1" customWidth="1"/>
    <col min="8" max="15" width="0.85546875" style="136" hidden="1" customWidth="1"/>
    <col min="16" max="16" width="3.42578125" style="136" hidden="1" customWidth="1"/>
    <col min="17" max="17" width="22.140625" style="136" customWidth="1"/>
    <col min="18" max="21" width="2.85546875" style="136" hidden="1" customWidth="1"/>
    <col min="22" max="22" width="19.85546875" style="136" hidden="1" customWidth="1"/>
    <col min="23" max="23" width="1.42578125" style="136" hidden="1" customWidth="1"/>
    <col min="24" max="24" width="22.140625" style="189" customWidth="1"/>
    <col min="25" max="25" width="5.140625" style="136" hidden="1" customWidth="1"/>
    <col min="26" max="26" width="19" style="136" hidden="1" customWidth="1"/>
    <col min="27" max="27" width="14.140625" style="136" hidden="1" customWidth="1"/>
    <col min="28" max="28" width="7.42578125" style="136" hidden="1" customWidth="1"/>
    <col min="29" max="29" width="1.7109375" style="136" hidden="1" customWidth="1"/>
    <col min="30" max="30" width="7.42578125" style="136" hidden="1" customWidth="1"/>
    <col min="31" max="34" width="1" style="136" hidden="1" customWidth="1"/>
    <col min="35" max="35" width="9.42578125" style="136" customWidth="1"/>
    <col min="36" max="36" width="10.28515625" style="136" customWidth="1"/>
    <col min="37" max="37" width="18.140625" style="136" customWidth="1"/>
    <col min="38" max="38" width="10.42578125" style="136" hidden="1" customWidth="1"/>
    <col min="39" max="40" width="1.42578125" style="136" hidden="1" customWidth="1"/>
    <col min="41" max="58" width="2.7109375" style="136" hidden="1" customWidth="1"/>
    <col min="59" max="59" width="10.140625" style="136" bestFit="1" customWidth="1"/>
    <col min="60" max="60" width="8.85546875" style="136"/>
    <col min="61" max="61" width="9.42578125" style="136" bestFit="1" customWidth="1"/>
    <col min="62" max="62" width="12.42578125" style="136" bestFit="1" customWidth="1"/>
    <col min="63" max="63" width="17.140625" style="136" bestFit="1" customWidth="1"/>
    <col min="64" max="64" width="32.28515625" style="190" bestFit="1" customWidth="1"/>
    <col min="65" max="65" width="18" style="136" bestFit="1" customWidth="1"/>
    <col min="66" max="66" width="8.85546875" style="136"/>
    <col min="67" max="67" width="0.5703125" style="136" customWidth="1"/>
    <col min="68" max="68" width="10.7109375" style="136" bestFit="1" customWidth="1"/>
    <col min="69" max="69" width="1" style="136" customWidth="1"/>
    <col min="70" max="70" width="19.5703125" style="136" bestFit="1" customWidth="1"/>
    <col min="71" max="74" width="0.7109375" style="136" customWidth="1"/>
    <col min="75" max="80" width="0.5703125" style="136" customWidth="1"/>
    <col min="81" max="81" width="13.7109375" style="136" bestFit="1" customWidth="1"/>
    <col min="82" max="82" width="14.7109375" style="136" bestFit="1" customWidth="1"/>
    <col min="83" max="83" width="8.85546875" style="136"/>
    <col min="84" max="84" width="17.140625" style="136" bestFit="1" customWidth="1"/>
    <col min="85" max="16384" width="8.85546875" style="136"/>
  </cols>
  <sheetData>
    <row r="1" spans="1:85" ht="25.9">
      <c r="A1" s="132" t="s">
        <v>25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3"/>
      <c r="R1" s="132"/>
      <c r="S1" s="132"/>
      <c r="T1" s="132"/>
      <c r="U1" s="132"/>
      <c r="V1" s="132"/>
      <c r="W1" s="132"/>
      <c r="X1" s="134"/>
      <c r="Y1" s="6"/>
      <c r="Z1" s="6"/>
      <c r="AA1" s="2"/>
      <c r="AB1" s="26"/>
      <c r="AC1" s="26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7"/>
      <c r="BI1" s="3"/>
      <c r="BJ1" s="8"/>
      <c r="BK1" s="3"/>
      <c r="BL1" s="40"/>
      <c r="BM1" s="28"/>
      <c r="BN1" s="5"/>
      <c r="BO1" s="3"/>
      <c r="BP1" s="3"/>
      <c r="BQ1" s="3"/>
      <c r="BR1" s="200"/>
      <c r="BS1" s="3"/>
      <c r="BT1" s="5"/>
      <c r="BU1" s="8"/>
      <c r="BV1" s="5"/>
      <c r="BW1" s="5"/>
      <c r="BX1" s="3"/>
      <c r="BY1" s="5"/>
      <c r="BZ1" s="5"/>
      <c r="CA1" s="5"/>
      <c r="CB1" s="5"/>
      <c r="CC1" s="5"/>
      <c r="CD1" s="135"/>
      <c r="CE1" s="5"/>
      <c r="CF1" s="5"/>
      <c r="CG1" s="5"/>
    </row>
    <row r="2" spans="1:85" s="138" customFormat="1" ht="15" customHeight="1">
      <c r="A2" s="43" t="s">
        <v>26</v>
      </c>
      <c r="B2" s="44"/>
      <c r="C2" s="46"/>
      <c r="D2" s="44"/>
      <c r="E2" s="44"/>
      <c r="F2" s="44"/>
      <c r="G2" s="29"/>
      <c r="H2" s="29"/>
      <c r="I2" s="29"/>
      <c r="J2" s="29"/>
      <c r="K2" s="29"/>
      <c r="L2" s="29"/>
      <c r="M2" s="29"/>
      <c r="N2" s="29"/>
      <c r="O2" s="29"/>
      <c r="P2" s="29"/>
      <c r="Q2" s="137"/>
      <c r="R2" s="30"/>
      <c r="S2" s="30"/>
      <c r="T2" s="30"/>
      <c r="U2" s="30"/>
      <c r="V2" s="30"/>
      <c r="W2" s="30"/>
      <c r="X2" s="39"/>
      <c r="Y2" s="30"/>
      <c r="Z2" s="30"/>
      <c r="AA2" s="31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3"/>
      <c r="BI2" s="34"/>
      <c r="BJ2" s="35"/>
      <c r="BK2" s="34"/>
      <c r="BL2" s="41"/>
      <c r="BM2" s="36"/>
      <c r="BN2" s="37"/>
      <c r="BO2" s="34"/>
      <c r="BP2" s="34"/>
      <c r="BQ2" s="34"/>
      <c r="BR2" s="205"/>
      <c r="BS2" s="34"/>
      <c r="BT2" s="37"/>
      <c r="BU2" s="35"/>
      <c r="BV2" s="37"/>
      <c r="BW2" s="37"/>
      <c r="BX2" s="34"/>
      <c r="BY2" s="37"/>
      <c r="BZ2" s="37"/>
      <c r="CA2" s="37"/>
      <c r="CB2" s="37"/>
      <c r="CC2" s="37"/>
      <c r="CD2" s="137"/>
      <c r="CE2" s="37"/>
      <c r="CF2" s="37"/>
      <c r="CG2" s="37"/>
    </row>
    <row r="3" spans="1:85" s="138" customFormat="1" ht="15" customHeight="1">
      <c r="A3" s="47" t="s">
        <v>27</v>
      </c>
      <c r="B3" s="29"/>
      <c r="C3" s="46" t="s">
        <v>387</v>
      </c>
      <c r="D3" s="48"/>
      <c r="E3" s="48"/>
      <c r="F3" s="48"/>
      <c r="G3" s="29"/>
      <c r="H3" s="29"/>
      <c r="I3" s="29"/>
      <c r="J3" s="29"/>
      <c r="K3" s="29"/>
      <c r="L3" s="29"/>
      <c r="M3" s="29"/>
      <c r="N3" s="29"/>
      <c r="O3" s="29"/>
      <c r="P3" s="29"/>
      <c r="Q3" s="137"/>
      <c r="R3" s="30"/>
      <c r="S3" s="30"/>
      <c r="T3" s="30"/>
      <c r="U3" s="30"/>
      <c r="V3" s="30"/>
      <c r="W3" s="30"/>
      <c r="X3" s="39"/>
      <c r="Y3" s="30"/>
      <c r="Z3" s="30"/>
      <c r="AA3" s="31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3"/>
      <c r="BI3" s="34"/>
      <c r="BJ3" s="35"/>
      <c r="BK3" s="34"/>
      <c r="BL3" s="41"/>
      <c r="BM3" s="36"/>
      <c r="BN3" s="37"/>
      <c r="BO3" s="34"/>
      <c r="BP3" s="34"/>
      <c r="BQ3" s="34"/>
      <c r="BR3" s="205"/>
      <c r="BS3" s="34"/>
      <c r="BT3" s="37"/>
      <c r="BU3" s="35"/>
      <c r="BV3" s="37"/>
      <c r="BW3" s="37"/>
      <c r="BX3" s="34"/>
      <c r="BY3" s="37"/>
      <c r="BZ3" s="37"/>
      <c r="CA3" s="37"/>
      <c r="CB3" s="37"/>
      <c r="CC3" s="37"/>
      <c r="CD3" s="137"/>
      <c r="CE3" s="37"/>
      <c r="CF3" s="37"/>
      <c r="CG3" s="37"/>
    </row>
    <row r="4" spans="1:85" s="138" customFormat="1" ht="15" customHeight="1">
      <c r="A4" s="43" t="s">
        <v>29</v>
      </c>
      <c r="B4" s="45"/>
      <c r="C4" s="46"/>
      <c r="D4" s="29"/>
      <c r="E4" s="29"/>
      <c r="F4" s="29"/>
      <c r="G4" s="29"/>
      <c r="H4" s="29"/>
      <c r="I4" s="29"/>
      <c r="J4" s="44"/>
      <c r="K4" s="44"/>
      <c r="L4" s="44"/>
      <c r="M4" s="44"/>
      <c r="N4" s="44"/>
      <c r="O4" s="44"/>
      <c r="P4" s="44"/>
      <c r="Q4" s="137"/>
      <c r="R4" s="49"/>
      <c r="S4" s="49"/>
      <c r="T4" s="49"/>
      <c r="U4" s="49"/>
      <c r="V4" s="49"/>
      <c r="W4" s="49"/>
      <c r="X4" s="39"/>
      <c r="Y4" s="49"/>
      <c r="Z4" s="49"/>
      <c r="AA4" s="31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50"/>
      <c r="BI4" s="34"/>
      <c r="BJ4" s="35"/>
      <c r="BK4" s="34"/>
      <c r="BL4" s="41"/>
      <c r="BM4" s="36"/>
      <c r="BN4" s="37"/>
      <c r="BO4" s="34"/>
      <c r="BP4" s="34"/>
      <c r="BQ4" s="34"/>
      <c r="BR4" s="205"/>
      <c r="BS4" s="34"/>
      <c r="BT4" s="37"/>
      <c r="BU4" s="35"/>
      <c r="BV4" s="37"/>
      <c r="BW4" s="37"/>
      <c r="BX4" s="34"/>
      <c r="BY4" s="37"/>
      <c r="BZ4" s="37"/>
      <c r="CA4" s="37"/>
      <c r="CB4" s="37"/>
      <c r="CC4" s="37"/>
      <c r="CD4" s="137"/>
      <c r="CE4" s="37"/>
      <c r="CF4" s="37"/>
      <c r="CG4" s="37"/>
    </row>
    <row r="5" spans="1:85" s="138" customFormat="1" ht="15" customHeight="1">
      <c r="A5" s="43" t="s">
        <v>30</v>
      </c>
      <c r="B5" s="45"/>
      <c r="C5" s="139">
        <v>1</v>
      </c>
      <c r="D5" s="29"/>
      <c r="E5" s="29"/>
      <c r="F5" s="29"/>
      <c r="G5" s="29"/>
      <c r="H5" s="29"/>
      <c r="I5" s="29"/>
      <c r="J5" s="44"/>
      <c r="K5" s="44"/>
      <c r="L5" s="44"/>
      <c r="M5" s="44"/>
      <c r="N5" s="44"/>
      <c r="O5" s="44"/>
      <c r="P5" s="44"/>
      <c r="Q5" s="137"/>
      <c r="R5" s="49"/>
      <c r="S5" s="49"/>
      <c r="T5" s="49"/>
      <c r="U5" s="49"/>
      <c r="V5" s="49"/>
      <c r="W5" s="49"/>
      <c r="X5" s="39"/>
      <c r="Y5" s="49"/>
      <c r="Z5" s="49"/>
      <c r="AA5" s="31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50"/>
      <c r="BI5" s="34"/>
      <c r="BJ5" s="35"/>
      <c r="BK5" s="34"/>
      <c r="BL5" s="41"/>
      <c r="BM5" s="36"/>
      <c r="BN5" s="37"/>
      <c r="BO5" s="34"/>
      <c r="BP5" s="34"/>
      <c r="BQ5" s="34"/>
      <c r="BR5" s="205"/>
      <c r="BS5" s="34"/>
      <c r="BT5" s="37"/>
      <c r="BU5" s="35"/>
      <c r="BV5" s="37"/>
      <c r="BW5" s="37"/>
      <c r="BX5" s="34"/>
      <c r="BY5" s="37"/>
      <c r="BZ5" s="37"/>
      <c r="CA5" s="37"/>
      <c r="CB5" s="37"/>
      <c r="CC5" s="37"/>
      <c r="CD5" s="137"/>
      <c r="CE5" s="37"/>
      <c r="CF5" s="37"/>
      <c r="CG5" s="37"/>
    </row>
    <row r="6" spans="1:85" s="138" customFormat="1" ht="15" customHeight="1">
      <c r="A6" s="43"/>
      <c r="B6" s="45"/>
      <c r="C6" s="139"/>
      <c r="D6" s="29"/>
      <c r="E6" s="29"/>
      <c r="F6" s="29"/>
      <c r="G6" s="29"/>
      <c r="H6" s="29"/>
      <c r="I6" s="29"/>
      <c r="J6" s="44"/>
      <c r="K6" s="44"/>
      <c r="L6" s="44"/>
      <c r="M6" s="44"/>
      <c r="N6" s="44"/>
      <c r="O6" s="44"/>
      <c r="P6" s="44"/>
      <c r="Q6" s="137"/>
      <c r="R6" s="49"/>
      <c r="S6" s="49"/>
      <c r="T6" s="49"/>
      <c r="U6" s="49"/>
      <c r="V6" s="49"/>
      <c r="W6" s="49"/>
      <c r="X6" s="39"/>
      <c r="Y6" s="49"/>
      <c r="Z6" s="49"/>
      <c r="AA6" s="31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50"/>
      <c r="BI6" s="34"/>
      <c r="BJ6" s="35"/>
      <c r="BK6" s="34"/>
      <c r="BL6" s="41"/>
      <c r="BM6" s="36"/>
      <c r="BN6" s="37"/>
      <c r="BO6" s="34"/>
      <c r="BP6" s="34"/>
      <c r="BQ6" s="34"/>
      <c r="BR6" s="205"/>
      <c r="BS6" s="34"/>
      <c r="BT6" s="37"/>
      <c r="BU6" s="35"/>
      <c r="BV6" s="37"/>
      <c r="BW6" s="37"/>
      <c r="BX6" s="34"/>
      <c r="BY6" s="37"/>
      <c r="BZ6" s="37"/>
      <c r="CA6" s="37"/>
      <c r="CB6" s="37"/>
      <c r="CC6" s="37"/>
      <c r="CD6" s="137"/>
      <c r="CE6" s="37"/>
      <c r="CF6" s="37"/>
      <c r="CG6" s="37"/>
    </row>
    <row r="7" spans="1:85" s="138" customFormat="1" ht="15" customHeight="1" thickBot="1">
      <c r="A7" s="43"/>
      <c r="B7" s="45"/>
      <c r="C7" s="139"/>
      <c r="D7" s="29"/>
      <c r="E7" s="29"/>
      <c r="F7" s="29"/>
      <c r="G7" s="29"/>
      <c r="H7" s="29"/>
      <c r="I7" s="29"/>
      <c r="J7" s="44"/>
      <c r="K7" s="44"/>
      <c r="L7" s="44"/>
      <c r="M7" s="44"/>
      <c r="N7" s="44"/>
      <c r="O7" s="44"/>
      <c r="P7" s="44"/>
      <c r="Q7" s="137"/>
      <c r="R7" s="49"/>
      <c r="S7" s="49"/>
      <c r="T7" s="49"/>
      <c r="U7" s="49"/>
      <c r="V7" s="49"/>
      <c r="W7" s="49"/>
      <c r="X7" s="39"/>
      <c r="Y7" s="49"/>
      <c r="Z7" s="49"/>
      <c r="AA7" s="31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50"/>
      <c r="BI7" s="34"/>
      <c r="BJ7" s="35"/>
      <c r="BK7" s="34"/>
      <c r="BL7" s="41"/>
      <c r="BM7" s="36"/>
      <c r="BN7" s="37"/>
      <c r="BO7" s="34"/>
      <c r="BP7" s="34"/>
      <c r="BQ7" s="34"/>
      <c r="BR7" s="205"/>
      <c r="BS7" s="34"/>
      <c r="BT7" s="37"/>
      <c r="BU7" s="35"/>
      <c r="BV7" s="37"/>
      <c r="BW7" s="37"/>
      <c r="BX7" s="34"/>
      <c r="BY7" s="37"/>
      <c r="BZ7" s="37"/>
      <c r="CA7" s="37"/>
      <c r="CB7" s="37"/>
      <c r="CC7" s="37"/>
      <c r="CD7" s="137"/>
      <c r="CE7" s="37"/>
      <c r="CF7" s="37"/>
      <c r="CG7" s="37"/>
    </row>
    <row r="8" spans="1:85" s="138" customFormat="1" ht="15" customHeight="1" thickBot="1">
      <c r="A8" s="140" t="s">
        <v>31</v>
      </c>
      <c r="B8" s="141"/>
      <c r="C8" s="142">
        <v>0</v>
      </c>
      <c r="D8" s="29"/>
      <c r="E8" s="29"/>
      <c r="F8" s="29"/>
      <c r="G8" s="29"/>
      <c r="H8" s="29"/>
      <c r="I8" s="29"/>
      <c r="J8" s="44"/>
      <c r="K8" s="44"/>
      <c r="L8" s="44"/>
      <c r="M8" s="44"/>
      <c r="N8" s="44"/>
      <c r="O8" s="44"/>
      <c r="P8" s="44"/>
      <c r="Q8" s="137"/>
      <c r="R8" s="49"/>
      <c r="S8" s="49"/>
      <c r="T8" s="49"/>
      <c r="U8" s="49"/>
      <c r="V8" s="49"/>
      <c r="W8" s="49"/>
      <c r="X8" s="39"/>
      <c r="Y8" s="49"/>
      <c r="Z8" s="49"/>
      <c r="AA8" s="31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50"/>
      <c r="BI8" s="34"/>
      <c r="BJ8" s="35"/>
      <c r="BK8" s="34"/>
      <c r="BL8" s="41"/>
      <c r="BM8" s="36"/>
      <c r="BN8" s="37"/>
      <c r="BO8" s="34"/>
      <c r="BP8" s="34"/>
      <c r="BQ8" s="34"/>
      <c r="BR8" s="205"/>
      <c r="BS8" s="34"/>
      <c r="BT8" s="37"/>
      <c r="BU8" s="35"/>
      <c r="BV8" s="37"/>
      <c r="BW8" s="37"/>
      <c r="BX8" s="34"/>
      <c r="BY8" s="37"/>
      <c r="BZ8" s="37"/>
      <c r="CA8" s="37"/>
      <c r="CB8" s="37"/>
      <c r="CC8" s="37"/>
      <c r="CD8" s="137"/>
      <c r="CE8" s="37"/>
      <c r="CF8" s="37"/>
      <c r="CG8" s="37"/>
    </row>
    <row r="9" spans="1:85" s="138" customFormat="1" ht="15" customHeight="1">
      <c r="A9" s="137"/>
      <c r="B9" s="45"/>
      <c r="C9" s="49"/>
      <c r="D9" s="29"/>
      <c r="E9" s="29"/>
      <c r="F9" s="29"/>
      <c r="G9" s="29"/>
      <c r="H9" s="29"/>
      <c r="I9" s="29"/>
      <c r="J9" s="44"/>
      <c r="K9" s="44"/>
      <c r="L9" s="44"/>
      <c r="M9" s="44"/>
      <c r="N9" s="44"/>
      <c r="O9" s="44"/>
      <c r="P9" s="44"/>
      <c r="Q9" s="137"/>
      <c r="R9" s="143"/>
      <c r="S9" s="143"/>
      <c r="T9" s="143"/>
      <c r="U9" s="143"/>
      <c r="V9" s="143"/>
      <c r="W9" s="143"/>
      <c r="X9" s="144"/>
      <c r="Y9" s="49"/>
      <c r="Z9" s="49"/>
      <c r="AA9" s="31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50"/>
      <c r="BI9" s="34"/>
      <c r="BJ9" s="35"/>
      <c r="BK9" s="34"/>
      <c r="BL9" s="41"/>
      <c r="BM9" s="36"/>
      <c r="BN9" s="37"/>
      <c r="BO9" s="34"/>
      <c r="BP9" s="34"/>
      <c r="BQ9" s="34"/>
      <c r="BR9" s="205"/>
      <c r="BS9" s="34"/>
      <c r="BT9" s="37"/>
      <c r="BU9" s="35"/>
      <c r="BV9" s="37"/>
      <c r="BW9" s="37"/>
      <c r="BX9" s="34"/>
      <c r="BY9" s="37"/>
      <c r="BZ9" s="37"/>
      <c r="CA9" s="37"/>
      <c r="CB9" s="37"/>
      <c r="CC9" s="37"/>
      <c r="CD9" s="137"/>
      <c r="CE9" s="37"/>
      <c r="CF9" s="37"/>
      <c r="CG9" s="37"/>
    </row>
    <row r="10" spans="1:85" s="138" customFormat="1" ht="15" customHeight="1">
      <c r="A10" s="137" t="s">
        <v>388</v>
      </c>
      <c r="B10" s="45"/>
      <c r="C10" s="49">
        <v>0</v>
      </c>
      <c r="D10" s="29"/>
      <c r="E10" s="29"/>
      <c r="F10" s="29"/>
      <c r="G10" s="29"/>
      <c r="H10" s="29"/>
      <c r="I10" s="29"/>
      <c r="J10" s="44"/>
      <c r="K10" s="44"/>
      <c r="L10" s="44"/>
      <c r="M10" s="44"/>
      <c r="N10" s="44"/>
      <c r="O10" s="44"/>
      <c r="P10" s="44"/>
      <c r="Q10" s="137"/>
      <c r="R10" s="143"/>
      <c r="S10" s="143"/>
      <c r="T10" s="143"/>
      <c r="U10" s="143"/>
      <c r="V10" s="143"/>
      <c r="W10" s="143"/>
      <c r="X10" s="144"/>
      <c r="Y10" s="49"/>
      <c r="Z10" s="49"/>
      <c r="AA10" s="31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50"/>
      <c r="BI10" s="34"/>
      <c r="BJ10" s="35"/>
      <c r="BK10" s="34"/>
      <c r="BL10" s="41"/>
      <c r="BM10" s="36"/>
      <c r="BN10" s="37"/>
      <c r="BO10" s="34"/>
      <c r="BP10" s="34"/>
      <c r="BQ10" s="34"/>
      <c r="BR10" s="205"/>
      <c r="BS10" s="34"/>
      <c r="BT10" s="37"/>
      <c r="BU10" s="35"/>
      <c r="BV10" s="37"/>
      <c r="BW10" s="37"/>
      <c r="BX10" s="34"/>
      <c r="BY10" s="37"/>
      <c r="BZ10" s="37"/>
      <c r="CA10" s="37"/>
      <c r="CB10" s="37"/>
      <c r="CC10" s="37"/>
      <c r="CD10" s="137"/>
      <c r="CE10" s="37"/>
      <c r="CF10" s="37"/>
      <c r="CG10" s="37"/>
    </row>
    <row r="11" spans="1:85" s="138" customFormat="1" ht="15" customHeight="1">
      <c r="A11" s="137" t="s">
        <v>32</v>
      </c>
      <c r="B11" s="45"/>
      <c r="C11" s="49">
        <v>0</v>
      </c>
      <c r="D11" s="29"/>
      <c r="E11" s="29"/>
      <c r="F11" s="29"/>
      <c r="G11" s="29"/>
      <c r="H11" s="29"/>
      <c r="I11" s="29"/>
      <c r="J11" s="44"/>
      <c r="K11" s="44"/>
      <c r="L11" s="44"/>
      <c r="M11" s="44"/>
      <c r="N11" s="44"/>
      <c r="O11" s="44"/>
      <c r="P11" s="44"/>
      <c r="Q11" s="137"/>
      <c r="R11" s="145"/>
      <c r="S11" s="145"/>
      <c r="T11" s="145"/>
      <c r="U11" s="145"/>
      <c r="V11" s="145"/>
      <c r="W11" s="145"/>
      <c r="X11" s="144"/>
      <c r="Y11" s="49"/>
      <c r="Z11" s="49"/>
      <c r="AA11" s="31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50"/>
      <c r="BI11" s="34"/>
      <c r="BJ11" s="35"/>
      <c r="BK11" s="34"/>
      <c r="BL11" s="41"/>
      <c r="BM11" s="36"/>
      <c r="BN11" s="37"/>
      <c r="BO11" s="34"/>
      <c r="BP11" s="34"/>
      <c r="BQ11" s="34"/>
      <c r="BR11" s="205"/>
      <c r="BS11" s="34"/>
      <c r="BT11" s="37"/>
      <c r="BU11" s="35"/>
      <c r="BV11" s="37"/>
      <c r="BW11" s="37"/>
      <c r="BX11" s="34"/>
      <c r="BY11" s="37"/>
      <c r="BZ11" s="37"/>
      <c r="CA11" s="37"/>
      <c r="CB11" s="37"/>
      <c r="CC11" s="37"/>
      <c r="CD11" s="137"/>
      <c r="CE11" s="37"/>
      <c r="CF11" s="37"/>
      <c r="CG11" s="37"/>
    </row>
    <row r="12" spans="1:85" s="138" customFormat="1" ht="15" customHeight="1">
      <c r="A12" s="137" t="s">
        <v>33</v>
      </c>
      <c r="B12" s="45"/>
      <c r="C12" s="49">
        <v>0</v>
      </c>
      <c r="D12" s="29"/>
      <c r="E12" s="29"/>
      <c r="F12" s="29"/>
      <c r="G12" s="29"/>
      <c r="H12" s="29"/>
      <c r="I12" s="29"/>
      <c r="J12" s="44"/>
      <c r="K12" s="44"/>
      <c r="L12" s="44"/>
      <c r="M12" s="44"/>
      <c r="N12" s="44"/>
      <c r="O12" s="44"/>
      <c r="P12" s="44"/>
      <c r="Q12" s="137"/>
      <c r="R12" s="145"/>
      <c r="S12" s="145"/>
      <c r="T12" s="145"/>
      <c r="U12" s="145"/>
      <c r="V12" s="145"/>
      <c r="W12" s="145"/>
      <c r="X12" s="144"/>
      <c r="Y12" s="49"/>
      <c r="Z12" s="49"/>
      <c r="AA12" s="31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50"/>
      <c r="BI12" s="34"/>
      <c r="BJ12" s="35"/>
      <c r="BK12" s="34"/>
      <c r="BL12" s="41"/>
      <c r="BM12" s="36"/>
      <c r="BN12" s="37"/>
      <c r="BO12" s="34"/>
      <c r="BP12" s="34"/>
      <c r="BQ12" s="34"/>
      <c r="BR12" s="205"/>
      <c r="BS12" s="34"/>
      <c r="BT12" s="37"/>
      <c r="BU12" s="35"/>
      <c r="BV12" s="37"/>
      <c r="BW12" s="37"/>
      <c r="BX12" s="34"/>
      <c r="BY12" s="37"/>
      <c r="BZ12" s="37"/>
      <c r="CA12" s="37"/>
      <c r="CB12" s="37"/>
      <c r="CC12" s="37"/>
      <c r="CD12" s="137"/>
      <c r="CE12" s="37"/>
      <c r="CF12" s="37"/>
      <c r="CG12" s="37"/>
    </row>
    <row r="13" spans="1:85" s="138" customFormat="1" ht="15" customHeight="1">
      <c r="A13" s="137" t="s">
        <v>34</v>
      </c>
      <c r="B13" s="45"/>
      <c r="C13" s="49">
        <v>0</v>
      </c>
      <c r="D13" s="29"/>
      <c r="E13" s="29"/>
      <c r="F13" s="29"/>
      <c r="G13" s="29"/>
      <c r="H13" s="29"/>
      <c r="I13" s="29"/>
      <c r="J13" s="44"/>
      <c r="K13" s="44"/>
      <c r="L13" s="44"/>
      <c r="M13" s="44"/>
      <c r="N13" s="44"/>
      <c r="O13" s="44"/>
      <c r="P13" s="44"/>
      <c r="Q13" s="137"/>
      <c r="R13" s="143"/>
      <c r="S13" s="143"/>
      <c r="T13" s="143"/>
      <c r="U13" s="143"/>
      <c r="V13" s="143"/>
      <c r="W13" s="143"/>
      <c r="X13" s="144"/>
      <c r="Y13" s="49"/>
      <c r="Z13" s="49"/>
      <c r="AA13" s="31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50"/>
      <c r="BI13" s="34"/>
      <c r="BJ13" s="35"/>
      <c r="BK13" s="34"/>
      <c r="BL13" s="41"/>
      <c r="BM13" s="36"/>
      <c r="BN13" s="37"/>
      <c r="BO13" s="34"/>
      <c r="BP13" s="34"/>
      <c r="BQ13" s="34"/>
      <c r="BR13" s="205"/>
      <c r="BS13" s="34"/>
      <c r="BT13" s="37"/>
      <c r="BU13" s="35"/>
      <c r="BV13" s="37"/>
      <c r="BW13" s="37"/>
      <c r="BX13" s="34"/>
      <c r="BY13" s="37"/>
      <c r="BZ13" s="37"/>
      <c r="CA13" s="37"/>
      <c r="CB13" s="37"/>
      <c r="CC13" s="37"/>
      <c r="CD13" s="137"/>
      <c r="CE13" s="37"/>
      <c r="CF13" s="37"/>
      <c r="CG13" s="37"/>
    </row>
    <row r="14" spans="1:85" s="138" customFormat="1" ht="15" customHeight="1">
      <c r="A14" s="137" t="s">
        <v>35</v>
      </c>
      <c r="B14" s="45"/>
      <c r="C14" s="49">
        <v>0</v>
      </c>
      <c r="D14" s="29"/>
      <c r="E14" s="29"/>
      <c r="F14" s="29"/>
      <c r="G14" s="29"/>
      <c r="H14" s="29"/>
      <c r="I14" s="29"/>
      <c r="J14" s="44"/>
      <c r="K14" s="44"/>
      <c r="L14" s="44"/>
      <c r="M14" s="44"/>
      <c r="N14" s="44"/>
      <c r="O14" s="44"/>
      <c r="P14" s="44"/>
      <c r="Q14" s="137"/>
      <c r="R14" s="49"/>
      <c r="S14" s="49"/>
      <c r="T14" s="49"/>
      <c r="U14" s="49"/>
      <c r="V14" s="49"/>
      <c r="W14" s="49"/>
      <c r="X14" s="39"/>
      <c r="Y14" s="49"/>
      <c r="Z14" s="49"/>
      <c r="AA14" s="31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50"/>
      <c r="BI14" s="34"/>
      <c r="BJ14" s="35"/>
      <c r="BK14" s="34"/>
      <c r="BL14" s="41"/>
      <c r="BM14" s="36"/>
      <c r="BN14" s="37"/>
      <c r="BO14" s="34"/>
      <c r="BP14" s="34"/>
      <c r="BQ14" s="34"/>
      <c r="BR14" s="205"/>
      <c r="BS14" s="34"/>
      <c r="BT14" s="37"/>
      <c r="BU14" s="35"/>
      <c r="BV14" s="37"/>
      <c r="BW14" s="37"/>
      <c r="BX14" s="34"/>
      <c r="BY14" s="37"/>
      <c r="BZ14" s="37"/>
      <c r="CA14" s="37"/>
      <c r="CB14" s="37"/>
      <c r="CC14" s="37"/>
      <c r="CD14" s="137"/>
      <c r="CE14" s="37"/>
      <c r="CF14" s="37"/>
      <c r="CG14" s="37"/>
    </row>
    <row r="15" spans="1:85" s="138" customFormat="1" ht="15" customHeight="1">
      <c r="A15" s="137" t="s">
        <v>36</v>
      </c>
      <c r="B15" s="49"/>
      <c r="C15" s="49">
        <v>0</v>
      </c>
      <c r="D15" s="29"/>
      <c r="E15" s="29"/>
      <c r="F15" s="29"/>
      <c r="G15" s="29"/>
      <c r="H15" s="29"/>
      <c r="I15" s="29"/>
      <c r="J15" s="44"/>
      <c r="K15" s="44"/>
      <c r="L15" s="44"/>
      <c r="M15" s="44"/>
      <c r="N15" s="44"/>
      <c r="O15" s="44"/>
      <c r="P15" s="44"/>
      <c r="Q15" s="137"/>
      <c r="R15" s="49"/>
      <c r="S15" s="49"/>
      <c r="T15" s="49"/>
      <c r="U15" s="49"/>
      <c r="V15" s="49"/>
      <c r="W15" s="49"/>
      <c r="X15" s="39"/>
      <c r="Y15" s="49"/>
      <c r="Z15" s="49"/>
      <c r="AA15" s="31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50"/>
      <c r="BI15" s="34"/>
      <c r="BJ15" s="35"/>
      <c r="BK15" s="34"/>
      <c r="BL15" s="41"/>
      <c r="BM15" s="36"/>
      <c r="BN15" s="37"/>
      <c r="BO15" s="34"/>
      <c r="BP15" s="34"/>
      <c r="BQ15" s="34"/>
      <c r="BR15" s="205"/>
      <c r="BS15" s="34"/>
      <c r="BT15" s="37"/>
      <c r="BU15" s="35"/>
      <c r="BV15" s="37"/>
      <c r="BW15" s="37"/>
      <c r="BX15" s="34"/>
      <c r="BY15" s="37"/>
      <c r="BZ15" s="37"/>
      <c r="CA15" s="37"/>
      <c r="CB15" s="37"/>
      <c r="CC15" s="37"/>
      <c r="CD15" s="137"/>
      <c r="CE15" s="37"/>
      <c r="CF15" s="37"/>
      <c r="CG15" s="37"/>
    </row>
    <row r="16" spans="1:85" s="138" customFormat="1" ht="15" customHeight="1">
      <c r="A16" s="137" t="s">
        <v>37</v>
      </c>
      <c r="B16" s="49"/>
      <c r="C16" s="49">
        <v>0</v>
      </c>
      <c r="D16" s="29"/>
      <c r="E16" s="29"/>
      <c r="F16" s="29"/>
      <c r="G16" s="29"/>
      <c r="H16" s="29"/>
      <c r="I16" s="29"/>
      <c r="J16" s="44"/>
      <c r="K16" s="44"/>
      <c r="L16" s="44"/>
      <c r="M16" s="44"/>
      <c r="N16" s="44"/>
      <c r="O16" s="44"/>
      <c r="P16" s="44"/>
      <c r="Q16" s="137"/>
      <c r="R16" s="49"/>
      <c r="S16" s="49"/>
      <c r="T16" s="49"/>
      <c r="U16" s="49"/>
      <c r="V16" s="49"/>
      <c r="W16" s="49"/>
      <c r="X16" s="39"/>
      <c r="Y16" s="49"/>
      <c r="Z16" s="49"/>
      <c r="AA16" s="31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50"/>
      <c r="BI16" s="34"/>
      <c r="BJ16" s="35"/>
      <c r="BK16" s="34"/>
      <c r="BL16" s="41"/>
      <c r="BM16" s="36"/>
      <c r="BN16" s="37"/>
      <c r="BO16" s="34"/>
      <c r="BP16" s="34"/>
      <c r="BQ16" s="34"/>
      <c r="BR16" s="205"/>
      <c r="BS16" s="34"/>
      <c r="BT16" s="37"/>
      <c r="BU16" s="35"/>
      <c r="BV16" s="37"/>
      <c r="BW16" s="37"/>
      <c r="BX16" s="34"/>
      <c r="BY16" s="37"/>
      <c r="BZ16" s="37"/>
      <c r="CA16" s="37"/>
      <c r="CB16" s="37"/>
      <c r="CC16" s="37"/>
      <c r="CD16" s="137"/>
      <c r="CE16" s="37"/>
      <c r="CF16" s="37"/>
      <c r="CG16" s="37"/>
    </row>
    <row r="17" spans="1:85" s="138" customFormat="1" ht="15" customHeight="1">
      <c r="A17" s="137" t="s">
        <v>38</v>
      </c>
      <c r="B17" s="49"/>
      <c r="C17" s="49">
        <v>0</v>
      </c>
      <c r="D17" s="29"/>
      <c r="E17" s="29"/>
      <c r="F17" s="29"/>
      <c r="G17" s="29"/>
      <c r="H17" s="29"/>
      <c r="I17" s="29"/>
      <c r="J17" s="44"/>
      <c r="K17" s="44"/>
      <c r="L17" s="44"/>
      <c r="M17" s="44"/>
      <c r="N17" s="44"/>
      <c r="O17" s="44"/>
      <c r="P17" s="44"/>
      <c r="Q17" s="137"/>
      <c r="R17" s="49"/>
      <c r="S17" s="49"/>
      <c r="T17" s="49"/>
      <c r="U17" s="49"/>
      <c r="V17" s="49"/>
      <c r="W17" s="49"/>
      <c r="X17" s="39"/>
      <c r="Y17" s="49"/>
      <c r="Z17" s="49"/>
      <c r="AA17" s="31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50"/>
      <c r="BI17" s="34"/>
      <c r="BJ17" s="35"/>
      <c r="BK17" s="34"/>
      <c r="BL17" s="41"/>
      <c r="BM17" s="36"/>
      <c r="BN17" s="37"/>
      <c r="BO17" s="34"/>
      <c r="BP17" s="34"/>
      <c r="BQ17" s="34"/>
      <c r="BR17" s="205"/>
      <c r="BS17" s="34"/>
      <c r="BT17" s="37"/>
      <c r="BU17" s="35"/>
      <c r="BV17" s="37"/>
      <c r="BW17" s="37"/>
      <c r="BX17" s="34"/>
      <c r="BY17" s="37"/>
      <c r="BZ17" s="37"/>
      <c r="CA17" s="37"/>
      <c r="CB17" s="37"/>
      <c r="CC17" s="37"/>
      <c r="CD17" s="137"/>
      <c r="CE17" s="37"/>
      <c r="CF17" s="37"/>
      <c r="CG17" s="37"/>
    </row>
    <row r="18" spans="1:85" s="138" customFormat="1" ht="15" customHeight="1">
      <c r="A18" s="137" t="s">
        <v>39</v>
      </c>
      <c r="B18" s="49"/>
      <c r="C18" s="49">
        <v>0</v>
      </c>
      <c r="D18" s="29"/>
      <c r="E18" s="29"/>
      <c r="F18" s="29"/>
      <c r="G18" s="29"/>
      <c r="H18" s="29"/>
      <c r="I18" s="29"/>
      <c r="J18" s="44"/>
      <c r="K18" s="44"/>
      <c r="L18" s="44"/>
      <c r="M18" s="44"/>
      <c r="N18" s="44"/>
      <c r="O18" s="44"/>
      <c r="P18" s="44"/>
      <c r="Q18" s="137"/>
      <c r="R18" s="49"/>
      <c r="S18" s="49"/>
      <c r="T18" s="49"/>
      <c r="U18" s="49"/>
      <c r="V18" s="49"/>
      <c r="W18" s="49"/>
      <c r="X18" s="39"/>
      <c r="Y18" s="49"/>
      <c r="Z18" s="49"/>
      <c r="AA18" s="31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50"/>
      <c r="BI18" s="34"/>
      <c r="BJ18" s="35"/>
      <c r="BK18" s="34"/>
      <c r="BL18" s="41"/>
      <c r="BM18" s="36"/>
      <c r="BN18" s="37"/>
      <c r="BO18" s="34"/>
      <c r="BP18" s="34"/>
      <c r="BQ18" s="34"/>
      <c r="BR18" s="205"/>
      <c r="BS18" s="34"/>
      <c r="BT18" s="37"/>
      <c r="BU18" s="35"/>
      <c r="BV18" s="37"/>
      <c r="BW18" s="37"/>
      <c r="BX18" s="34"/>
      <c r="BY18" s="37"/>
      <c r="BZ18" s="37"/>
      <c r="CA18" s="37"/>
      <c r="CB18" s="37"/>
      <c r="CC18" s="37"/>
      <c r="CD18" s="137"/>
      <c r="CE18" s="37"/>
      <c r="CF18" s="37"/>
      <c r="CG18" s="37"/>
    </row>
    <row r="19" spans="1:85" s="138" customFormat="1" ht="15" customHeight="1">
      <c r="A19" s="137" t="s">
        <v>40</v>
      </c>
      <c r="B19" s="49"/>
      <c r="C19" s="49">
        <v>0</v>
      </c>
      <c r="D19" s="29"/>
      <c r="E19" s="29"/>
      <c r="F19" s="29"/>
      <c r="G19" s="29"/>
      <c r="H19" s="29"/>
      <c r="I19" s="29"/>
      <c r="J19" s="44"/>
      <c r="K19" s="44"/>
      <c r="L19" s="44"/>
      <c r="M19" s="44"/>
      <c r="N19" s="44"/>
      <c r="O19" s="44"/>
      <c r="P19" s="44"/>
      <c r="Q19" s="137"/>
      <c r="R19" s="49"/>
      <c r="S19" s="49"/>
      <c r="T19" s="49"/>
      <c r="U19" s="49"/>
      <c r="V19" s="49"/>
      <c r="W19" s="49"/>
      <c r="X19" s="39"/>
      <c r="Y19" s="49"/>
      <c r="Z19" s="49"/>
      <c r="AA19" s="31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50"/>
      <c r="BI19" s="34"/>
      <c r="BJ19" s="35"/>
      <c r="BK19" s="34"/>
      <c r="BL19" s="41"/>
      <c r="BM19" s="36"/>
      <c r="BN19" s="37"/>
      <c r="BO19" s="34"/>
      <c r="BP19" s="34"/>
      <c r="BQ19" s="34"/>
      <c r="BR19" s="205"/>
      <c r="BS19" s="34"/>
      <c r="BT19" s="37"/>
      <c r="BU19" s="35"/>
      <c r="BV19" s="37"/>
      <c r="BW19" s="37"/>
      <c r="BX19" s="34"/>
      <c r="BY19" s="37"/>
      <c r="BZ19" s="37"/>
      <c r="CA19" s="37"/>
      <c r="CB19" s="37"/>
      <c r="CC19" s="37"/>
      <c r="CD19" s="137"/>
      <c r="CE19" s="37"/>
      <c r="CF19" s="37"/>
      <c r="CG19" s="37"/>
    </row>
    <row r="20" spans="1:85" s="138" customFormat="1" ht="15" customHeight="1">
      <c r="A20" s="137" t="s">
        <v>41</v>
      </c>
      <c r="B20" s="49"/>
      <c r="C20" s="49">
        <v>0</v>
      </c>
      <c r="D20" s="29"/>
      <c r="E20" s="29"/>
      <c r="F20" s="29"/>
      <c r="G20" s="29"/>
      <c r="H20" s="29"/>
      <c r="I20" s="29"/>
      <c r="J20" s="44"/>
      <c r="K20" s="44"/>
      <c r="L20" s="44"/>
      <c r="M20" s="44"/>
      <c r="N20" s="44"/>
      <c r="O20" s="44"/>
      <c r="P20" s="44"/>
      <c r="Q20" s="137"/>
      <c r="R20" s="49"/>
      <c r="S20" s="49"/>
      <c r="T20" s="49"/>
      <c r="U20" s="49"/>
      <c r="V20" s="49"/>
      <c r="W20" s="49"/>
      <c r="X20" s="39"/>
      <c r="Y20" s="49"/>
      <c r="Z20" s="49"/>
      <c r="AA20" s="31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50"/>
      <c r="BI20" s="34"/>
      <c r="BJ20" s="35"/>
      <c r="BK20" s="34"/>
      <c r="BL20" s="41"/>
      <c r="BM20" s="36"/>
      <c r="BN20" s="37"/>
      <c r="BO20" s="34"/>
      <c r="BP20" s="34"/>
      <c r="BQ20" s="34"/>
      <c r="BR20" s="205"/>
      <c r="BS20" s="34"/>
      <c r="BT20" s="37"/>
      <c r="BU20" s="35"/>
      <c r="BV20" s="37"/>
      <c r="BW20" s="37"/>
      <c r="BX20" s="34"/>
      <c r="BY20" s="37"/>
      <c r="BZ20" s="37"/>
      <c r="CA20" s="37"/>
      <c r="CB20" s="37"/>
      <c r="CC20" s="37"/>
      <c r="CD20" s="137"/>
      <c r="CE20" s="37"/>
      <c r="CF20" s="37"/>
      <c r="CG20" s="37"/>
    </row>
    <row r="21" spans="1:85" s="138" customFormat="1" ht="15" customHeight="1">
      <c r="A21" s="137" t="s">
        <v>42</v>
      </c>
      <c r="B21" s="49"/>
      <c r="C21" s="49">
        <v>0</v>
      </c>
      <c r="D21" s="29"/>
      <c r="E21" s="29"/>
      <c r="F21" s="29"/>
      <c r="G21" s="29"/>
      <c r="H21" s="29"/>
      <c r="I21" s="29"/>
      <c r="J21" s="44"/>
      <c r="K21" s="44"/>
      <c r="L21" s="44"/>
      <c r="M21" s="44"/>
      <c r="N21" s="44"/>
      <c r="O21" s="44"/>
      <c r="P21" s="44"/>
      <c r="Q21" s="137"/>
      <c r="R21" s="49"/>
      <c r="S21" s="49"/>
      <c r="T21" s="49"/>
      <c r="U21" s="49"/>
      <c r="V21" s="49"/>
      <c r="W21" s="49"/>
      <c r="X21" s="39"/>
      <c r="Y21" s="49"/>
      <c r="Z21" s="49"/>
      <c r="AA21" s="31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50"/>
      <c r="BI21" s="34"/>
      <c r="BJ21" s="35"/>
      <c r="BK21" s="34"/>
      <c r="BL21" s="41"/>
      <c r="BM21" s="36"/>
      <c r="BN21" s="37"/>
      <c r="BO21" s="34"/>
      <c r="BP21" s="34"/>
      <c r="BQ21" s="34"/>
      <c r="BR21" s="205"/>
      <c r="BS21" s="34"/>
      <c r="BT21" s="37"/>
      <c r="BU21" s="35"/>
      <c r="BV21" s="37"/>
      <c r="BW21" s="37"/>
      <c r="BX21" s="34"/>
      <c r="BY21" s="37"/>
      <c r="BZ21" s="37"/>
      <c r="CA21" s="37"/>
      <c r="CB21" s="37"/>
      <c r="CC21" s="37"/>
      <c r="CD21" s="137"/>
      <c r="CE21" s="37"/>
      <c r="CF21" s="37"/>
      <c r="CG21" s="37"/>
    </row>
    <row r="22" spans="1:85" s="138" customFormat="1" ht="15" customHeight="1">
      <c r="A22" s="137" t="s">
        <v>389</v>
      </c>
      <c r="B22" s="49"/>
      <c r="C22" s="49">
        <v>0</v>
      </c>
      <c r="D22" s="29"/>
      <c r="E22" s="29"/>
      <c r="F22" s="29"/>
      <c r="G22" s="29"/>
      <c r="H22" s="29"/>
      <c r="I22" s="29"/>
      <c r="J22" s="44"/>
      <c r="K22" s="44"/>
      <c r="L22" s="44"/>
      <c r="M22" s="44"/>
      <c r="N22" s="44"/>
      <c r="O22" s="44"/>
      <c r="P22" s="44"/>
      <c r="Q22" s="137"/>
      <c r="R22" s="49"/>
      <c r="S22" s="49"/>
      <c r="T22" s="49"/>
      <c r="U22" s="49"/>
      <c r="V22" s="49"/>
      <c r="W22" s="49"/>
      <c r="X22" s="39"/>
      <c r="Y22" s="49"/>
      <c r="Z22" s="49"/>
      <c r="AA22" s="31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50"/>
      <c r="BI22" s="34"/>
      <c r="BJ22" s="35"/>
      <c r="BK22" s="34"/>
      <c r="BL22" s="41"/>
      <c r="BM22" s="36"/>
      <c r="BN22" s="37"/>
      <c r="BO22" s="34"/>
      <c r="BP22" s="34"/>
      <c r="BQ22" s="34"/>
      <c r="BR22" s="205"/>
      <c r="BS22" s="34"/>
      <c r="BT22" s="37"/>
      <c r="BU22" s="35"/>
      <c r="BV22" s="37"/>
      <c r="BW22" s="37"/>
      <c r="BX22" s="34"/>
      <c r="BY22" s="37"/>
      <c r="BZ22" s="37"/>
      <c r="CA22" s="37"/>
      <c r="CB22" s="37"/>
      <c r="CC22" s="37"/>
      <c r="CD22" s="137"/>
      <c r="CE22" s="37"/>
      <c r="CF22" s="37"/>
      <c r="CG22" s="37"/>
    </row>
    <row r="23" spans="1:85" s="138" customFormat="1" ht="15" customHeight="1">
      <c r="A23" s="137" t="s">
        <v>390</v>
      </c>
      <c r="B23" s="49"/>
      <c r="C23" s="49">
        <v>0</v>
      </c>
      <c r="D23" s="29"/>
      <c r="E23" s="29"/>
      <c r="F23" s="29"/>
      <c r="G23" s="29"/>
      <c r="H23" s="29"/>
      <c r="I23" s="29"/>
      <c r="J23" s="44"/>
      <c r="K23" s="44"/>
      <c r="L23" s="44"/>
      <c r="M23" s="44"/>
      <c r="N23" s="44"/>
      <c r="O23" s="44"/>
      <c r="P23" s="44"/>
      <c r="Q23" s="137"/>
      <c r="R23" s="49"/>
      <c r="S23" s="49"/>
      <c r="T23" s="49"/>
      <c r="U23" s="49"/>
      <c r="V23" s="49"/>
      <c r="W23" s="49"/>
      <c r="X23" s="39"/>
      <c r="Y23" s="49"/>
      <c r="Z23" s="49"/>
      <c r="AA23" s="31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50"/>
      <c r="BI23" s="34"/>
      <c r="BJ23" s="35"/>
      <c r="BK23" s="34"/>
      <c r="BL23" s="41"/>
      <c r="BM23" s="36"/>
      <c r="BN23" s="37"/>
      <c r="BO23" s="34"/>
      <c r="BP23" s="34"/>
      <c r="BQ23" s="34"/>
      <c r="BR23" s="205"/>
      <c r="BS23" s="34"/>
      <c r="BT23" s="37"/>
      <c r="BU23" s="35"/>
      <c r="BV23" s="37"/>
      <c r="BW23" s="37"/>
      <c r="BX23" s="34"/>
      <c r="BY23" s="37"/>
      <c r="BZ23" s="37"/>
      <c r="CA23" s="37"/>
      <c r="CB23" s="37"/>
      <c r="CC23" s="37"/>
      <c r="CD23" s="137"/>
      <c r="CE23" s="37"/>
      <c r="CF23" s="37"/>
      <c r="CG23" s="37"/>
    </row>
    <row r="24" spans="1:85" s="138" customFormat="1" ht="15" customHeight="1">
      <c r="A24" s="43"/>
      <c r="B24" s="45"/>
      <c r="C24" s="139"/>
      <c r="D24" s="29"/>
      <c r="E24" s="29"/>
      <c r="F24" s="29"/>
      <c r="G24" s="29"/>
      <c r="H24" s="29"/>
      <c r="I24" s="29"/>
      <c r="J24" s="44"/>
      <c r="K24" s="44"/>
      <c r="L24" s="44"/>
      <c r="M24" s="44"/>
      <c r="N24" s="44"/>
      <c r="O24" s="44"/>
      <c r="P24" s="44"/>
      <c r="Q24" s="137"/>
      <c r="R24" s="49"/>
      <c r="S24" s="49"/>
      <c r="T24" s="49"/>
      <c r="U24" s="49"/>
      <c r="V24" s="49"/>
      <c r="W24" s="49"/>
      <c r="X24" s="39"/>
      <c r="Y24" s="49"/>
      <c r="Z24" s="49"/>
      <c r="AA24" s="31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50"/>
      <c r="BI24" s="34"/>
      <c r="BJ24" s="35"/>
      <c r="BK24" s="34"/>
      <c r="BL24" s="41"/>
      <c r="BM24" s="36"/>
      <c r="BN24" s="37"/>
      <c r="BO24" s="34"/>
      <c r="BP24" s="34"/>
      <c r="BQ24" s="34"/>
      <c r="BR24" s="205"/>
      <c r="BS24" s="34"/>
      <c r="BT24" s="37"/>
      <c r="BU24" s="35"/>
      <c r="BV24" s="37"/>
      <c r="BW24" s="37"/>
      <c r="BX24" s="34"/>
      <c r="BY24" s="37"/>
      <c r="BZ24" s="37"/>
      <c r="CA24" s="37"/>
      <c r="CB24" s="37"/>
      <c r="CC24" s="37"/>
      <c r="CD24" s="137"/>
      <c r="CE24" s="37"/>
      <c r="CF24" s="37"/>
      <c r="CG24" s="37"/>
    </row>
    <row r="25" spans="1:85" s="138" customFormat="1" ht="15" customHeight="1" thickBot="1">
      <c r="A25" s="29"/>
      <c r="B25" s="29"/>
      <c r="C25" s="31"/>
      <c r="D25" s="29"/>
      <c r="E25" s="29"/>
      <c r="F25" s="29"/>
      <c r="G25" s="29"/>
      <c r="H25" s="29"/>
      <c r="I25" s="29"/>
      <c r="J25" s="44"/>
      <c r="K25" s="44"/>
      <c r="L25" s="44"/>
      <c r="M25" s="44"/>
      <c r="N25" s="44"/>
      <c r="O25" s="44"/>
      <c r="P25" s="44"/>
      <c r="Q25" s="49"/>
      <c r="R25" s="49"/>
      <c r="S25" s="49"/>
      <c r="T25" s="49"/>
      <c r="U25" s="49"/>
      <c r="V25" s="49"/>
      <c r="W25" s="49"/>
      <c r="X25" s="39"/>
      <c r="Y25" s="49"/>
      <c r="Z25" s="49"/>
      <c r="AA25" s="31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3"/>
      <c r="BI25" s="34"/>
      <c r="BJ25" s="35"/>
      <c r="BK25" s="34"/>
      <c r="BL25" s="41"/>
      <c r="BM25" s="36"/>
      <c r="BN25" s="37"/>
      <c r="BO25" s="34"/>
      <c r="BP25" s="34"/>
      <c r="BQ25" s="34"/>
      <c r="BR25" s="205"/>
      <c r="BS25" s="34"/>
      <c r="BT25" s="37"/>
      <c r="BU25" s="35"/>
      <c r="BV25" s="37"/>
      <c r="BW25" s="37"/>
      <c r="BX25" s="34"/>
      <c r="BY25" s="37"/>
      <c r="BZ25" s="37"/>
      <c r="CA25" s="37"/>
      <c r="CB25" s="37"/>
      <c r="CC25" s="37"/>
      <c r="CD25" s="137"/>
      <c r="CE25" s="37"/>
      <c r="CF25" s="37"/>
      <c r="CG25" s="37"/>
    </row>
    <row r="26" spans="1:85" s="138" customFormat="1" ht="30" customHeight="1" thickBot="1">
      <c r="A26" s="146" t="s">
        <v>43</v>
      </c>
      <c r="B26" s="147" t="s">
        <v>44</v>
      </c>
      <c r="C26" s="148" t="s">
        <v>45</v>
      </c>
      <c r="D26" s="149" t="s">
        <v>46</v>
      </c>
      <c r="E26" s="149" t="s">
        <v>47</v>
      </c>
      <c r="F26" s="149" t="s">
        <v>48</v>
      </c>
      <c r="G26" s="149" t="s">
        <v>49</v>
      </c>
      <c r="H26" s="150" t="s">
        <v>50</v>
      </c>
      <c r="I26" s="150" t="s">
        <v>51</v>
      </c>
      <c r="J26" s="151" t="s">
        <v>52</v>
      </c>
      <c r="K26" s="151" t="s">
        <v>53</v>
      </c>
      <c r="L26" s="151" t="s">
        <v>54</v>
      </c>
      <c r="M26" s="151" t="s">
        <v>55</v>
      </c>
      <c r="N26" s="151" t="s">
        <v>56</v>
      </c>
      <c r="O26" s="151" t="s">
        <v>57</v>
      </c>
      <c r="P26" s="150" t="s">
        <v>58</v>
      </c>
      <c r="Q26" s="149" t="s">
        <v>59</v>
      </c>
      <c r="R26" s="152" t="s">
        <v>60</v>
      </c>
      <c r="S26" s="152" t="s">
        <v>61</v>
      </c>
      <c r="T26" s="152" t="s">
        <v>62</v>
      </c>
      <c r="U26" s="152" t="s">
        <v>63</v>
      </c>
      <c r="V26" s="152" t="s">
        <v>64</v>
      </c>
      <c r="W26" s="152" t="s">
        <v>65</v>
      </c>
      <c r="X26" s="153" t="s">
        <v>66</v>
      </c>
      <c r="Y26" s="154" t="s">
        <v>67</v>
      </c>
      <c r="Z26" s="150" t="s">
        <v>68</v>
      </c>
      <c r="AA26" s="150" t="s">
        <v>69</v>
      </c>
      <c r="AB26" s="154" t="s">
        <v>70</v>
      </c>
      <c r="AC26" s="154"/>
      <c r="AD26" s="154" t="s">
        <v>52</v>
      </c>
      <c r="AE26" s="154" t="s">
        <v>71</v>
      </c>
      <c r="AF26" s="154" t="s">
        <v>72</v>
      </c>
      <c r="AG26" s="154" t="s">
        <v>73</v>
      </c>
      <c r="AH26" s="154" t="s">
        <v>74</v>
      </c>
      <c r="AI26" s="155" t="s">
        <v>75</v>
      </c>
      <c r="AJ26" s="155" t="s">
        <v>76</v>
      </c>
      <c r="AK26" s="156" t="s">
        <v>77</v>
      </c>
      <c r="AL26" s="392" t="s">
        <v>391</v>
      </c>
      <c r="AM26" s="159" t="s">
        <v>79</v>
      </c>
      <c r="AN26" s="159" t="s">
        <v>79</v>
      </c>
      <c r="AO26" s="159" t="s">
        <v>80</v>
      </c>
      <c r="AP26" s="159" t="s">
        <v>80</v>
      </c>
      <c r="AQ26" s="159" t="s">
        <v>81</v>
      </c>
      <c r="AR26" s="159" t="s">
        <v>81</v>
      </c>
      <c r="AS26" s="159" t="s">
        <v>82</v>
      </c>
      <c r="AT26" s="159" t="s">
        <v>82</v>
      </c>
      <c r="AU26" s="159" t="s">
        <v>83</v>
      </c>
      <c r="AV26" s="159" t="s">
        <v>83</v>
      </c>
      <c r="AW26" s="159" t="s">
        <v>84</v>
      </c>
      <c r="AX26" s="159" t="s">
        <v>84</v>
      </c>
      <c r="AY26" s="159" t="s">
        <v>85</v>
      </c>
      <c r="AZ26" s="159" t="s">
        <v>85</v>
      </c>
      <c r="BA26" s="159" t="s">
        <v>146</v>
      </c>
      <c r="BB26" s="159" t="s">
        <v>146</v>
      </c>
      <c r="BC26" s="159" t="s">
        <v>147</v>
      </c>
      <c r="BD26" s="159" t="s">
        <v>147</v>
      </c>
      <c r="BE26" s="159" t="s">
        <v>148</v>
      </c>
      <c r="BF26" s="159" t="s">
        <v>148</v>
      </c>
      <c r="BG26" s="156" t="s">
        <v>88</v>
      </c>
      <c r="BH26" s="157" t="s">
        <v>89</v>
      </c>
      <c r="BI26" s="158" t="s">
        <v>90</v>
      </c>
      <c r="BJ26" s="159" t="s">
        <v>91</v>
      </c>
      <c r="BK26" s="160" t="s">
        <v>92</v>
      </c>
      <c r="BL26" s="161" t="s">
        <v>93</v>
      </c>
      <c r="BM26" s="162" t="s">
        <v>94</v>
      </c>
      <c r="BN26" s="163" t="s">
        <v>95</v>
      </c>
      <c r="BO26" s="162" t="s">
        <v>96</v>
      </c>
      <c r="BP26" s="162" t="s">
        <v>97</v>
      </c>
      <c r="BQ26" s="162" t="s">
        <v>98</v>
      </c>
      <c r="BR26" s="206" t="s">
        <v>99</v>
      </c>
      <c r="BS26" s="162" t="s">
        <v>100</v>
      </c>
      <c r="BT26" s="162" t="s">
        <v>8</v>
      </c>
      <c r="BU26" s="154" t="s">
        <v>101</v>
      </c>
      <c r="BV26" s="151" t="s">
        <v>102</v>
      </c>
      <c r="BW26" s="150" t="s">
        <v>103</v>
      </c>
      <c r="BX26" s="162" t="s">
        <v>104</v>
      </c>
      <c r="BY26" s="162" t="s">
        <v>105</v>
      </c>
      <c r="BZ26" s="150" t="s">
        <v>106</v>
      </c>
      <c r="CA26" s="150"/>
      <c r="CB26" s="150"/>
      <c r="CC26" s="154" t="s">
        <v>107</v>
      </c>
      <c r="CD26" s="150" t="s">
        <v>108</v>
      </c>
      <c r="CE26" s="154" t="s">
        <v>109</v>
      </c>
      <c r="CF26" s="164" t="s">
        <v>151</v>
      </c>
      <c r="CG26" s="165"/>
    </row>
    <row r="27" spans="1:85" s="138" customFormat="1" ht="15" customHeight="1">
      <c r="A27" s="48"/>
      <c r="B27" s="29"/>
      <c r="C27" s="168"/>
      <c r="D27" s="48"/>
      <c r="E27" s="29"/>
      <c r="F27" s="48"/>
      <c r="G27" s="48"/>
      <c r="H27" s="48"/>
      <c r="I27" s="48"/>
      <c r="J27" s="170"/>
      <c r="K27" s="170"/>
      <c r="L27" s="170"/>
      <c r="M27" s="170"/>
      <c r="N27" s="170"/>
      <c r="O27" s="170"/>
      <c r="P27" s="48"/>
      <c r="Q27" s="48"/>
      <c r="R27" s="170"/>
      <c r="S27" s="170"/>
      <c r="T27" s="170"/>
      <c r="U27" s="170"/>
      <c r="V27" s="170"/>
      <c r="W27" s="170"/>
      <c r="X27" s="173"/>
      <c r="Y27" s="167"/>
      <c r="Z27" s="48"/>
      <c r="AA27" s="48">
        <v>1</v>
      </c>
      <c r="AB27" s="174">
        <v>0</v>
      </c>
      <c r="AC27" s="174"/>
      <c r="AD27" s="174">
        <v>0</v>
      </c>
      <c r="AE27" s="174">
        <v>0</v>
      </c>
      <c r="AF27" s="174">
        <v>0</v>
      </c>
      <c r="AG27" s="174">
        <v>0</v>
      </c>
      <c r="AH27" s="174">
        <v>0</v>
      </c>
      <c r="AI27" s="174">
        <v>0</v>
      </c>
      <c r="AJ27" s="174">
        <v>0</v>
      </c>
      <c r="AK27" s="174">
        <v>0</v>
      </c>
      <c r="AL27" s="174">
        <v>0</v>
      </c>
      <c r="AM27" s="174">
        <v>0</v>
      </c>
      <c r="AN27" s="174">
        <v>0</v>
      </c>
      <c r="AO27" s="174">
        <v>0</v>
      </c>
      <c r="AP27" s="174">
        <v>0</v>
      </c>
      <c r="AQ27" s="174">
        <v>0</v>
      </c>
      <c r="AR27" s="174">
        <v>0</v>
      </c>
      <c r="AS27" s="174">
        <v>0</v>
      </c>
      <c r="AT27" s="174">
        <v>0</v>
      </c>
      <c r="AU27" s="174">
        <v>0</v>
      </c>
      <c r="AV27" s="174">
        <v>0</v>
      </c>
      <c r="AW27" s="174">
        <v>0</v>
      </c>
      <c r="AX27" s="174">
        <v>0</v>
      </c>
      <c r="AY27" s="174">
        <v>0</v>
      </c>
      <c r="AZ27" s="174">
        <v>0</v>
      </c>
      <c r="BA27" s="174">
        <v>0</v>
      </c>
      <c r="BB27" s="174">
        <v>0</v>
      </c>
      <c r="BC27" s="174">
        <v>0</v>
      </c>
      <c r="BD27" s="174">
        <v>0</v>
      </c>
      <c r="BE27" s="174">
        <v>0</v>
      </c>
      <c r="BF27" s="174">
        <v>0</v>
      </c>
      <c r="BG27" s="174"/>
      <c r="BH27" s="175"/>
      <c r="BI27" s="166"/>
      <c r="BJ27" s="167"/>
      <c r="BK27" s="168"/>
      <c r="BL27" s="56"/>
      <c r="BM27" s="168"/>
      <c r="BN27" s="169" t="s">
        <v>386</v>
      </c>
      <c r="BO27" s="168"/>
      <c r="BP27" s="168"/>
      <c r="BQ27" s="168"/>
      <c r="BR27" s="207"/>
      <c r="BS27" s="168"/>
      <c r="BT27" s="168"/>
      <c r="BU27" s="167"/>
      <c r="BV27" s="170"/>
      <c r="BW27" s="48"/>
      <c r="BX27" s="168"/>
      <c r="BY27" s="168"/>
      <c r="BZ27" s="48"/>
      <c r="CA27" s="48"/>
      <c r="CB27" s="48"/>
      <c r="CC27" s="167"/>
      <c r="CD27" s="137"/>
      <c r="CE27" s="171"/>
      <c r="CF27" s="172"/>
      <c r="CG27" s="165"/>
    </row>
    <row r="28" spans="1:85" s="138" customFormat="1" ht="15" customHeight="1">
      <c r="A28" s="48"/>
      <c r="B28" s="29"/>
      <c r="C28" s="168"/>
      <c r="D28" s="48"/>
      <c r="E28" s="29"/>
      <c r="F28" s="48"/>
      <c r="G28" s="48"/>
      <c r="H28" s="48"/>
      <c r="I28" s="48"/>
      <c r="J28" s="170"/>
      <c r="K28" s="170"/>
      <c r="L28" s="170"/>
      <c r="M28" s="170"/>
      <c r="N28" s="170"/>
      <c r="O28" s="170"/>
      <c r="P28" s="48"/>
      <c r="Q28" s="48"/>
      <c r="R28" s="170"/>
      <c r="S28" s="170"/>
      <c r="T28" s="170"/>
      <c r="U28" s="170"/>
      <c r="V28" s="170"/>
      <c r="W28" s="170"/>
      <c r="X28" s="173"/>
      <c r="Y28" s="167"/>
      <c r="Z28" s="48"/>
      <c r="AA28" s="48">
        <v>1</v>
      </c>
      <c r="AB28" s="174">
        <v>0</v>
      </c>
      <c r="AC28" s="174"/>
      <c r="AD28" s="174">
        <v>0</v>
      </c>
      <c r="AE28" s="174">
        <v>0</v>
      </c>
      <c r="AF28" s="174">
        <v>0</v>
      </c>
      <c r="AG28" s="174">
        <v>0</v>
      </c>
      <c r="AH28" s="174">
        <v>0</v>
      </c>
      <c r="AI28" s="174">
        <v>0</v>
      </c>
      <c r="AJ28" s="174">
        <v>0</v>
      </c>
      <c r="AK28" s="174">
        <v>0</v>
      </c>
      <c r="AL28" s="174">
        <v>0</v>
      </c>
      <c r="AM28" s="174">
        <v>0</v>
      </c>
      <c r="AN28" s="174">
        <v>0</v>
      </c>
      <c r="AO28" s="174">
        <v>0</v>
      </c>
      <c r="AP28" s="174">
        <v>0</v>
      </c>
      <c r="AQ28" s="174">
        <v>0</v>
      </c>
      <c r="AR28" s="174">
        <v>0</v>
      </c>
      <c r="AS28" s="174">
        <v>0</v>
      </c>
      <c r="AT28" s="174">
        <v>0</v>
      </c>
      <c r="AU28" s="174">
        <v>0</v>
      </c>
      <c r="AV28" s="174">
        <v>0</v>
      </c>
      <c r="AW28" s="174">
        <v>0</v>
      </c>
      <c r="AX28" s="174">
        <v>0</v>
      </c>
      <c r="AY28" s="174">
        <v>0</v>
      </c>
      <c r="AZ28" s="174">
        <v>0</v>
      </c>
      <c r="BA28" s="174">
        <v>0</v>
      </c>
      <c r="BB28" s="174">
        <v>0</v>
      </c>
      <c r="BC28" s="174">
        <v>0</v>
      </c>
      <c r="BD28" s="174">
        <v>0</v>
      </c>
      <c r="BE28" s="174">
        <v>0</v>
      </c>
      <c r="BF28" s="174">
        <v>0</v>
      </c>
      <c r="BG28" s="174"/>
      <c r="BH28" s="175"/>
      <c r="BI28" s="166"/>
      <c r="BJ28" s="167"/>
      <c r="BK28" s="168"/>
      <c r="BL28" s="56"/>
      <c r="BM28" s="168"/>
      <c r="BN28" s="169" t="s">
        <v>386</v>
      </c>
      <c r="BO28" s="168"/>
      <c r="BP28" s="168"/>
      <c r="BQ28" s="168"/>
      <c r="BR28" s="207"/>
      <c r="BS28" s="168"/>
      <c r="BT28" s="168"/>
      <c r="BU28" s="167"/>
      <c r="BV28" s="170"/>
      <c r="BW28" s="48"/>
      <c r="BX28" s="168"/>
      <c r="BY28" s="168"/>
      <c r="BZ28" s="48"/>
      <c r="CA28" s="48"/>
      <c r="CB28" s="48"/>
      <c r="CC28" s="167"/>
      <c r="CD28" s="137"/>
      <c r="CE28" s="171"/>
      <c r="CF28" s="172"/>
      <c r="CG28" s="165"/>
    </row>
    <row r="29" spans="1:85" s="138" customFormat="1" ht="15" customHeight="1">
      <c r="A29" s="48"/>
      <c r="B29" s="29"/>
      <c r="C29" s="168"/>
      <c r="D29" s="48"/>
      <c r="E29" s="29"/>
      <c r="F29" s="48"/>
      <c r="G29" s="48"/>
      <c r="H29" s="48"/>
      <c r="I29" s="48"/>
      <c r="J29" s="170"/>
      <c r="K29" s="170"/>
      <c r="L29" s="170"/>
      <c r="M29" s="170"/>
      <c r="N29" s="170"/>
      <c r="O29" s="170"/>
      <c r="P29" s="48"/>
      <c r="Q29" s="48"/>
      <c r="R29" s="170"/>
      <c r="S29" s="170"/>
      <c r="T29" s="170"/>
      <c r="U29" s="170"/>
      <c r="V29" s="170"/>
      <c r="W29" s="170"/>
      <c r="X29" s="173"/>
      <c r="Y29" s="167"/>
      <c r="Z29" s="48"/>
      <c r="AA29" s="48">
        <v>1</v>
      </c>
      <c r="AB29" s="174">
        <v>0</v>
      </c>
      <c r="AC29" s="174"/>
      <c r="AD29" s="174">
        <v>0</v>
      </c>
      <c r="AE29" s="174">
        <v>0</v>
      </c>
      <c r="AF29" s="174">
        <v>0</v>
      </c>
      <c r="AG29" s="174">
        <v>0</v>
      </c>
      <c r="AH29" s="174">
        <v>0</v>
      </c>
      <c r="AI29" s="174">
        <v>0</v>
      </c>
      <c r="AJ29" s="174">
        <v>0</v>
      </c>
      <c r="AK29" s="174">
        <v>0</v>
      </c>
      <c r="AL29" s="174">
        <v>0</v>
      </c>
      <c r="AM29" s="174">
        <v>0</v>
      </c>
      <c r="AN29" s="174">
        <v>0</v>
      </c>
      <c r="AO29" s="174">
        <v>0</v>
      </c>
      <c r="AP29" s="174">
        <v>0</v>
      </c>
      <c r="AQ29" s="174">
        <v>0</v>
      </c>
      <c r="AR29" s="174">
        <v>0</v>
      </c>
      <c r="AS29" s="174">
        <v>0</v>
      </c>
      <c r="AT29" s="174">
        <v>0</v>
      </c>
      <c r="AU29" s="174">
        <v>0</v>
      </c>
      <c r="AV29" s="174">
        <v>0</v>
      </c>
      <c r="AW29" s="174">
        <v>0</v>
      </c>
      <c r="AX29" s="174">
        <v>0</v>
      </c>
      <c r="AY29" s="174">
        <v>0</v>
      </c>
      <c r="AZ29" s="174">
        <v>0</v>
      </c>
      <c r="BA29" s="174">
        <v>0</v>
      </c>
      <c r="BB29" s="174">
        <v>0</v>
      </c>
      <c r="BC29" s="174">
        <v>0</v>
      </c>
      <c r="BD29" s="174">
        <v>0</v>
      </c>
      <c r="BE29" s="174">
        <v>0</v>
      </c>
      <c r="BF29" s="174">
        <v>0</v>
      </c>
      <c r="BG29" s="174"/>
      <c r="BH29" s="175"/>
      <c r="BI29" s="166"/>
      <c r="BJ29" s="167"/>
      <c r="BK29" s="168"/>
      <c r="BL29" s="56"/>
      <c r="BM29" s="168"/>
      <c r="BN29" s="169" t="s">
        <v>386</v>
      </c>
      <c r="BO29" s="168"/>
      <c r="BP29" s="168"/>
      <c r="BQ29" s="168"/>
      <c r="BR29" s="207"/>
      <c r="BS29" s="168"/>
      <c r="BT29" s="168"/>
      <c r="BU29" s="167"/>
      <c r="BV29" s="170"/>
      <c r="BW29" s="48"/>
      <c r="BX29" s="168"/>
      <c r="BY29" s="168"/>
      <c r="BZ29" s="48"/>
      <c r="CA29" s="48"/>
      <c r="CB29" s="48"/>
      <c r="CC29" s="167"/>
      <c r="CD29" s="137"/>
      <c r="CE29" s="171"/>
      <c r="CF29" s="172"/>
      <c r="CG29" s="165"/>
    </row>
    <row r="30" spans="1:85" s="138" customFormat="1" ht="15" customHeight="1">
      <c r="A30" s="48"/>
      <c r="B30" s="29"/>
      <c r="C30" s="168"/>
      <c r="D30" s="48"/>
      <c r="E30" s="29"/>
      <c r="F30" s="48"/>
      <c r="G30" s="48"/>
      <c r="H30" s="48"/>
      <c r="I30" s="48"/>
      <c r="J30" s="170"/>
      <c r="K30" s="170"/>
      <c r="L30" s="170"/>
      <c r="M30" s="170"/>
      <c r="N30" s="170"/>
      <c r="O30" s="170"/>
      <c r="P30" s="48"/>
      <c r="Q30" s="48"/>
      <c r="R30" s="170"/>
      <c r="S30" s="170"/>
      <c r="T30" s="170"/>
      <c r="U30" s="170"/>
      <c r="V30" s="170"/>
      <c r="W30" s="170"/>
      <c r="X30" s="173"/>
      <c r="Y30" s="167"/>
      <c r="Z30" s="48"/>
      <c r="AA30" s="48">
        <v>1</v>
      </c>
      <c r="AB30" s="174">
        <v>0</v>
      </c>
      <c r="AC30" s="174"/>
      <c r="AD30" s="174">
        <v>0</v>
      </c>
      <c r="AE30" s="174">
        <v>0</v>
      </c>
      <c r="AF30" s="174">
        <v>0</v>
      </c>
      <c r="AG30" s="174">
        <v>0</v>
      </c>
      <c r="AH30" s="174">
        <v>0</v>
      </c>
      <c r="AI30" s="174">
        <v>0</v>
      </c>
      <c r="AJ30" s="174">
        <v>0</v>
      </c>
      <c r="AK30" s="174">
        <v>0</v>
      </c>
      <c r="AL30" s="174">
        <v>0</v>
      </c>
      <c r="AM30" s="174">
        <v>0</v>
      </c>
      <c r="AN30" s="174">
        <v>0</v>
      </c>
      <c r="AO30" s="174">
        <v>0</v>
      </c>
      <c r="AP30" s="174">
        <v>0</v>
      </c>
      <c r="AQ30" s="174">
        <v>0</v>
      </c>
      <c r="AR30" s="174">
        <v>0</v>
      </c>
      <c r="AS30" s="174">
        <v>0</v>
      </c>
      <c r="AT30" s="174">
        <v>0</v>
      </c>
      <c r="AU30" s="174">
        <v>0</v>
      </c>
      <c r="AV30" s="174">
        <v>0</v>
      </c>
      <c r="AW30" s="174">
        <v>0</v>
      </c>
      <c r="AX30" s="174">
        <v>0</v>
      </c>
      <c r="AY30" s="174">
        <v>0</v>
      </c>
      <c r="AZ30" s="174">
        <v>0</v>
      </c>
      <c r="BA30" s="174">
        <v>0</v>
      </c>
      <c r="BB30" s="174">
        <v>0</v>
      </c>
      <c r="BC30" s="174">
        <v>0</v>
      </c>
      <c r="BD30" s="174">
        <v>0</v>
      </c>
      <c r="BE30" s="174">
        <v>0</v>
      </c>
      <c r="BF30" s="174">
        <v>0</v>
      </c>
      <c r="BG30" s="174"/>
      <c r="BH30" s="175"/>
      <c r="BI30" s="166"/>
      <c r="BJ30" s="167"/>
      <c r="BK30" s="168"/>
      <c r="BL30" s="56"/>
      <c r="BM30" s="168"/>
      <c r="BN30" s="169" t="s">
        <v>386</v>
      </c>
      <c r="BO30" s="168"/>
      <c r="BP30" s="168"/>
      <c r="BQ30" s="168"/>
      <c r="BR30" s="207"/>
      <c r="BS30" s="168"/>
      <c r="BT30" s="168"/>
      <c r="BU30" s="167"/>
      <c r="BV30" s="170"/>
      <c r="BW30" s="48"/>
      <c r="BX30" s="168"/>
      <c r="BY30" s="168"/>
      <c r="BZ30" s="48"/>
      <c r="CA30" s="48"/>
      <c r="CB30" s="48"/>
      <c r="CC30" s="167"/>
      <c r="CD30" s="137"/>
      <c r="CE30" s="171"/>
      <c r="CF30" s="172"/>
      <c r="CG30" s="165"/>
    </row>
    <row r="31" spans="1:85" s="138" customFormat="1" ht="15" customHeight="1">
      <c r="A31" s="48"/>
      <c r="B31" s="29"/>
      <c r="C31" s="168"/>
      <c r="D31" s="48"/>
      <c r="E31" s="29"/>
      <c r="F31" s="48"/>
      <c r="G31" s="48"/>
      <c r="H31" s="48"/>
      <c r="I31" s="48"/>
      <c r="J31" s="170"/>
      <c r="K31" s="170"/>
      <c r="L31" s="170"/>
      <c r="M31" s="170"/>
      <c r="N31" s="170"/>
      <c r="O31" s="170"/>
      <c r="P31" s="48"/>
      <c r="Q31" s="48"/>
      <c r="R31" s="170"/>
      <c r="S31" s="170"/>
      <c r="T31" s="170"/>
      <c r="U31" s="170"/>
      <c r="V31" s="170"/>
      <c r="W31" s="170"/>
      <c r="X31" s="173"/>
      <c r="Y31" s="167"/>
      <c r="Z31" s="48"/>
      <c r="AA31" s="48">
        <v>1</v>
      </c>
      <c r="AB31" s="174">
        <v>0</v>
      </c>
      <c r="AC31" s="174"/>
      <c r="AD31" s="174">
        <v>0</v>
      </c>
      <c r="AE31" s="174">
        <v>0</v>
      </c>
      <c r="AF31" s="174">
        <v>0</v>
      </c>
      <c r="AG31" s="174">
        <v>0</v>
      </c>
      <c r="AH31" s="174">
        <v>0</v>
      </c>
      <c r="AI31" s="174">
        <v>0</v>
      </c>
      <c r="AJ31" s="174">
        <v>0</v>
      </c>
      <c r="AK31" s="174">
        <v>0</v>
      </c>
      <c r="AL31" s="174">
        <v>0</v>
      </c>
      <c r="AM31" s="174">
        <v>0</v>
      </c>
      <c r="AN31" s="174">
        <v>0</v>
      </c>
      <c r="AO31" s="174">
        <v>0</v>
      </c>
      <c r="AP31" s="174">
        <v>0</v>
      </c>
      <c r="AQ31" s="174">
        <v>0</v>
      </c>
      <c r="AR31" s="174">
        <v>0</v>
      </c>
      <c r="AS31" s="174">
        <v>0</v>
      </c>
      <c r="AT31" s="174">
        <v>0</v>
      </c>
      <c r="AU31" s="174">
        <v>0</v>
      </c>
      <c r="AV31" s="174">
        <v>0</v>
      </c>
      <c r="AW31" s="174">
        <v>0</v>
      </c>
      <c r="AX31" s="174">
        <v>0</v>
      </c>
      <c r="AY31" s="174">
        <v>0</v>
      </c>
      <c r="AZ31" s="174">
        <v>0</v>
      </c>
      <c r="BA31" s="174">
        <v>0</v>
      </c>
      <c r="BB31" s="174">
        <v>0</v>
      </c>
      <c r="BC31" s="174">
        <v>0</v>
      </c>
      <c r="BD31" s="174">
        <v>0</v>
      </c>
      <c r="BE31" s="174">
        <v>0</v>
      </c>
      <c r="BF31" s="174">
        <v>0</v>
      </c>
      <c r="BG31" s="174"/>
      <c r="BH31" s="175"/>
      <c r="BI31" s="166"/>
      <c r="BJ31" s="167"/>
      <c r="BK31" s="168"/>
      <c r="BL31" s="56"/>
      <c r="BM31" s="168"/>
      <c r="BN31" s="169" t="s">
        <v>386</v>
      </c>
      <c r="BO31" s="168"/>
      <c r="BP31" s="168"/>
      <c r="BQ31" s="168"/>
      <c r="BR31" s="207"/>
      <c r="BS31" s="168"/>
      <c r="BT31" s="168"/>
      <c r="BU31" s="167"/>
      <c r="BV31" s="170"/>
      <c r="BW31" s="48"/>
      <c r="BX31" s="168"/>
      <c r="BY31" s="168"/>
      <c r="BZ31" s="48"/>
      <c r="CA31" s="48"/>
      <c r="CB31" s="48"/>
      <c r="CC31" s="167"/>
      <c r="CD31" s="137"/>
      <c r="CE31" s="171"/>
      <c r="CF31" s="172"/>
      <c r="CG31" s="165"/>
    </row>
    <row r="32" spans="1:85" s="138" customFormat="1" ht="15" customHeight="1">
      <c r="A32" s="48"/>
      <c r="B32" s="29"/>
      <c r="C32" s="168"/>
      <c r="D32" s="48"/>
      <c r="E32" s="29"/>
      <c r="F32" s="48"/>
      <c r="G32" s="48"/>
      <c r="H32" s="48"/>
      <c r="I32" s="48"/>
      <c r="J32" s="170"/>
      <c r="K32" s="170"/>
      <c r="L32" s="170"/>
      <c r="M32" s="170"/>
      <c r="N32" s="170"/>
      <c r="O32" s="170"/>
      <c r="P32" s="48"/>
      <c r="Q32" s="48"/>
      <c r="R32" s="170"/>
      <c r="S32" s="170"/>
      <c r="T32" s="170"/>
      <c r="U32" s="170"/>
      <c r="V32" s="170"/>
      <c r="W32" s="170"/>
      <c r="X32" s="173"/>
      <c r="Y32" s="167"/>
      <c r="Z32" s="48"/>
      <c r="AA32" s="48">
        <v>1</v>
      </c>
      <c r="AB32" s="174">
        <v>0</v>
      </c>
      <c r="AC32" s="174"/>
      <c r="AD32" s="174">
        <v>0</v>
      </c>
      <c r="AE32" s="174">
        <v>0</v>
      </c>
      <c r="AF32" s="174">
        <v>0</v>
      </c>
      <c r="AG32" s="174">
        <v>0</v>
      </c>
      <c r="AH32" s="174">
        <v>0</v>
      </c>
      <c r="AI32" s="174">
        <v>0</v>
      </c>
      <c r="AJ32" s="174">
        <v>0</v>
      </c>
      <c r="AK32" s="174">
        <v>0</v>
      </c>
      <c r="AL32" s="174">
        <v>0</v>
      </c>
      <c r="AM32" s="174">
        <v>0</v>
      </c>
      <c r="AN32" s="174">
        <v>0</v>
      </c>
      <c r="AO32" s="174">
        <v>0</v>
      </c>
      <c r="AP32" s="174">
        <v>0</v>
      </c>
      <c r="AQ32" s="174">
        <v>0</v>
      </c>
      <c r="AR32" s="174">
        <v>0</v>
      </c>
      <c r="AS32" s="174">
        <v>0</v>
      </c>
      <c r="AT32" s="174">
        <v>0</v>
      </c>
      <c r="AU32" s="174">
        <v>0</v>
      </c>
      <c r="AV32" s="174">
        <v>0</v>
      </c>
      <c r="AW32" s="174">
        <v>0</v>
      </c>
      <c r="AX32" s="174">
        <v>0</v>
      </c>
      <c r="AY32" s="174">
        <v>0</v>
      </c>
      <c r="AZ32" s="174">
        <v>0</v>
      </c>
      <c r="BA32" s="174">
        <v>0</v>
      </c>
      <c r="BB32" s="174">
        <v>0</v>
      </c>
      <c r="BC32" s="174">
        <v>0</v>
      </c>
      <c r="BD32" s="174">
        <v>0</v>
      </c>
      <c r="BE32" s="174">
        <v>0</v>
      </c>
      <c r="BF32" s="174">
        <v>0</v>
      </c>
      <c r="BG32" s="174"/>
      <c r="BH32" s="175"/>
      <c r="BI32" s="166"/>
      <c r="BJ32" s="167"/>
      <c r="BK32" s="168"/>
      <c r="BL32" s="56"/>
      <c r="BM32" s="168"/>
      <c r="BN32" s="169" t="s">
        <v>386</v>
      </c>
      <c r="BO32" s="168"/>
      <c r="BP32" s="168"/>
      <c r="BQ32" s="168"/>
      <c r="BR32" s="207"/>
      <c r="BS32" s="168"/>
      <c r="BT32" s="168"/>
      <c r="BU32" s="167"/>
      <c r="BV32" s="170"/>
      <c r="BW32" s="48"/>
      <c r="BX32" s="168"/>
      <c r="BY32" s="168"/>
      <c r="BZ32" s="48"/>
      <c r="CA32" s="48"/>
      <c r="CB32" s="48"/>
      <c r="CC32" s="167"/>
      <c r="CD32" s="137"/>
      <c r="CE32" s="171"/>
      <c r="CF32" s="172"/>
      <c r="CG32" s="165"/>
    </row>
    <row r="33" spans="1:85" s="138" customFormat="1" ht="15" customHeight="1">
      <c r="A33" s="48"/>
      <c r="B33" s="29"/>
      <c r="C33" s="168"/>
      <c r="D33" s="48"/>
      <c r="E33" s="29"/>
      <c r="F33" s="48"/>
      <c r="G33" s="48"/>
      <c r="H33" s="48"/>
      <c r="I33" s="48"/>
      <c r="J33" s="170"/>
      <c r="K33" s="170"/>
      <c r="L33" s="170"/>
      <c r="M33" s="170"/>
      <c r="N33" s="170"/>
      <c r="O33" s="170"/>
      <c r="P33" s="48"/>
      <c r="Q33" s="48"/>
      <c r="R33" s="170"/>
      <c r="S33" s="170"/>
      <c r="T33" s="170"/>
      <c r="U33" s="170"/>
      <c r="V33" s="170"/>
      <c r="W33" s="170"/>
      <c r="X33" s="173"/>
      <c r="Y33" s="167"/>
      <c r="Z33" s="48"/>
      <c r="AA33" s="48">
        <v>1</v>
      </c>
      <c r="AB33" s="174">
        <v>0</v>
      </c>
      <c r="AC33" s="174"/>
      <c r="AD33" s="174">
        <v>0</v>
      </c>
      <c r="AE33" s="174">
        <v>0</v>
      </c>
      <c r="AF33" s="174">
        <v>0</v>
      </c>
      <c r="AG33" s="174">
        <v>0</v>
      </c>
      <c r="AH33" s="174">
        <v>0</v>
      </c>
      <c r="AI33" s="174">
        <v>0</v>
      </c>
      <c r="AJ33" s="174">
        <v>0</v>
      </c>
      <c r="AK33" s="174">
        <v>0</v>
      </c>
      <c r="AL33" s="174">
        <v>0</v>
      </c>
      <c r="AM33" s="174">
        <v>0</v>
      </c>
      <c r="AN33" s="174">
        <v>0</v>
      </c>
      <c r="AO33" s="174">
        <v>0</v>
      </c>
      <c r="AP33" s="174">
        <v>0</v>
      </c>
      <c r="AQ33" s="174">
        <v>0</v>
      </c>
      <c r="AR33" s="174">
        <v>0</v>
      </c>
      <c r="AS33" s="174">
        <v>0</v>
      </c>
      <c r="AT33" s="174">
        <v>0</v>
      </c>
      <c r="AU33" s="174">
        <v>0</v>
      </c>
      <c r="AV33" s="174">
        <v>0</v>
      </c>
      <c r="AW33" s="174">
        <v>0</v>
      </c>
      <c r="AX33" s="174">
        <v>0</v>
      </c>
      <c r="AY33" s="174">
        <v>0</v>
      </c>
      <c r="AZ33" s="174">
        <v>0</v>
      </c>
      <c r="BA33" s="174">
        <v>0</v>
      </c>
      <c r="BB33" s="174">
        <v>0</v>
      </c>
      <c r="BC33" s="174">
        <v>0</v>
      </c>
      <c r="BD33" s="174">
        <v>0</v>
      </c>
      <c r="BE33" s="174">
        <v>0</v>
      </c>
      <c r="BF33" s="174">
        <v>0</v>
      </c>
      <c r="BG33" s="174"/>
      <c r="BH33" s="175"/>
      <c r="BI33" s="166"/>
      <c r="BJ33" s="167"/>
      <c r="BK33" s="168"/>
      <c r="BL33" s="56"/>
      <c r="BM33" s="168"/>
      <c r="BN33" s="169" t="s">
        <v>386</v>
      </c>
      <c r="BO33" s="168"/>
      <c r="BP33" s="168"/>
      <c r="BQ33" s="168"/>
      <c r="BR33" s="207"/>
      <c r="BS33" s="168"/>
      <c r="BT33" s="168"/>
      <c r="BU33" s="167"/>
      <c r="BV33" s="170"/>
      <c r="BW33" s="48"/>
      <c r="BX33" s="168"/>
      <c r="BY33" s="168"/>
      <c r="BZ33" s="48"/>
      <c r="CA33" s="48"/>
      <c r="CB33" s="48"/>
      <c r="CC33" s="167"/>
      <c r="CD33" s="137"/>
      <c r="CE33" s="171"/>
      <c r="CF33" s="172"/>
      <c r="CG33" s="165"/>
    </row>
    <row r="34" spans="1:85" s="138" customFormat="1" ht="15" customHeight="1">
      <c r="A34" s="48"/>
      <c r="B34" s="29"/>
      <c r="C34" s="168"/>
      <c r="D34" s="48"/>
      <c r="E34" s="29"/>
      <c r="F34" s="48"/>
      <c r="G34" s="48"/>
      <c r="H34" s="48"/>
      <c r="I34" s="48"/>
      <c r="J34" s="170"/>
      <c r="K34" s="170"/>
      <c r="L34" s="170"/>
      <c r="M34" s="170"/>
      <c r="N34" s="170"/>
      <c r="O34" s="170"/>
      <c r="P34" s="48"/>
      <c r="Q34" s="48"/>
      <c r="R34" s="170"/>
      <c r="S34" s="170"/>
      <c r="T34" s="170"/>
      <c r="U34" s="170"/>
      <c r="V34" s="170"/>
      <c r="W34" s="170"/>
      <c r="X34" s="173"/>
      <c r="Y34" s="167"/>
      <c r="Z34" s="48"/>
      <c r="AA34" s="48">
        <v>1</v>
      </c>
      <c r="AB34" s="174">
        <v>0</v>
      </c>
      <c r="AC34" s="174"/>
      <c r="AD34" s="174">
        <v>0</v>
      </c>
      <c r="AE34" s="174">
        <v>0</v>
      </c>
      <c r="AF34" s="174">
        <v>0</v>
      </c>
      <c r="AG34" s="174">
        <v>0</v>
      </c>
      <c r="AH34" s="174">
        <v>0</v>
      </c>
      <c r="AI34" s="174">
        <v>0</v>
      </c>
      <c r="AJ34" s="174">
        <v>0</v>
      </c>
      <c r="AK34" s="174">
        <v>0</v>
      </c>
      <c r="AL34" s="174">
        <v>0</v>
      </c>
      <c r="AM34" s="174">
        <v>0</v>
      </c>
      <c r="AN34" s="174">
        <v>0</v>
      </c>
      <c r="AO34" s="174">
        <v>0</v>
      </c>
      <c r="AP34" s="174">
        <v>0</v>
      </c>
      <c r="AQ34" s="174">
        <v>0</v>
      </c>
      <c r="AR34" s="174">
        <v>0</v>
      </c>
      <c r="AS34" s="174">
        <v>0</v>
      </c>
      <c r="AT34" s="174">
        <v>0</v>
      </c>
      <c r="AU34" s="174">
        <v>0</v>
      </c>
      <c r="AV34" s="174">
        <v>0</v>
      </c>
      <c r="AW34" s="174">
        <v>0</v>
      </c>
      <c r="AX34" s="174">
        <v>0</v>
      </c>
      <c r="AY34" s="174">
        <v>0</v>
      </c>
      <c r="AZ34" s="174">
        <v>0</v>
      </c>
      <c r="BA34" s="174">
        <v>0</v>
      </c>
      <c r="BB34" s="174">
        <v>0</v>
      </c>
      <c r="BC34" s="174">
        <v>0</v>
      </c>
      <c r="BD34" s="174">
        <v>0</v>
      </c>
      <c r="BE34" s="174">
        <v>0</v>
      </c>
      <c r="BF34" s="174">
        <v>0</v>
      </c>
      <c r="BG34" s="174"/>
      <c r="BH34" s="175"/>
      <c r="BI34" s="166"/>
      <c r="BJ34" s="167"/>
      <c r="BK34" s="168"/>
      <c r="BL34" s="56"/>
      <c r="BM34" s="168"/>
      <c r="BN34" s="169" t="s">
        <v>386</v>
      </c>
      <c r="BO34" s="168"/>
      <c r="BP34" s="168"/>
      <c r="BQ34" s="168"/>
      <c r="BR34" s="207"/>
      <c r="BS34" s="168"/>
      <c r="BT34" s="168"/>
      <c r="BU34" s="167"/>
      <c r="BV34" s="170"/>
      <c r="BW34" s="48"/>
      <c r="BX34" s="168"/>
      <c r="BY34" s="168"/>
      <c r="BZ34" s="48"/>
      <c r="CA34" s="48"/>
      <c r="CB34" s="48"/>
      <c r="CC34" s="167"/>
      <c r="CD34" s="137"/>
      <c r="CE34" s="171"/>
      <c r="CF34" s="172"/>
      <c r="CG34" s="165"/>
    </row>
    <row r="35" spans="1:85" s="138" customFormat="1" ht="15" customHeight="1">
      <c r="A35" s="48"/>
      <c r="B35" s="29"/>
      <c r="C35" s="168"/>
      <c r="D35" s="48"/>
      <c r="E35" s="29"/>
      <c r="F35" s="48"/>
      <c r="G35" s="48"/>
      <c r="H35" s="48"/>
      <c r="I35" s="48"/>
      <c r="J35" s="170"/>
      <c r="K35" s="170"/>
      <c r="L35" s="170"/>
      <c r="M35" s="170"/>
      <c r="N35" s="170"/>
      <c r="O35" s="170"/>
      <c r="P35" s="48"/>
      <c r="Q35" s="48"/>
      <c r="R35" s="170"/>
      <c r="S35" s="170"/>
      <c r="T35" s="170"/>
      <c r="U35" s="170"/>
      <c r="V35" s="170"/>
      <c r="W35" s="170"/>
      <c r="X35" s="173"/>
      <c r="Y35" s="167"/>
      <c r="Z35" s="48"/>
      <c r="AA35" s="48">
        <v>1</v>
      </c>
      <c r="AB35" s="174">
        <v>0</v>
      </c>
      <c r="AC35" s="174"/>
      <c r="AD35" s="174">
        <v>0</v>
      </c>
      <c r="AE35" s="174">
        <v>0</v>
      </c>
      <c r="AF35" s="174">
        <v>0</v>
      </c>
      <c r="AG35" s="174">
        <v>0</v>
      </c>
      <c r="AH35" s="174">
        <v>0</v>
      </c>
      <c r="AI35" s="174">
        <v>0</v>
      </c>
      <c r="AJ35" s="174">
        <v>0</v>
      </c>
      <c r="AK35" s="174">
        <v>0</v>
      </c>
      <c r="AL35" s="174">
        <v>0</v>
      </c>
      <c r="AM35" s="174">
        <v>0</v>
      </c>
      <c r="AN35" s="174">
        <v>0</v>
      </c>
      <c r="AO35" s="174">
        <v>0</v>
      </c>
      <c r="AP35" s="174">
        <v>0</v>
      </c>
      <c r="AQ35" s="174">
        <v>0</v>
      </c>
      <c r="AR35" s="174">
        <v>0</v>
      </c>
      <c r="AS35" s="174">
        <v>0</v>
      </c>
      <c r="AT35" s="174">
        <v>0</v>
      </c>
      <c r="AU35" s="174">
        <v>0</v>
      </c>
      <c r="AV35" s="174">
        <v>0</v>
      </c>
      <c r="AW35" s="174">
        <v>0</v>
      </c>
      <c r="AX35" s="174">
        <v>0</v>
      </c>
      <c r="AY35" s="174">
        <v>0</v>
      </c>
      <c r="AZ35" s="174">
        <v>0</v>
      </c>
      <c r="BA35" s="174">
        <v>0</v>
      </c>
      <c r="BB35" s="174">
        <v>0</v>
      </c>
      <c r="BC35" s="174">
        <v>0</v>
      </c>
      <c r="BD35" s="174">
        <v>0</v>
      </c>
      <c r="BE35" s="174">
        <v>0</v>
      </c>
      <c r="BF35" s="174">
        <v>0</v>
      </c>
      <c r="BG35" s="174"/>
      <c r="BH35" s="175"/>
      <c r="BI35" s="166"/>
      <c r="BJ35" s="167"/>
      <c r="BK35" s="168"/>
      <c r="BL35" s="56"/>
      <c r="BM35" s="168"/>
      <c r="BN35" s="169" t="s">
        <v>386</v>
      </c>
      <c r="BO35" s="168"/>
      <c r="BP35" s="168"/>
      <c r="BQ35" s="168"/>
      <c r="BR35" s="207"/>
      <c r="BS35" s="168"/>
      <c r="BT35" s="168"/>
      <c r="BU35" s="167"/>
      <c r="BV35" s="170"/>
      <c r="BW35" s="48"/>
      <c r="BX35" s="168"/>
      <c r="BY35" s="168"/>
      <c r="BZ35" s="48"/>
      <c r="CA35" s="48"/>
      <c r="CB35" s="48"/>
      <c r="CC35" s="167"/>
      <c r="CD35" s="137"/>
      <c r="CE35" s="171"/>
      <c r="CF35" s="172"/>
      <c r="CG35" s="165"/>
    </row>
    <row r="36" spans="1:85" s="138" customFormat="1" ht="15" customHeight="1">
      <c r="A36" s="48"/>
      <c r="B36" s="29"/>
      <c r="C36" s="168"/>
      <c r="D36" s="48"/>
      <c r="E36" s="29"/>
      <c r="F36" s="48"/>
      <c r="G36" s="48"/>
      <c r="H36" s="48"/>
      <c r="I36" s="48"/>
      <c r="J36" s="170"/>
      <c r="K36" s="170"/>
      <c r="L36" s="170"/>
      <c r="M36" s="170"/>
      <c r="N36" s="170"/>
      <c r="O36" s="170"/>
      <c r="P36" s="48"/>
      <c r="Q36" s="48"/>
      <c r="R36" s="170"/>
      <c r="S36" s="170"/>
      <c r="T36" s="170"/>
      <c r="U36" s="170"/>
      <c r="V36" s="170"/>
      <c r="W36" s="170"/>
      <c r="X36" s="173"/>
      <c r="Y36" s="167"/>
      <c r="Z36" s="48"/>
      <c r="AA36" s="48">
        <v>1</v>
      </c>
      <c r="AB36" s="174">
        <v>0</v>
      </c>
      <c r="AC36" s="174"/>
      <c r="AD36" s="174">
        <v>0</v>
      </c>
      <c r="AE36" s="174">
        <v>0</v>
      </c>
      <c r="AF36" s="174">
        <v>0</v>
      </c>
      <c r="AG36" s="174">
        <v>0</v>
      </c>
      <c r="AH36" s="174">
        <v>0</v>
      </c>
      <c r="AI36" s="174">
        <v>0</v>
      </c>
      <c r="AJ36" s="174">
        <v>0</v>
      </c>
      <c r="AK36" s="174">
        <v>0</v>
      </c>
      <c r="AL36" s="174">
        <v>0</v>
      </c>
      <c r="AM36" s="174">
        <v>0</v>
      </c>
      <c r="AN36" s="174">
        <v>0</v>
      </c>
      <c r="AO36" s="174">
        <v>0</v>
      </c>
      <c r="AP36" s="174">
        <v>0</v>
      </c>
      <c r="AQ36" s="174">
        <v>0</v>
      </c>
      <c r="AR36" s="174">
        <v>0</v>
      </c>
      <c r="AS36" s="174">
        <v>0</v>
      </c>
      <c r="AT36" s="174">
        <v>0</v>
      </c>
      <c r="AU36" s="174">
        <v>0</v>
      </c>
      <c r="AV36" s="174">
        <v>0</v>
      </c>
      <c r="AW36" s="174">
        <v>0</v>
      </c>
      <c r="AX36" s="174">
        <v>0</v>
      </c>
      <c r="AY36" s="174">
        <v>0</v>
      </c>
      <c r="AZ36" s="174">
        <v>0</v>
      </c>
      <c r="BA36" s="174">
        <v>0</v>
      </c>
      <c r="BB36" s="174">
        <v>0</v>
      </c>
      <c r="BC36" s="174">
        <v>0</v>
      </c>
      <c r="BD36" s="174">
        <v>0</v>
      </c>
      <c r="BE36" s="174">
        <v>0</v>
      </c>
      <c r="BF36" s="174">
        <v>0</v>
      </c>
      <c r="BG36" s="174"/>
      <c r="BH36" s="175"/>
      <c r="BI36" s="166"/>
      <c r="BJ36" s="167"/>
      <c r="BK36" s="168"/>
      <c r="BL36" s="56"/>
      <c r="BM36" s="168"/>
      <c r="BN36" s="169" t="s">
        <v>386</v>
      </c>
      <c r="BO36" s="168"/>
      <c r="BP36" s="168"/>
      <c r="BQ36" s="168"/>
      <c r="BR36" s="207"/>
      <c r="BS36" s="168"/>
      <c r="BT36" s="168"/>
      <c r="BU36" s="167"/>
      <c r="BV36" s="170"/>
      <c r="BW36" s="48"/>
      <c r="BX36" s="168"/>
      <c r="BY36" s="168"/>
      <c r="BZ36" s="48"/>
      <c r="CA36" s="48"/>
      <c r="CB36" s="48"/>
      <c r="CC36" s="167"/>
      <c r="CD36" s="137"/>
      <c r="CE36" s="171"/>
      <c r="CF36" s="172"/>
      <c r="CG36" s="165"/>
    </row>
    <row r="37" spans="1:85" s="138" customFormat="1" ht="15" customHeight="1">
      <c r="A37" s="48"/>
      <c r="B37" s="29"/>
      <c r="C37" s="168"/>
      <c r="D37" s="48"/>
      <c r="E37" s="29"/>
      <c r="F37" s="48"/>
      <c r="G37" s="48"/>
      <c r="H37" s="48"/>
      <c r="I37" s="48"/>
      <c r="J37" s="170"/>
      <c r="K37" s="170"/>
      <c r="L37" s="170"/>
      <c r="M37" s="170"/>
      <c r="N37" s="170"/>
      <c r="O37" s="170"/>
      <c r="P37" s="48"/>
      <c r="Q37" s="48"/>
      <c r="R37" s="170"/>
      <c r="S37" s="170"/>
      <c r="T37" s="170"/>
      <c r="U37" s="170"/>
      <c r="V37" s="170"/>
      <c r="W37" s="170"/>
      <c r="X37" s="173"/>
      <c r="Y37" s="167"/>
      <c r="Z37" s="48"/>
      <c r="AA37" s="48">
        <v>1</v>
      </c>
      <c r="AB37" s="174">
        <v>0</v>
      </c>
      <c r="AC37" s="174"/>
      <c r="AD37" s="174">
        <v>0</v>
      </c>
      <c r="AE37" s="174">
        <v>0</v>
      </c>
      <c r="AF37" s="174">
        <v>0</v>
      </c>
      <c r="AG37" s="174">
        <v>0</v>
      </c>
      <c r="AH37" s="174">
        <v>0</v>
      </c>
      <c r="AI37" s="174">
        <v>0</v>
      </c>
      <c r="AJ37" s="174">
        <v>0</v>
      </c>
      <c r="AK37" s="174">
        <v>0</v>
      </c>
      <c r="AL37" s="174">
        <v>0</v>
      </c>
      <c r="AM37" s="174">
        <v>0</v>
      </c>
      <c r="AN37" s="174">
        <v>0</v>
      </c>
      <c r="AO37" s="174">
        <v>0</v>
      </c>
      <c r="AP37" s="174">
        <v>0</v>
      </c>
      <c r="AQ37" s="174">
        <v>0</v>
      </c>
      <c r="AR37" s="174">
        <v>0</v>
      </c>
      <c r="AS37" s="174">
        <v>0</v>
      </c>
      <c r="AT37" s="174">
        <v>0</v>
      </c>
      <c r="AU37" s="174">
        <v>0</v>
      </c>
      <c r="AV37" s="174">
        <v>0</v>
      </c>
      <c r="AW37" s="174">
        <v>0</v>
      </c>
      <c r="AX37" s="174">
        <v>0</v>
      </c>
      <c r="AY37" s="174">
        <v>0</v>
      </c>
      <c r="AZ37" s="174">
        <v>0</v>
      </c>
      <c r="BA37" s="174">
        <v>0</v>
      </c>
      <c r="BB37" s="174">
        <v>0</v>
      </c>
      <c r="BC37" s="174">
        <v>0</v>
      </c>
      <c r="BD37" s="174">
        <v>0</v>
      </c>
      <c r="BE37" s="174">
        <v>0</v>
      </c>
      <c r="BF37" s="174">
        <v>0</v>
      </c>
      <c r="BG37" s="174"/>
      <c r="BH37" s="175"/>
      <c r="BI37" s="166"/>
      <c r="BJ37" s="167"/>
      <c r="BK37" s="168"/>
      <c r="BL37" s="56"/>
      <c r="BM37" s="168"/>
      <c r="BN37" s="169" t="s">
        <v>386</v>
      </c>
      <c r="BO37" s="168"/>
      <c r="BP37" s="168"/>
      <c r="BQ37" s="168"/>
      <c r="BR37" s="207"/>
      <c r="BS37" s="168"/>
      <c r="BT37" s="168"/>
      <c r="BU37" s="167"/>
      <c r="BV37" s="170"/>
      <c r="BW37" s="48"/>
      <c r="BX37" s="168"/>
      <c r="BY37" s="168"/>
      <c r="BZ37" s="48"/>
      <c r="CA37" s="48"/>
      <c r="CB37" s="48"/>
      <c r="CC37" s="167"/>
      <c r="CD37" s="137"/>
      <c r="CE37" s="171"/>
      <c r="CF37" s="172"/>
      <c r="CG37" s="165"/>
    </row>
    <row r="38" spans="1:85" s="138" customFormat="1" ht="15" customHeight="1">
      <c r="A38" s="48"/>
      <c r="B38" s="29"/>
      <c r="C38" s="168"/>
      <c r="D38" s="48"/>
      <c r="E38" s="29"/>
      <c r="F38" s="48"/>
      <c r="G38" s="48"/>
      <c r="H38" s="48"/>
      <c r="I38" s="48"/>
      <c r="J38" s="170"/>
      <c r="K38" s="170"/>
      <c r="L38" s="170"/>
      <c r="M38" s="170"/>
      <c r="N38" s="170"/>
      <c r="O38" s="170"/>
      <c r="P38" s="48"/>
      <c r="Q38" s="48"/>
      <c r="R38" s="170"/>
      <c r="S38" s="170"/>
      <c r="T38" s="170"/>
      <c r="U38" s="170"/>
      <c r="V38" s="170"/>
      <c r="W38" s="170"/>
      <c r="X38" s="173"/>
      <c r="Y38" s="167"/>
      <c r="Z38" s="48"/>
      <c r="AA38" s="48">
        <v>1</v>
      </c>
      <c r="AB38" s="174">
        <v>0</v>
      </c>
      <c r="AC38" s="174"/>
      <c r="AD38" s="174">
        <v>0</v>
      </c>
      <c r="AE38" s="174">
        <v>0</v>
      </c>
      <c r="AF38" s="174">
        <v>0</v>
      </c>
      <c r="AG38" s="174">
        <v>0</v>
      </c>
      <c r="AH38" s="174">
        <v>0</v>
      </c>
      <c r="AI38" s="174">
        <v>0</v>
      </c>
      <c r="AJ38" s="174">
        <v>0</v>
      </c>
      <c r="AK38" s="174">
        <v>0</v>
      </c>
      <c r="AL38" s="174">
        <v>0</v>
      </c>
      <c r="AM38" s="174">
        <v>0</v>
      </c>
      <c r="AN38" s="174">
        <v>0</v>
      </c>
      <c r="AO38" s="174">
        <v>0</v>
      </c>
      <c r="AP38" s="174">
        <v>0</v>
      </c>
      <c r="AQ38" s="174">
        <v>0</v>
      </c>
      <c r="AR38" s="174">
        <v>0</v>
      </c>
      <c r="AS38" s="174">
        <v>0</v>
      </c>
      <c r="AT38" s="174">
        <v>0</v>
      </c>
      <c r="AU38" s="174">
        <v>0</v>
      </c>
      <c r="AV38" s="174">
        <v>0</v>
      </c>
      <c r="AW38" s="174">
        <v>0</v>
      </c>
      <c r="AX38" s="174">
        <v>0</v>
      </c>
      <c r="AY38" s="174">
        <v>0</v>
      </c>
      <c r="AZ38" s="174">
        <v>0</v>
      </c>
      <c r="BA38" s="174">
        <v>0</v>
      </c>
      <c r="BB38" s="174">
        <v>0</v>
      </c>
      <c r="BC38" s="174">
        <v>0</v>
      </c>
      <c r="BD38" s="174">
        <v>0</v>
      </c>
      <c r="BE38" s="174">
        <v>0</v>
      </c>
      <c r="BF38" s="174">
        <v>0</v>
      </c>
      <c r="BG38" s="174"/>
      <c r="BH38" s="175"/>
      <c r="BI38" s="166"/>
      <c r="BJ38" s="167"/>
      <c r="BK38" s="168"/>
      <c r="BL38" s="56"/>
      <c r="BM38" s="168"/>
      <c r="BN38" s="169" t="s">
        <v>386</v>
      </c>
      <c r="BO38" s="168"/>
      <c r="BP38" s="168"/>
      <c r="BQ38" s="168"/>
      <c r="BR38" s="207"/>
      <c r="BS38" s="168"/>
      <c r="BT38" s="168"/>
      <c r="BU38" s="167"/>
      <c r="BV38" s="170"/>
      <c r="BW38" s="48"/>
      <c r="BX38" s="168"/>
      <c r="BY38" s="168"/>
      <c r="BZ38" s="48"/>
      <c r="CA38" s="48"/>
      <c r="CB38" s="48"/>
      <c r="CC38" s="167"/>
      <c r="CD38" s="137"/>
      <c r="CE38" s="171"/>
      <c r="CF38" s="172"/>
      <c r="CG38" s="165"/>
    </row>
    <row r="39" spans="1:85" s="138" customFormat="1" ht="15" customHeight="1">
      <c r="A39" s="48"/>
      <c r="B39" s="29"/>
      <c r="C39" s="168"/>
      <c r="D39" s="48"/>
      <c r="E39" s="29"/>
      <c r="F39" s="48"/>
      <c r="G39" s="48"/>
      <c r="H39" s="48"/>
      <c r="I39" s="48"/>
      <c r="J39" s="170"/>
      <c r="K39" s="170"/>
      <c r="L39" s="170"/>
      <c r="M39" s="170"/>
      <c r="N39" s="170"/>
      <c r="O39" s="170"/>
      <c r="P39" s="48"/>
      <c r="Q39" s="48"/>
      <c r="R39" s="170"/>
      <c r="S39" s="170"/>
      <c r="T39" s="170"/>
      <c r="U39" s="170"/>
      <c r="V39" s="170"/>
      <c r="W39" s="170"/>
      <c r="X39" s="173"/>
      <c r="Y39" s="167"/>
      <c r="Z39" s="48"/>
      <c r="AA39" s="48">
        <v>1</v>
      </c>
      <c r="AB39" s="174">
        <v>0</v>
      </c>
      <c r="AC39" s="174"/>
      <c r="AD39" s="174">
        <v>0</v>
      </c>
      <c r="AE39" s="174">
        <v>0</v>
      </c>
      <c r="AF39" s="174">
        <v>0</v>
      </c>
      <c r="AG39" s="174">
        <v>0</v>
      </c>
      <c r="AH39" s="174">
        <v>0</v>
      </c>
      <c r="AI39" s="174">
        <v>0</v>
      </c>
      <c r="AJ39" s="174">
        <v>0</v>
      </c>
      <c r="AK39" s="174">
        <v>0</v>
      </c>
      <c r="AL39" s="174">
        <v>0</v>
      </c>
      <c r="AM39" s="174">
        <v>0</v>
      </c>
      <c r="AN39" s="174">
        <v>0</v>
      </c>
      <c r="AO39" s="174">
        <v>0</v>
      </c>
      <c r="AP39" s="174">
        <v>0</v>
      </c>
      <c r="AQ39" s="174">
        <v>0</v>
      </c>
      <c r="AR39" s="174">
        <v>0</v>
      </c>
      <c r="AS39" s="174">
        <v>0</v>
      </c>
      <c r="AT39" s="174">
        <v>0</v>
      </c>
      <c r="AU39" s="174">
        <v>0</v>
      </c>
      <c r="AV39" s="174">
        <v>0</v>
      </c>
      <c r="AW39" s="174">
        <v>0</v>
      </c>
      <c r="AX39" s="174">
        <v>0</v>
      </c>
      <c r="AY39" s="174">
        <v>0</v>
      </c>
      <c r="AZ39" s="174">
        <v>0</v>
      </c>
      <c r="BA39" s="174">
        <v>0</v>
      </c>
      <c r="BB39" s="174">
        <v>0</v>
      </c>
      <c r="BC39" s="174">
        <v>0</v>
      </c>
      <c r="BD39" s="174">
        <v>0</v>
      </c>
      <c r="BE39" s="174">
        <v>0</v>
      </c>
      <c r="BF39" s="174">
        <v>0</v>
      </c>
      <c r="BG39" s="174"/>
      <c r="BH39" s="175"/>
      <c r="BI39" s="166"/>
      <c r="BJ39" s="167"/>
      <c r="BK39" s="168"/>
      <c r="BL39" s="56"/>
      <c r="BM39" s="168"/>
      <c r="BN39" s="169" t="s">
        <v>386</v>
      </c>
      <c r="BO39" s="168"/>
      <c r="BP39" s="168"/>
      <c r="BQ39" s="168"/>
      <c r="BR39" s="207"/>
      <c r="BS39" s="168"/>
      <c r="BT39" s="168"/>
      <c r="BU39" s="167"/>
      <c r="BV39" s="170"/>
      <c r="BW39" s="48"/>
      <c r="BX39" s="168"/>
      <c r="BY39" s="168"/>
      <c r="BZ39" s="48"/>
      <c r="CA39" s="48"/>
      <c r="CB39" s="48"/>
      <c r="CC39" s="167"/>
      <c r="CD39" s="137"/>
      <c r="CE39" s="171"/>
      <c r="CF39" s="172"/>
      <c r="CG39" s="165"/>
    </row>
    <row r="40" spans="1:85" s="138" customFormat="1" ht="15" customHeight="1">
      <c r="A40" s="48"/>
      <c r="B40" s="29"/>
      <c r="C40" s="168"/>
      <c r="D40" s="48"/>
      <c r="E40" s="29"/>
      <c r="F40" s="48"/>
      <c r="G40" s="48"/>
      <c r="H40" s="48"/>
      <c r="I40" s="48"/>
      <c r="J40" s="170"/>
      <c r="K40" s="170"/>
      <c r="L40" s="170"/>
      <c r="M40" s="170"/>
      <c r="N40" s="170"/>
      <c r="O40" s="170"/>
      <c r="P40" s="48"/>
      <c r="Q40" s="48"/>
      <c r="R40" s="170"/>
      <c r="S40" s="170"/>
      <c r="T40" s="170"/>
      <c r="U40" s="170"/>
      <c r="V40" s="170"/>
      <c r="W40" s="170"/>
      <c r="X40" s="173"/>
      <c r="Y40" s="167"/>
      <c r="Z40" s="48"/>
      <c r="AA40" s="48">
        <v>1</v>
      </c>
      <c r="AB40" s="174">
        <v>0</v>
      </c>
      <c r="AC40" s="174"/>
      <c r="AD40" s="174">
        <v>0</v>
      </c>
      <c r="AE40" s="174">
        <v>0</v>
      </c>
      <c r="AF40" s="174">
        <v>0</v>
      </c>
      <c r="AG40" s="174">
        <v>0</v>
      </c>
      <c r="AH40" s="174">
        <v>0</v>
      </c>
      <c r="AI40" s="174">
        <v>0</v>
      </c>
      <c r="AJ40" s="174">
        <v>0</v>
      </c>
      <c r="AK40" s="174">
        <v>0</v>
      </c>
      <c r="AL40" s="174">
        <v>0</v>
      </c>
      <c r="AM40" s="174">
        <v>0</v>
      </c>
      <c r="AN40" s="174">
        <v>0</v>
      </c>
      <c r="AO40" s="174">
        <v>0</v>
      </c>
      <c r="AP40" s="174">
        <v>0</v>
      </c>
      <c r="AQ40" s="174">
        <v>0</v>
      </c>
      <c r="AR40" s="174">
        <v>0</v>
      </c>
      <c r="AS40" s="174">
        <v>0</v>
      </c>
      <c r="AT40" s="174">
        <v>0</v>
      </c>
      <c r="AU40" s="174">
        <v>0</v>
      </c>
      <c r="AV40" s="174">
        <v>0</v>
      </c>
      <c r="AW40" s="174">
        <v>0</v>
      </c>
      <c r="AX40" s="174">
        <v>0</v>
      </c>
      <c r="AY40" s="174">
        <v>0</v>
      </c>
      <c r="AZ40" s="174">
        <v>0</v>
      </c>
      <c r="BA40" s="174">
        <v>0</v>
      </c>
      <c r="BB40" s="174">
        <v>0</v>
      </c>
      <c r="BC40" s="174">
        <v>0</v>
      </c>
      <c r="BD40" s="174">
        <v>0</v>
      </c>
      <c r="BE40" s="174">
        <v>0</v>
      </c>
      <c r="BF40" s="174">
        <v>0</v>
      </c>
      <c r="BG40" s="174"/>
      <c r="BH40" s="175"/>
      <c r="BI40" s="166"/>
      <c r="BJ40" s="167"/>
      <c r="BK40" s="168"/>
      <c r="BL40" s="56"/>
      <c r="BM40" s="168"/>
      <c r="BN40" s="169" t="s">
        <v>386</v>
      </c>
      <c r="BO40" s="168"/>
      <c r="BP40" s="168"/>
      <c r="BQ40" s="168"/>
      <c r="BR40" s="207"/>
      <c r="BS40" s="168"/>
      <c r="BT40" s="168"/>
      <c r="BU40" s="167"/>
      <c r="BV40" s="170"/>
      <c r="BW40" s="48"/>
      <c r="BX40" s="168"/>
      <c r="BY40" s="168"/>
      <c r="BZ40" s="48"/>
      <c r="CA40" s="48"/>
      <c r="CB40" s="48"/>
      <c r="CC40" s="167"/>
      <c r="CD40" s="137"/>
      <c r="CE40" s="171"/>
      <c r="CF40" s="172"/>
      <c r="CG40" s="165"/>
    </row>
    <row r="41" spans="1:85" s="138" customFormat="1" ht="15" customHeight="1">
      <c r="A41" s="48"/>
      <c r="B41" s="29"/>
      <c r="C41" s="168"/>
      <c r="D41" s="48"/>
      <c r="E41" s="29"/>
      <c r="F41" s="48"/>
      <c r="G41" s="48"/>
      <c r="H41" s="48"/>
      <c r="I41" s="48"/>
      <c r="J41" s="170"/>
      <c r="K41" s="170"/>
      <c r="L41" s="170"/>
      <c r="M41" s="170"/>
      <c r="N41" s="170"/>
      <c r="O41" s="170"/>
      <c r="P41" s="48"/>
      <c r="Q41" s="48"/>
      <c r="R41" s="170"/>
      <c r="S41" s="170"/>
      <c r="T41" s="170"/>
      <c r="U41" s="170"/>
      <c r="V41" s="170"/>
      <c r="W41" s="170"/>
      <c r="X41" s="173"/>
      <c r="Y41" s="167"/>
      <c r="Z41" s="48"/>
      <c r="AA41" s="48">
        <v>1</v>
      </c>
      <c r="AB41" s="174">
        <v>0</v>
      </c>
      <c r="AC41" s="174"/>
      <c r="AD41" s="174">
        <v>0</v>
      </c>
      <c r="AE41" s="174">
        <v>0</v>
      </c>
      <c r="AF41" s="174">
        <v>0</v>
      </c>
      <c r="AG41" s="174">
        <v>0</v>
      </c>
      <c r="AH41" s="174">
        <v>0</v>
      </c>
      <c r="AI41" s="174">
        <v>0</v>
      </c>
      <c r="AJ41" s="174">
        <v>0</v>
      </c>
      <c r="AK41" s="174">
        <v>0</v>
      </c>
      <c r="AL41" s="174">
        <v>0</v>
      </c>
      <c r="AM41" s="174">
        <v>0</v>
      </c>
      <c r="AN41" s="174">
        <v>0</v>
      </c>
      <c r="AO41" s="174">
        <v>0</v>
      </c>
      <c r="AP41" s="174">
        <v>0</v>
      </c>
      <c r="AQ41" s="174">
        <v>0</v>
      </c>
      <c r="AR41" s="174">
        <v>0</v>
      </c>
      <c r="AS41" s="174">
        <v>0</v>
      </c>
      <c r="AT41" s="174">
        <v>0</v>
      </c>
      <c r="AU41" s="174">
        <v>0</v>
      </c>
      <c r="AV41" s="174">
        <v>0</v>
      </c>
      <c r="AW41" s="174">
        <v>0</v>
      </c>
      <c r="AX41" s="174">
        <v>0</v>
      </c>
      <c r="AY41" s="174">
        <v>0</v>
      </c>
      <c r="AZ41" s="174">
        <v>0</v>
      </c>
      <c r="BA41" s="174">
        <v>0</v>
      </c>
      <c r="BB41" s="174">
        <v>0</v>
      </c>
      <c r="BC41" s="174">
        <v>0</v>
      </c>
      <c r="BD41" s="174">
        <v>0</v>
      </c>
      <c r="BE41" s="174">
        <v>0</v>
      </c>
      <c r="BF41" s="174">
        <v>0</v>
      </c>
      <c r="BG41" s="174"/>
      <c r="BH41" s="175"/>
      <c r="BI41" s="166"/>
      <c r="BJ41" s="167"/>
      <c r="BK41" s="168"/>
      <c r="BL41" s="56"/>
      <c r="BM41" s="168"/>
      <c r="BN41" s="169" t="s">
        <v>386</v>
      </c>
      <c r="BO41" s="168"/>
      <c r="BP41" s="168"/>
      <c r="BQ41" s="168"/>
      <c r="BR41" s="207"/>
      <c r="BS41" s="168"/>
      <c r="BT41" s="168"/>
      <c r="BU41" s="167"/>
      <c r="BV41" s="170"/>
      <c r="BW41" s="48"/>
      <c r="BX41" s="168"/>
      <c r="BY41" s="168"/>
      <c r="BZ41" s="48"/>
      <c r="CA41" s="48"/>
      <c r="CB41" s="48"/>
      <c r="CC41" s="167"/>
      <c r="CD41" s="137"/>
      <c r="CE41" s="171"/>
      <c r="CF41" s="172"/>
      <c r="CG41" s="165"/>
    </row>
    <row r="42" spans="1:85" s="138" customFormat="1" ht="15" customHeight="1">
      <c r="A42" s="48"/>
      <c r="B42" s="29"/>
      <c r="C42" s="168"/>
      <c r="D42" s="48"/>
      <c r="E42" s="29"/>
      <c r="F42" s="48"/>
      <c r="G42" s="48"/>
      <c r="H42" s="48"/>
      <c r="I42" s="48"/>
      <c r="J42" s="170"/>
      <c r="K42" s="170"/>
      <c r="L42" s="170"/>
      <c r="M42" s="170"/>
      <c r="N42" s="170"/>
      <c r="O42" s="170"/>
      <c r="P42" s="48"/>
      <c r="Q42" s="48"/>
      <c r="R42" s="170"/>
      <c r="S42" s="170"/>
      <c r="T42" s="170"/>
      <c r="U42" s="170"/>
      <c r="V42" s="170"/>
      <c r="W42" s="170"/>
      <c r="X42" s="173"/>
      <c r="Y42" s="167"/>
      <c r="Z42" s="48"/>
      <c r="AA42" s="48">
        <v>1</v>
      </c>
      <c r="AB42" s="174">
        <v>0</v>
      </c>
      <c r="AC42" s="174"/>
      <c r="AD42" s="174">
        <v>0</v>
      </c>
      <c r="AE42" s="174">
        <v>0</v>
      </c>
      <c r="AF42" s="174">
        <v>0</v>
      </c>
      <c r="AG42" s="174">
        <v>0</v>
      </c>
      <c r="AH42" s="174">
        <v>0</v>
      </c>
      <c r="AI42" s="174">
        <v>0</v>
      </c>
      <c r="AJ42" s="174">
        <v>0</v>
      </c>
      <c r="AK42" s="174">
        <v>0</v>
      </c>
      <c r="AL42" s="174">
        <v>0</v>
      </c>
      <c r="AM42" s="174">
        <v>0</v>
      </c>
      <c r="AN42" s="174">
        <v>0</v>
      </c>
      <c r="AO42" s="174">
        <v>0</v>
      </c>
      <c r="AP42" s="174">
        <v>0</v>
      </c>
      <c r="AQ42" s="174">
        <v>0</v>
      </c>
      <c r="AR42" s="174">
        <v>0</v>
      </c>
      <c r="AS42" s="174">
        <v>0</v>
      </c>
      <c r="AT42" s="174">
        <v>0</v>
      </c>
      <c r="AU42" s="174">
        <v>0</v>
      </c>
      <c r="AV42" s="174">
        <v>0</v>
      </c>
      <c r="AW42" s="174">
        <v>0</v>
      </c>
      <c r="AX42" s="174">
        <v>0</v>
      </c>
      <c r="AY42" s="174">
        <v>0</v>
      </c>
      <c r="AZ42" s="174">
        <v>0</v>
      </c>
      <c r="BA42" s="174">
        <v>0</v>
      </c>
      <c r="BB42" s="174">
        <v>0</v>
      </c>
      <c r="BC42" s="174">
        <v>0</v>
      </c>
      <c r="BD42" s="174">
        <v>0</v>
      </c>
      <c r="BE42" s="174">
        <v>0</v>
      </c>
      <c r="BF42" s="174">
        <v>0</v>
      </c>
      <c r="BG42" s="174"/>
      <c r="BH42" s="175"/>
      <c r="BI42" s="166"/>
      <c r="BJ42" s="167"/>
      <c r="BK42" s="168"/>
      <c r="BL42" s="56"/>
      <c r="BM42" s="168"/>
      <c r="BN42" s="169" t="s">
        <v>386</v>
      </c>
      <c r="BO42" s="168"/>
      <c r="BP42" s="168"/>
      <c r="BQ42" s="168"/>
      <c r="BR42" s="207"/>
      <c r="BS42" s="168"/>
      <c r="BT42" s="168"/>
      <c r="BU42" s="167"/>
      <c r="BV42" s="170"/>
      <c r="BW42" s="48"/>
      <c r="BX42" s="168"/>
      <c r="BY42" s="168"/>
      <c r="BZ42" s="48"/>
      <c r="CA42" s="48"/>
      <c r="CB42" s="48"/>
      <c r="CC42" s="167"/>
      <c r="CD42" s="137"/>
      <c r="CE42" s="171"/>
      <c r="CF42" s="172"/>
      <c r="CG42" s="165"/>
    </row>
    <row r="43" spans="1:85" s="138" customFormat="1" ht="15" customHeight="1">
      <c r="A43" s="48"/>
      <c r="B43" s="29"/>
      <c r="C43" s="168"/>
      <c r="D43" s="48"/>
      <c r="E43" s="29"/>
      <c r="F43" s="48"/>
      <c r="G43" s="48"/>
      <c r="H43" s="48"/>
      <c r="I43" s="48"/>
      <c r="J43" s="170"/>
      <c r="K43" s="170"/>
      <c r="L43" s="170"/>
      <c r="M43" s="170"/>
      <c r="N43" s="170"/>
      <c r="O43" s="170"/>
      <c r="P43" s="48"/>
      <c r="Q43" s="48"/>
      <c r="R43" s="170"/>
      <c r="S43" s="170"/>
      <c r="T43" s="170"/>
      <c r="U43" s="170"/>
      <c r="V43" s="170"/>
      <c r="W43" s="170"/>
      <c r="X43" s="173"/>
      <c r="Y43" s="167"/>
      <c r="Z43" s="48"/>
      <c r="AA43" s="48">
        <v>1</v>
      </c>
      <c r="AB43" s="174">
        <v>0</v>
      </c>
      <c r="AC43" s="174"/>
      <c r="AD43" s="174">
        <v>0</v>
      </c>
      <c r="AE43" s="174">
        <v>0</v>
      </c>
      <c r="AF43" s="174">
        <v>0</v>
      </c>
      <c r="AG43" s="174">
        <v>0</v>
      </c>
      <c r="AH43" s="174">
        <v>0</v>
      </c>
      <c r="AI43" s="174">
        <v>0</v>
      </c>
      <c r="AJ43" s="174">
        <v>0</v>
      </c>
      <c r="AK43" s="174">
        <v>0</v>
      </c>
      <c r="AL43" s="174">
        <v>0</v>
      </c>
      <c r="AM43" s="174">
        <v>0</v>
      </c>
      <c r="AN43" s="174">
        <v>0</v>
      </c>
      <c r="AO43" s="174">
        <v>0</v>
      </c>
      <c r="AP43" s="174">
        <v>0</v>
      </c>
      <c r="AQ43" s="174">
        <v>0</v>
      </c>
      <c r="AR43" s="174">
        <v>0</v>
      </c>
      <c r="AS43" s="174">
        <v>0</v>
      </c>
      <c r="AT43" s="174">
        <v>0</v>
      </c>
      <c r="AU43" s="174">
        <v>0</v>
      </c>
      <c r="AV43" s="174">
        <v>0</v>
      </c>
      <c r="AW43" s="174">
        <v>0</v>
      </c>
      <c r="AX43" s="174">
        <v>0</v>
      </c>
      <c r="AY43" s="174">
        <v>0</v>
      </c>
      <c r="AZ43" s="174">
        <v>0</v>
      </c>
      <c r="BA43" s="174">
        <v>0</v>
      </c>
      <c r="BB43" s="174">
        <v>0</v>
      </c>
      <c r="BC43" s="174">
        <v>0</v>
      </c>
      <c r="BD43" s="174">
        <v>0</v>
      </c>
      <c r="BE43" s="174">
        <v>0</v>
      </c>
      <c r="BF43" s="174">
        <v>0</v>
      </c>
      <c r="BG43" s="174"/>
      <c r="BH43" s="175"/>
      <c r="BI43" s="166"/>
      <c r="BJ43" s="167"/>
      <c r="BK43" s="168"/>
      <c r="BL43" s="56"/>
      <c r="BM43" s="168"/>
      <c r="BN43" s="169" t="s">
        <v>386</v>
      </c>
      <c r="BO43" s="168"/>
      <c r="BP43" s="168"/>
      <c r="BQ43" s="168"/>
      <c r="BR43" s="207"/>
      <c r="BS43" s="168"/>
      <c r="BT43" s="168"/>
      <c r="BU43" s="167"/>
      <c r="BV43" s="170"/>
      <c r="BW43" s="48"/>
      <c r="BX43" s="168"/>
      <c r="BY43" s="168"/>
      <c r="BZ43" s="48"/>
      <c r="CA43" s="48"/>
      <c r="CB43" s="48"/>
      <c r="CC43" s="167"/>
      <c r="CD43" s="137"/>
      <c r="CE43" s="171"/>
      <c r="CF43" s="172"/>
      <c r="CG43" s="165"/>
    </row>
    <row r="44" spans="1:85" s="138" customFormat="1" ht="15" customHeight="1">
      <c r="A44" s="48"/>
      <c r="B44" s="29"/>
      <c r="C44" s="168"/>
      <c r="D44" s="48"/>
      <c r="E44" s="29"/>
      <c r="F44" s="48"/>
      <c r="G44" s="48"/>
      <c r="H44" s="48"/>
      <c r="I44" s="48"/>
      <c r="J44" s="170"/>
      <c r="K44" s="170"/>
      <c r="L44" s="170"/>
      <c r="M44" s="170"/>
      <c r="N44" s="170"/>
      <c r="O44" s="170"/>
      <c r="P44" s="48"/>
      <c r="Q44" s="48"/>
      <c r="R44" s="170"/>
      <c r="S44" s="170"/>
      <c r="T44" s="170"/>
      <c r="U44" s="170"/>
      <c r="V44" s="170"/>
      <c r="W44" s="170"/>
      <c r="X44" s="173"/>
      <c r="Y44" s="167"/>
      <c r="Z44" s="48"/>
      <c r="AA44" s="48">
        <v>1</v>
      </c>
      <c r="AB44" s="174">
        <v>0</v>
      </c>
      <c r="AC44" s="174"/>
      <c r="AD44" s="174">
        <v>0</v>
      </c>
      <c r="AE44" s="174">
        <v>0</v>
      </c>
      <c r="AF44" s="174">
        <v>0</v>
      </c>
      <c r="AG44" s="174">
        <v>0</v>
      </c>
      <c r="AH44" s="174">
        <v>0</v>
      </c>
      <c r="AI44" s="174">
        <v>0</v>
      </c>
      <c r="AJ44" s="174">
        <v>0</v>
      </c>
      <c r="AK44" s="174">
        <v>0</v>
      </c>
      <c r="AL44" s="174">
        <v>0</v>
      </c>
      <c r="AM44" s="174">
        <v>0</v>
      </c>
      <c r="AN44" s="174">
        <v>0</v>
      </c>
      <c r="AO44" s="174">
        <v>0</v>
      </c>
      <c r="AP44" s="174">
        <v>0</v>
      </c>
      <c r="AQ44" s="174">
        <v>0</v>
      </c>
      <c r="AR44" s="174">
        <v>0</v>
      </c>
      <c r="AS44" s="174">
        <v>0</v>
      </c>
      <c r="AT44" s="174">
        <v>0</v>
      </c>
      <c r="AU44" s="174">
        <v>0</v>
      </c>
      <c r="AV44" s="174">
        <v>0</v>
      </c>
      <c r="AW44" s="174">
        <v>0</v>
      </c>
      <c r="AX44" s="174">
        <v>0</v>
      </c>
      <c r="AY44" s="174">
        <v>0</v>
      </c>
      <c r="AZ44" s="174">
        <v>0</v>
      </c>
      <c r="BA44" s="174">
        <v>0</v>
      </c>
      <c r="BB44" s="174">
        <v>0</v>
      </c>
      <c r="BC44" s="174">
        <v>0</v>
      </c>
      <c r="BD44" s="174">
        <v>0</v>
      </c>
      <c r="BE44" s="174">
        <v>0</v>
      </c>
      <c r="BF44" s="174">
        <v>0</v>
      </c>
      <c r="BG44" s="174"/>
      <c r="BH44" s="175"/>
      <c r="BI44" s="166"/>
      <c r="BJ44" s="167"/>
      <c r="BK44" s="168"/>
      <c r="BL44" s="56"/>
      <c r="BM44" s="168"/>
      <c r="BN44" s="169" t="s">
        <v>386</v>
      </c>
      <c r="BO44" s="168"/>
      <c r="BP44" s="168"/>
      <c r="BQ44" s="168"/>
      <c r="BR44" s="207"/>
      <c r="BS44" s="168"/>
      <c r="BT44" s="168"/>
      <c r="BU44" s="167"/>
      <c r="BV44" s="170"/>
      <c r="BW44" s="48"/>
      <c r="BX44" s="168"/>
      <c r="BY44" s="168"/>
      <c r="BZ44" s="48"/>
      <c r="CA44" s="48"/>
      <c r="CB44" s="48"/>
      <c r="CC44" s="167"/>
      <c r="CD44" s="137"/>
      <c r="CE44" s="171"/>
      <c r="CF44" s="172"/>
      <c r="CG44" s="165"/>
    </row>
    <row r="45" spans="1:85" s="138" customFormat="1" ht="15" customHeight="1">
      <c r="A45" s="48"/>
      <c r="B45" s="29"/>
      <c r="C45" s="168"/>
      <c r="D45" s="48"/>
      <c r="E45" s="29"/>
      <c r="F45" s="48"/>
      <c r="G45" s="48"/>
      <c r="H45" s="48"/>
      <c r="I45" s="48"/>
      <c r="J45" s="170"/>
      <c r="K45" s="170"/>
      <c r="L45" s="170"/>
      <c r="M45" s="170"/>
      <c r="N45" s="170"/>
      <c r="O45" s="170"/>
      <c r="P45" s="48"/>
      <c r="Q45" s="48"/>
      <c r="R45" s="170"/>
      <c r="S45" s="170"/>
      <c r="T45" s="170"/>
      <c r="U45" s="170"/>
      <c r="V45" s="170"/>
      <c r="W45" s="170"/>
      <c r="X45" s="173"/>
      <c r="Y45" s="167"/>
      <c r="Z45" s="48"/>
      <c r="AA45" s="48">
        <v>1</v>
      </c>
      <c r="AB45" s="174">
        <v>0</v>
      </c>
      <c r="AC45" s="174"/>
      <c r="AD45" s="174">
        <v>0</v>
      </c>
      <c r="AE45" s="174">
        <v>0</v>
      </c>
      <c r="AF45" s="174">
        <v>0</v>
      </c>
      <c r="AG45" s="174">
        <v>0</v>
      </c>
      <c r="AH45" s="174">
        <v>0</v>
      </c>
      <c r="AI45" s="174">
        <v>0</v>
      </c>
      <c r="AJ45" s="174">
        <v>0</v>
      </c>
      <c r="AK45" s="174">
        <v>0</v>
      </c>
      <c r="AL45" s="174">
        <v>0</v>
      </c>
      <c r="AM45" s="174">
        <v>0</v>
      </c>
      <c r="AN45" s="174">
        <v>0</v>
      </c>
      <c r="AO45" s="174">
        <v>0</v>
      </c>
      <c r="AP45" s="174">
        <v>0</v>
      </c>
      <c r="AQ45" s="174">
        <v>0</v>
      </c>
      <c r="AR45" s="174">
        <v>0</v>
      </c>
      <c r="AS45" s="174">
        <v>0</v>
      </c>
      <c r="AT45" s="174">
        <v>0</v>
      </c>
      <c r="AU45" s="174">
        <v>0</v>
      </c>
      <c r="AV45" s="174">
        <v>0</v>
      </c>
      <c r="AW45" s="174">
        <v>0</v>
      </c>
      <c r="AX45" s="174">
        <v>0</v>
      </c>
      <c r="AY45" s="174">
        <v>0</v>
      </c>
      <c r="AZ45" s="174">
        <v>0</v>
      </c>
      <c r="BA45" s="174">
        <v>0</v>
      </c>
      <c r="BB45" s="174">
        <v>0</v>
      </c>
      <c r="BC45" s="174">
        <v>0</v>
      </c>
      <c r="BD45" s="174">
        <v>0</v>
      </c>
      <c r="BE45" s="174">
        <v>0</v>
      </c>
      <c r="BF45" s="174">
        <v>0</v>
      </c>
      <c r="BG45" s="174"/>
      <c r="BH45" s="175"/>
      <c r="BI45" s="166"/>
      <c r="BJ45" s="167"/>
      <c r="BK45" s="168"/>
      <c r="BL45" s="56"/>
      <c r="BM45" s="168"/>
      <c r="BN45" s="169" t="s">
        <v>386</v>
      </c>
      <c r="BO45" s="168"/>
      <c r="BP45" s="168"/>
      <c r="BQ45" s="168"/>
      <c r="BR45" s="207"/>
      <c r="BS45" s="168"/>
      <c r="BT45" s="168"/>
      <c r="BU45" s="167"/>
      <c r="BV45" s="170"/>
      <c r="BW45" s="48"/>
      <c r="BX45" s="168"/>
      <c r="BY45" s="168"/>
      <c r="BZ45" s="48"/>
      <c r="CA45" s="48"/>
      <c r="CB45" s="48"/>
      <c r="CC45" s="167"/>
      <c r="CD45" s="137"/>
      <c r="CE45" s="171"/>
      <c r="CF45" s="172"/>
      <c r="CG45" s="165"/>
    </row>
    <row r="46" spans="1:85" s="138" customFormat="1" ht="15" customHeight="1">
      <c r="A46" s="48"/>
      <c r="B46" s="29"/>
      <c r="C46" s="168"/>
      <c r="D46" s="48"/>
      <c r="E46" s="29"/>
      <c r="F46" s="48"/>
      <c r="G46" s="48"/>
      <c r="H46" s="48"/>
      <c r="I46" s="48"/>
      <c r="J46" s="170"/>
      <c r="K46" s="170"/>
      <c r="L46" s="170"/>
      <c r="M46" s="170"/>
      <c r="N46" s="170"/>
      <c r="O46" s="170"/>
      <c r="P46" s="48"/>
      <c r="Q46" s="48"/>
      <c r="R46" s="170"/>
      <c r="S46" s="170"/>
      <c r="T46" s="170"/>
      <c r="U46" s="170"/>
      <c r="V46" s="170"/>
      <c r="W46" s="170"/>
      <c r="X46" s="173"/>
      <c r="Y46" s="167"/>
      <c r="Z46" s="48"/>
      <c r="AA46" s="48">
        <v>1</v>
      </c>
      <c r="AB46" s="174">
        <v>0</v>
      </c>
      <c r="AC46" s="174"/>
      <c r="AD46" s="174">
        <v>0</v>
      </c>
      <c r="AE46" s="174">
        <v>0</v>
      </c>
      <c r="AF46" s="174">
        <v>0</v>
      </c>
      <c r="AG46" s="174">
        <v>0</v>
      </c>
      <c r="AH46" s="174">
        <v>0</v>
      </c>
      <c r="AI46" s="174">
        <v>0</v>
      </c>
      <c r="AJ46" s="174">
        <v>0</v>
      </c>
      <c r="AK46" s="174">
        <v>0</v>
      </c>
      <c r="AL46" s="174">
        <v>0</v>
      </c>
      <c r="AM46" s="174">
        <v>0</v>
      </c>
      <c r="AN46" s="174">
        <v>0</v>
      </c>
      <c r="AO46" s="174">
        <v>0</v>
      </c>
      <c r="AP46" s="174">
        <v>0</v>
      </c>
      <c r="AQ46" s="174">
        <v>0</v>
      </c>
      <c r="AR46" s="174">
        <v>0</v>
      </c>
      <c r="AS46" s="174">
        <v>0</v>
      </c>
      <c r="AT46" s="174">
        <v>0</v>
      </c>
      <c r="AU46" s="174">
        <v>0</v>
      </c>
      <c r="AV46" s="174">
        <v>0</v>
      </c>
      <c r="AW46" s="174">
        <v>0</v>
      </c>
      <c r="AX46" s="174">
        <v>0</v>
      </c>
      <c r="AY46" s="174">
        <v>0</v>
      </c>
      <c r="AZ46" s="174">
        <v>0</v>
      </c>
      <c r="BA46" s="174">
        <v>0</v>
      </c>
      <c r="BB46" s="174">
        <v>0</v>
      </c>
      <c r="BC46" s="174">
        <v>0</v>
      </c>
      <c r="BD46" s="174">
        <v>0</v>
      </c>
      <c r="BE46" s="174">
        <v>0</v>
      </c>
      <c r="BF46" s="174">
        <v>0</v>
      </c>
      <c r="BG46" s="174"/>
      <c r="BH46" s="175"/>
      <c r="BI46" s="166"/>
      <c r="BJ46" s="167"/>
      <c r="BK46" s="168"/>
      <c r="BL46" s="56"/>
      <c r="BM46" s="168"/>
      <c r="BN46" s="169" t="s">
        <v>386</v>
      </c>
      <c r="BO46" s="168"/>
      <c r="BP46" s="168"/>
      <c r="BQ46" s="168"/>
      <c r="BR46" s="207"/>
      <c r="BS46" s="168"/>
      <c r="BT46" s="168"/>
      <c r="BU46" s="167"/>
      <c r="BV46" s="170"/>
      <c r="BW46" s="48"/>
      <c r="BX46" s="168"/>
      <c r="BY46" s="168"/>
      <c r="BZ46" s="48"/>
      <c r="CA46" s="48"/>
      <c r="CB46" s="48"/>
      <c r="CC46" s="167"/>
      <c r="CD46" s="137"/>
      <c r="CE46" s="171"/>
      <c r="CF46" s="172"/>
      <c r="CG46" s="165"/>
    </row>
    <row r="47" spans="1:85" s="138" customFormat="1" ht="15" customHeight="1">
      <c r="A47" s="48"/>
      <c r="B47" s="29"/>
      <c r="C47" s="168"/>
      <c r="D47" s="48"/>
      <c r="E47" s="29"/>
      <c r="F47" s="48"/>
      <c r="G47" s="48"/>
      <c r="H47" s="48"/>
      <c r="I47" s="48"/>
      <c r="J47" s="170"/>
      <c r="K47" s="170"/>
      <c r="L47" s="170"/>
      <c r="M47" s="170"/>
      <c r="N47" s="170"/>
      <c r="O47" s="170"/>
      <c r="P47" s="48"/>
      <c r="Q47" s="48"/>
      <c r="R47" s="170"/>
      <c r="S47" s="170"/>
      <c r="T47" s="170"/>
      <c r="U47" s="170"/>
      <c r="V47" s="170"/>
      <c r="W47" s="170"/>
      <c r="X47" s="173"/>
      <c r="Y47" s="167"/>
      <c r="Z47" s="48"/>
      <c r="AA47" s="48">
        <v>1</v>
      </c>
      <c r="AB47" s="174">
        <v>0</v>
      </c>
      <c r="AC47" s="174"/>
      <c r="AD47" s="174">
        <v>0</v>
      </c>
      <c r="AE47" s="174">
        <v>0</v>
      </c>
      <c r="AF47" s="174">
        <v>0</v>
      </c>
      <c r="AG47" s="174">
        <v>0</v>
      </c>
      <c r="AH47" s="174">
        <v>0</v>
      </c>
      <c r="AI47" s="174">
        <v>0</v>
      </c>
      <c r="AJ47" s="174">
        <v>0</v>
      </c>
      <c r="AK47" s="174">
        <v>0</v>
      </c>
      <c r="AL47" s="174">
        <v>0</v>
      </c>
      <c r="AM47" s="174">
        <v>0</v>
      </c>
      <c r="AN47" s="174">
        <v>0</v>
      </c>
      <c r="AO47" s="174">
        <v>0</v>
      </c>
      <c r="AP47" s="174">
        <v>0</v>
      </c>
      <c r="AQ47" s="174">
        <v>0</v>
      </c>
      <c r="AR47" s="174">
        <v>0</v>
      </c>
      <c r="AS47" s="174">
        <v>0</v>
      </c>
      <c r="AT47" s="174">
        <v>0</v>
      </c>
      <c r="AU47" s="174">
        <v>0</v>
      </c>
      <c r="AV47" s="174">
        <v>0</v>
      </c>
      <c r="AW47" s="174">
        <v>0</v>
      </c>
      <c r="AX47" s="174">
        <v>0</v>
      </c>
      <c r="AY47" s="174">
        <v>0</v>
      </c>
      <c r="AZ47" s="174">
        <v>0</v>
      </c>
      <c r="BA47" s="174">
        <v>0</v>
      </c>
      <c r="BB47" s="174">
        <v>0</v>
      </c>
      <c r="BC47" s="174">
        <v>0</v>
      </c>
      <c r="BD47" s="174">
        <v>0</v>
      </c>
      <c r="BE47" s="174">
        <v>0</v>
      </c>
      <c r="BF47" s="174">
        <v>0</v>
      </c>
      <c r="BG47" s="174"/>
      <c r="BH47" s="175"/>
      <c r="BI47" s="166"/>
      <c r="BJ47" s="167"/>
      <c r="BK47" s="168"/>
      <c r="BL47" s="56"/>
      <c r="BM47" s="168"/>
      <c r="BN47" s="169" t="s">
        <v>386</v>
      </c>
      <c r="BO47" s="168"/>
      <c r="BP47" s="168"/>
      <c r="BQ47" s="168"/>
      <c r="BR47" s="207"/>
      <c r="BS47" s="168"/>
      <c r="BT47" s="168"/>
      <c r="BU47" s="167"/>
      <c r="BV47" s="170"/>
      <c r="BW47" s="48"/>
      <c r="BX47" s="168"/>
      <c r="BY47" s="168"/>
      <c r="BZ47" s="48"/>
      <c r="CA47" s="48"/>
      <c r="CB47" s="48"/>
      <c r="CC47" s="167"/>
      <c r="CD47" s="137"/>
      <c r="CE47" s="171"/>
      <c r="CF47" s="172"/>
      <c r="CG47" s="165"/>
    </row>
    <row r="48" spans="1:85" s="138" customFormat="1" ht="15" customHeight="1">
      <c r="A48" s="48"/>
      <c r="B48" s="29"/>
      <c r="C48" s="168"/>
      <c r="D48" s="48"/>
      <c r="E48" s="29"/>
      <c r="F48" s="48"/>
      <c r="G48" s="48"/>
      <c r="H48" s="48"/>
      <c r="I48" s="48"/>
      <c r="J48" s="170"/>
      <c r="K48" s="170"/>
      <c r="L48" s="170"/>
      <c r="M48" s="170"/>
      <c r="N48" s="170"/>
      <c r="O48" s="170"/>
      <c r="P48" s="48"/>
      <c r="Q48" s="48"/>
      <c r="R48" s="170"/>
      <c r="S48" s="170"/>
      <c r="T48" s="170"/>
      <c r="U48" s="170"/>
      <c r="V48" s="170"/>
      <c r="W48" s="170"/>
      <c r="X48" s="173"/>
      <c r="Y48" s="167"/>
      <c r="Z48" s="48"/>
      <c r="AA48" s="48">
        <v>1</v>
      </c>
      <c r="AB48" s="174">
        <v>0</v>
      </c>
      <c r="AC48" s="174"/>
      <c r="AD48" s="174">
        <v>0</v>
      </c>
      <c r="AE48" s="174">
        <v>0</v>
      </c>
      <c r="AF48" s="174">
        <v>0</v>
      </c>
      <c r="AG48" s="174">
        <v>0</v>
      </c>
      <c r="AH48" s="174">
        <v>0</v>
      </c>
      <c r="AI48" s="174">
        <v>0</v>
      </c>
      <c r="AJ48" s="174">
        <v>0</v>
      </c>
      <c r="AK48" s="174">
        <v>0</v>
      </c>
      <c r="AL48" s="174">
        <v>0</v>
      </c>
      <c r="AM48" s="174">
        <v>0</v>
      </c>
      <c r="AN48" s="174">
        <v>0</v>
      </c>
      <c r="AO48" s="174">
        <v>0</v>
      </c>
      <c r="AP48" s="174">
        <v>0</v>
      </c>
      <c r="AQ48" s="174">
        <v>0</v>
      </c>
      <c r="AR48" s="174">
        <v>0</v>
      </c>
      <c r="AS48" s="174">
        <v>0</v>
      </c>
      <c r="AT48" s="174">
        <v>0</v>
      </c>
      <c r="AU48" s="174">
        <v>0</v>
      </c>
      <c r="AV48" s="174">
        <v>0</v>
      </c>
      <c r="AW48" s="174">
        <v>0</v>
      </c>
      <c r="AX48" s="174">
        <v>0</v>
      </c>
      <c r="AY48" s="174">
        <v>0</v>
      </c>
      <c r="AZ48" s="174">
        <v>0</v>
      </c>
      <c r="BA48" s="174">
        <v>0</v>
      </c>
      <c r="BB48" s="174">
        <v>0</v>
      </c>
      <c r="BC48" s="174">
        <v>0</v>
      </c>
      <c r="BD48" s="174">
        <v>0</v>
      </c>
      <c r="BE48" s="174">
        <v>0</v>
      </c>
      <c r="BF48" s="174">
        <v>0</v>
      </c>
      <c r="BG48" s="174"/>
      <c r="BH48" s="175"/>
      <c r="BI48" s="166"/>
      <c r="BJ48" s="167"/>
      <c r="BK48" s="168"/>
      <c r="BL48" s="56"/>
      <c r="BM48" s="168"/>
      <c r="BN48" s="169" t="s">
        <v>386</v>
      </c>
      <c r="BO48" s="168"/>
      <c r="BP48" s="168"/>
      <c r="BQ48" s="168"/>
      <c r="BR48" s="207"/>
      <c r="BS48" s="168"/>
      <c r="BT48" s="168"/>
      <c r="BU48" s="167"/>
      <c r="BV48" s="170"/>
      <c r="BW48" s="48"/>
      <c r="BX48" s="168"/>
      <c r="BY48" s="168"/>
      <c r="BZ48" s="48"/>
      <c r="CA48" s="48"/>
      <c r="CB48" s="48"/>
      <c r="CC48" s="167"/>
      <c r="CD48" s="137"/>
      <c r="CE48" s="171"/>
      <c r="CF48" s="172"/>
      <c r="CG48" s="165"/>
    </row>
    <row r="49" spans="1:85" s="138" customFormat="1" ht="15" customHeight="1">
      <c r="A49" s="48"/>
      <c r="B49" s="29"/>
      <c r="C49" s="168"/>
      <c r="D49" s="48"/>
      <c r="E49" s="29"/>
      <c r="F49" s="48"/>
      <c r="G49" s="48"/>
      <c r="H49" s="48"/>
      <c r="I49" s="48"/>
      <c r="J49" s="170"/>
      <c r="K49" s="170"/>
      <c r="L49" s="170"/>
      <c r="M49" s="170"/>
      <c r="N49" s="170"/>
      <c r="O49" s="170"/>
      <c r="P49" s="48"/>
      <c r="Q49" s="48"/>
      <c r="R49" s="170"/>
      <c r="S49" s="170"/>
      <c r="T49" s="170"/>
      <c r="U49" s="170"/>
      <c r="V49" s="170"/>
      <c r="W49" s="170"/>
      <c r="X49" s="173"/>
      <c r="Y49" s="167"/>
      <c r="Z49" s="48"/>
      <c r="AA49" s="48">
        <v>1</v>
      </c>
      <c r="AB49" s="174">
        <v>0</v>
      </c>
      <c r="AC49" s="174"/>
      <c r="AD49" s="174">
        <v>0</v>
      </c>
      <c r="AE49" s="174">
        <v>0</v>
      </c>
      <c r="AF49" s="174">
        <v>0</v>
      </c>
      <c r="AG49" s="174">
        <v>0</v>
      </c>
      <c r="AH49" s="174">
        <v>0</v>
      </c>
      <c r="AI49" s="174">
        <v>0</v>
      </c>
      <c r="AJ49" s="174">
        <v>0</v>
      </c>
      <c r="AK49" s="174">
        <v>0</v>
      </c>
      <c r="AL49" s="174">
        <v>0</v>
      </c>
      <c r="AM49" s="174">
        <v>0</v>
      </c>
      <c r="AN49" s="174">
        <v>0</v>
      </c>
      <c r="AO49" s="174">
        <v>0</v>
      </c>
      <c r="AP49" s="174">
        <v>0</v>
      </c>
      <c r="AQ49" s="174">
        <v>0</v>
      </c>
      <c r="AR49" s="174">
        <v>0</v>
      </c>
      <c r="AS49" s="174">
        <v>0</v>
      </c>
      <c r="AT49" s="174">
        <v>0</v>
      </c>
      <c r="AU49" s="174">
        <v>0</v>
      </c>
      <c r="AV49" s="174">
        <v>0</v>
      </c>
      <c r="AW49" s="174">
        <v>0</v>
      </c>
      <c r="AX49" s="174">
        <v>0</v>
      </c>
      <c r="AY49" s="174">
        <v>0</v>
      </c>
      <c r="AZ49" s="174">
        <v>0</v>
      </c>
      <c r="BA49" s="174">
        <v>0</v>
      </c>
      <c r="BB49" s="174">
        <v>0</v>
      </c>
      <c r="BC49" s="174">
        <v>0</v>
      </c>
      <c r="BD49" s="174">
        <v>0</v>
      </c>
      <c r="BE49" s="174">
        <v>0</v>
      </c>
      <c r="BF49" s="174">
        <v>0</v>
      </c>
      <c r="BG49" s="174"/>
      <c r="BH49" s="175"/>
      <c r="BI49" s="166"/>
      <c r="BJ49" s="167"/>
      <c r="BK49" s="168"/>
      <c r="BL49" s="56"/>
      <c r="BM49" s="168"/>
      <c r="BN49" s="169" t="s">
        <v>386</v>
      </c>
      <c r="BO49" s="168"/>
      <c r="BP49" s="168"/>
      <c r="BQ49" s="168"/>
      <c r="BR49" s="207"/>
      <c r="BS49" s="168"/>
      <c r="BT49" s="168"/>
      <c r="BU49" s="167"/>
      <c r="BV49" s="170"/>
      <c r="BW49" s="48"/>
      <c r="BX49" s="168"/>
      <c r="BY49" s="168"/>
      <c r="BZ49" s="48"/>
      <c r="CA49" s="48"/>
      <c r="CB49" s="48"/>
      <c r="CC49" s="167"/>
      <c r="CD49" s="137"/>
      <c r="CE49" s="171"/>
      <c r="CF49" s="172"/>
      <c r="CG49" s="165"/>
    </row>
    <row r="50" spans="1:85" s="138" customFormat="1" ht="15" customHeight="1">
      <c r="A50" s="48"/>
      <c r="B50" s="29"/>
      <c r="C50" s="168"/>
      <c r="D50" s="48"/>
      <c r="E50" s="29"/>
      <c r="F50" s="48"/>
      <c r="G50" s="48"/>
      <c r="H50" s="48"/>
      <c r="I50" s="48"/>
      <c r="J50" s="170"/>
      <c r="K50" s="170"/>
      <c r="L50" s="170"/>
      <c r="M50" s="170"/>
      <c r="N50" s="170"/>
      <c r="O50" s="170"/>
      <c r="P50" s="48"/>
      <c r="Q50" s="48"/>
      <c r="R50" s="170"/>
      <c r="S50" s="170"/>
      <c r="T50" s="170"/>
      <c r="U50" s="170"/>
      <c r="V50" s="170"/>
      <c r="W50" s="170"/>
      <c r="X50" s="173"/>
      <c r="Y50" s="167"/>
      <c r="Z50" s="48"/>
      <c r="AA50" s="48">
        <v>1</v>
      </c>
      <c r="AB50" s="174">
        <v>0</v>
      </c>
      <c r="AC50" s="174"/>
      <c r="AD50" s="174">
        <v>0</v>
      </c>
      <c r="AE50" s="174">
        <v>0</v>
      </c>
      <c r="AF50" s="174">
        <v>0</v>
      </c>
      <c r="AG50" s="174">
        <v>0</v>
      </c>
      <c r="AH50" s="174">
        <v>0</v>
      </c>
      <c r="AI50" s="174">
        <v>0</v>
      </c>
      <c r="AJ50" s="174">
        <v>0</v>
      </c>
      <c r="AK50" s="174">
        <v>0</v>
      </c>
      <c r="AL50" s="174">
        <v>0</v>
      </c>
      <c r="AM50" s="174">
        <v>0</v>
      </c>
      <c r="AN50" s="174">
        <v>0</v>
      </c>
      <c r="AO50" s="174">
        <v>0</v>
      </c>
      <c r="AP50" s="174">
        <v>0</v>
      </c>
      <c r="AQ50" s="174">
        <v>0</v>
      </c>
      <c r="AR50" s="174">
        <v>0</v>
      </c>
      <c r="AS50" s="174">
        <v>0</v>
      </c>
      <c r="AT50" s="174">
        <v>0</v>
      </c>
      <c r="AU50" s="174">
        <v>0</v>
      </c>
      <c r="AV50" s="174">
        <v>0</v>
      </c>
      <c r="AW50" s="174">
        <v>0</v>
      </c>
      <c r="AX50" s="174">
        <v>0</v>
      </c>
      <c r="AY50" s="174">
        <v>0</v>
      </c>
      <c r="AZ50" s="174">
        <v>0</v>
      </c>
      <c r="BA50" s="174">
        <v>0</v>
      </c>
      <c r="BB50" s="174">
        <v>0</v>
      </c>
      <c r="BC50" s="174">
        <v>0</v>
      </c>
      <c r="BD50" s="174">
        <v>0</v>
      </c>
      <c r="BE50" s="174">
        <v>0</v>
      </c>
      <c r="BF50" s="174">
        <v>0</v>
      </c>
      <c r="BG50" s="174"/>
      <c r="BH50" s="175"/>
      <c r="BI50" s="166"/>
      <c r="BJ50" s="167"/>
      <c r="BK50" s="168"/>
      <c r="BL50" s="56"/>
      <c r="BM50" s="168"/>
      <c r="BN50" s="169" t="s">
        <v>386</v>
      </c>
      <c r="BO50" s="168"/>
      <c r="BP50" s="168"/>
      <c r="BQ50" s="168"/>
      <c r="BR50" s="207"/>
      <c r="BS50" s="168"/>
      <c r="BT50" s="168"/>
      <c r="BU50" s="167"/>
      <c r="BV50" s="170"/>
      <c r="BW50" s="48"/>
      <c r="BX50" s="168"/>
      <c r="BY50" s="168"/>
      <c r="BZ50" s="48"/>
      <c r="CA50" s="48"/>
      <c r="CB50" s="48"/>
      <c r="CC50" s="167"/>
      <c r="CD50" s="137"/>
      <c r="CE50" s="171"/>
      <c r="CF50" s="172"/>
      <c r="CG50" s="165"/>
    </row>
    <row r="51" spans="1:85" s="138" customFormat="1" ht="15" customHeight="1">
      <c r="A51" s="48"/>
      <c r="B51" s="29"/>
      <c r="C51" s="168"/>
      <c r="D51" s="48"/>
      <c r="E51" s="29"/>
      <c r="F51" s="48"/>
      <c r="G51" s="48"/>
      <c r="H51" s="48"/>
      <c r="I51" s="48"/>
      <c r="J51" s="170"/>
      <c r="K51" s="170"/>
      <c r="L51" s="170"/>
      <c r="M51" s="170"/>
      <c r="N51" s="170"/>
      <c r="O51" s="170"/>
      <c r="P51" s="48"/>
      <c r="Q51" s="48"/>
      <c r="R51" s="170"/>
      <c r="S51" s="170"/>
      <c r="T51" s="170"/>
      <c r="U51" s="170"/>
      <c r="V51" s="170"/>
      <c r="W51" s="170"/>
      <c r="X51" s="173"/>
      <c r="Y51" s="167"/>
      <c r="Z51" s="48"/>
      <c r="AA51" s="48">
        <v>1</v>
      </c>
      <c r="AB51" s="174">
        <v>0</v>
      </c>
      <c r="AC51" s="174"/>
      <c r="AD51" s="174">
        <v>0</v>
      </c>
      <c r="AE51" s="174">
        <v>0</v>
      </c>
      <c r="AF51" s="174">
        <v>0</v>
      </c>
      <c r="AG51" s="174">
        <v>0</v>
      </c>
      <c r="AH51" s="174">
        <v>0</v>
      </c>
      <c r="AI51" s="174">
        <v>0</v>
      </c>
      <c r="AJ51" s="174">
        <v>0</v>
      </c>
      <c r="AK51" s="174">
        <v>0</v>
      </c>
      <c r="AL51" s="174">
        <v>0</v>
      </c>
      <c r="AM51" s="174">
        <v>0</v>
      </c>
      <c r="AN51" s="174">
        <v>0</v>
      </c>
      <c r="AO51" s="174">
        <v>0</v>
      </c>
      <c r="AP51" s="174">
        <v>0</v>
      </c>
      <c r="AQ51" s="174">
        <v>0</v>
      </c>
      <c r="AR51" s="174">
        <v>0</v>
      </c>
      <c r="AS51" s="174">
        <v>0</v>
      </c>
      <c r="AT51" s="174">
        <v>0</v>
      </c>
      <c r="AU51" s="174">
        <v>0</v>
      </c>
      <c r="AV51" s="174">
        <v>0</v>
      </c>
      <c r="AW51" s="174">
        <v>0</v>
      </c>
      <c r="AX51" s="174">
        <v>0</v>
      </c>
      <c r="AY51" s="174">
        <v>0</v>
      </c>
      <c r="AZ51" s="174">
        <v>0</v>
      </c>
      <c r="BA51" s="174">
        <v>0</v>
      </c>
      <c r="BB51" s="174">
        <v>0</v>
      </c>
      <c r="BC51" s="174">
        <v>0</v>
      </c>
      <c r="BD51" s="174">
        <v>0</v>
      </c>
      <c r="BE51" s="174">
        <v>0</v>
      </c>
      <c r="BF51" s="174">
        <v>0</v>
      </c>
      <c r="BG51" s="174"/>
      <c r="BH51" s="175"/>
      <c r="BI51" s="166"/>
      <c r="BJ51" s="167"/>
      <c r="BK51" s="168"/>
      <c r="BL51" s="56"/>
      <c r="BM51" s="168"/>
      <c r="BN51" s="169" t="s">
        <v>386</v>
      </c>
      <c r="BO51" s="168"/>
      <c r="BP51" s="168"/>
      <c r="BQ51" s="168"/>
      <c r="BR51" s="207"/>
      <c r="BS51" s="168"/>
      <c r="BT51" s="168"/>
      <c r="BU51" s="167"/>
      <c r="BV51" s="170"/>
      <c r="BW51" s="48"/>
      <c r="BX51" s="168"/>
      <c r="BY51" s="168"/>
      <c r="BZ51" s="48"/>
      <c r="CA51" s="48"/>
      <c r="CB51" s="48"/>
      <c r="CC51" s="167"/>
      <c r="CD51" s="137"/>
      <c r="CE51" s="171"/>
      <c r="CF51" s="172"/>
      <c r="CG51" s="165"/>
    </row>
    <row r="52" spans="1:85" s="138" customFormat="1" ht="15" customHeight="1">
      <c r="A52" s="48"/>
      <c r="B52" s="29"/>
      <c r="C52" s="168"/>
      <c r="D52" s="48"/>
      <c r="E52" s="29"/>
      <c r="F52" s="48"/>
      <c r="G52" s="48"/>
      <c r="H52" s="48"/>
      <c r="I52" s="48"/>
      <c r="J52" s="170"/>
      <c r="K52" s="170"/>
      <c r="L52" s="170"/>
      <c r="M52" s="170"/>
      <c r="N52" s="170"/>
      <c r="O52" s="170"/>
      <c r="P52" s="48"/>
      <c r="Q52" s="48"/>
      <c r="R52" s="170"/>
      <c r="S52" s="170"/>
      <c r="T52" s="170"/>
      <c r="U52" s="170"/>
      <c r="V52" s="170"/>
      <c r="W52" s="170"/>
      <c r="X52" s="173"/>
      <c r="Y52" s="167"/>
      <c r="Z52" s="48"/>
      <c r="AA52" s="48">
        <v>1</v>
      </c>
      <c r="AB52" s="174">
        <v>0</v>
      </c>
      <c r="AC52" s="174"/>
      <c r="AD52" s="174">
        <v>0</v>
      </c>
      <c r="AE52" s="174">
        <v>0</v>
      </c>
      <c r="AF52" s="174">
        <v>0</v>
      </c>
      <c r="AG52" s="174">
        <v>0</v>
      </c>
      <c r="AH52" s="174">
        <v>0</v>
      </c>
      <c r="AI52" s="174">
        <v>0</v>
      </c>
      <c r="AJ52" s="174">
        <v>0</v>
      </c>
      <c r="AK52" s="174">
        <v>0</v>
      </c>
      <c r="AL52" s="174">
        <v>0</v>
      </c>
      <c r="AM52" s="174">
        <v>0</v>
      </c>
      <c r="AN52" s="174">
        <v>0</v>
      </c>
      <c r="AO52" s="174">
        <v>0</v>
      </c>
      <c r="AP52" s="174">
        <v>0</v>
      </c>
      <c r="AQ52" s="174">
        <v>0</v>
      </c>
      <c r="AR52" s="174">
        <v>0</v>
      </c>
      <c r="AS52" s="174">
        <v>0</v>
      </c>
      <c r="AT52" s="174">
        <v>0</v>
      </c>
      <c r="AU52" s="174">
        <v>0</v>
      </c>
      <c r="AV52" s="174">
        <v>0</v>
      </c>
      <c r="AW52" s="174">
        <v>0</v>
      </c>
      <c r="AX52" s="174">
        <v>0</v>
      </c>
      <c r="AY52" s="174">
        <v>0</v>
      </c>
      <c r="AZ52" s="174">
        <v>0</v>
      </c>
      <c r="BA52" s="174">
        <v>0</v>
      </c>
      <c r="BB52" s="174">
        <v>0</v>
      </c>
      <c r="BC52" s="174">
        <v>0</v>
      </c>
      <c r="BD52" s="174">
        <v>0</v>
      </c>
      <c r="BE52" s="174">
        <v>0</v>
      </c>
      <c r="BF52" s="174">
        <v>0</v>
      </c>
      <c r="BG52" s="174"/>
      <c r="BH52" s="175"/>
      <c r="BI52" s="166"/>
      <c r="BJ52" s="167"/>
      <c r="BK52" s="168"/>
      <c r="BL52" s="56"/>
      <c r="BM52" s="168"/>
      <c r="BN52" s="169" t="s">
        <v>386</v>
      </c>
      <c r="BO52" s="168"/>
      <c r="BP52" s="168"/>
      <c r="BQ52" s="168"/>
      <c r="BR52" s="207"/>
      <c r="BS52" s="168"/>
      <c r="BT52" s="168"/>
      <c r="BU52" s="167"/>
      <c r="BV52" s="170"/>
      <c r="BW52" s="48"/>
      <c r="BX52" s="168"/>
      <c r="BY52" s="168"/>
      <c r="BZ52" s="48"/>
      <c r="CA52" s="48"/>
      <c r="CB52" s="48"/>
      <c r="CC52" s="167"/>
      <c r="CD52" s="137"/>
      <c r="CE52" s="171"/>
      <c r="CF52" s="172"/>
      <c r="CG52" s="165"/>
    </row>
    <row r="53" spans="1:85" s="138" customFormat="1" ht="15" customHeight="1">
      <c r="A53" s="48"/>
      <c r="B53" s="29"/>
      <c r="C53" s="168"/>
      <c r="D53" s="48"/>
      <c r="E53" s="29"/>
      <c r="F53" s="48"/>
      <c r="G53" s="48"/>
      <c r="H53" s="48"/>
      <c r="I53" s="48"/>
      <c r="J53" s="170"/>
      <c r="K53" s="170"/>
      <c r="L53" s="170"/>
      <c r="M53" s="170"/>
      <c r="N53" s="170"/>
      <c r="O53" s="170"/>
      <c r="P53" s="48"/>
      <c r="Q53" s="48"/>
      <c r="R53" s="170"/>
      <c r="S53" s="170"/>
      <c r="T53" s="170"/>
      <c r="U53" s="170"/>
      <c r="V53" s="170"/>
      <c r="W53" s="170"/>
      <c r="X53" s="173"/>
      <c r="Y53" s="167"/>
      <c r="Z53" s="48"/>
      <c r="AA53" s="48">
        <v>1</v>
      </c>
      <c r="AB53" s="174">
        <v>0</v>
      </c>
      <c r="AC53" s="174"/>
      <c r="AD53" s="174">
        <v>0</v>
      </c>
      <c r="AE53" s="174">
        <v>0</v>
      </c>
      <c r="AF53" s="174">
        <v>0</v>
      </c>
      <c r="AG53" s="174">
        <v>0</v>
      </c>
      <c r="AH53" s="174">
        <v>0</v>
      </c>
      <c r="AI53" s="174">
        <v>0</v>
      </c>
      <c r="AJ53" s="174">
        <v>0</v>
      </c>
      <c r="AK53" s="174">
        <v>0</v>
      </c>
      <c r="AL53" s="174">
        <v>0</v>
      </c>
      <c r="AM53" s="174">
        <v>0</v>
      </c>
      <c r="AN53" s="174">
        <v>0</v>
      </c>
      <c r="AO53" s="174">
        <v>0</v>
      </c>
      <c r="AP53" s="174">
        <v>0</v>
      </c>
      <c r="AQ53" s="174">
        <v>0</v>
      </c>
      <c r="AR53" s="174">
        <v>0</v>
      </c>
      <c r="AS53" s="174">
        <v>0</v>
      </c>
      <c r="AT53" s="174">
        <v>0</v>
      </c>
      <c r="AU53" s="174">
        <v>0</v>
      </c>
      <c r="AV53" s="174">
        <v>0</v>
      </c>
      <c r="AW53" s="174">
        <v>0</v>
      </c>
      <c r="AX53" s="174">
        <v>0</v>
      </c>
      <c r="AY53" s="174">
        <v>0</v>
      </c>
      <c r="AZ53" s="174">
        <v>0</v>
      </c>
      <c r="BA53" s="174">
        <v>0</v>
      </c>
      <c r="BB53" s="174">
        <v>0</v>
      </c>
      <c r="BC53" s="174">
        <v>0</v>
      </c>
      <c r="BD53" s="174">
        <v>0</v>
      </c>
      <c r="BE53" s="174">
        <v>0</v>
      </c>
      <c r="BF53" s="174">
        <v>0</v>
      </c>
      <c r="BG53" s="174"/>
      <c r="BH53" s="175"/>
      <c r="BI53" s="166"/>
      <c r="BJ53" s="167"/>
      <c r="BK53" s="168"/>
      <c r="BL53" s="56"/>
      <c r="BM53" s="168"/>
      <c r="BN53" s="169" t="s">
        <v>386</v>
      </c>
      <c r="BO53" s="168"/>
      <c r="BP53" s="168"/>
      <c r="BQ53" s="168"/>
      <c r="BR53" s="207"/>
      <c r="BS53" s="168"/>
      <c r="BT53" s="168"/>
      <c r="BU53" s="167"/>
      <c r="BV53" s="170"/>
      <c r="BW53" s="48"/>
      <c r="BX53" s="168"/>
      <c r="BY53" s="168"/>
      <c r="BZ53" s="48"/>
      <c r="CA53" s="48"/>
      <c r="CB53" s="48"/>
      <c r="CC53" s="167"/>
      <c r="CD53" s="137"/>
      <c r="CE53" s="171"/>
      <c r="CF53" s="172"/>
      <c r="CG53" s="165"/>
    </row>
    <row r="54" spans="1:85" s="138" customFormat="1" ht="15" customHeight="1">
      <c r="A54" s="48"/>
      <c r="B54" s="29"/>
      <c r="C54" s="168"/>
      <c r="D54" s="48"/>
      <c r="E54" s="29"/>
      <c r="F54" s="48"/>
      <c r="G54" s="48"/>
      <c r="H54" s="48"/>
      <c r="I54" s="48"/>
      <c r="J54" s="170"/>
      <c r="K54" s="170"/>
      <c r="L54" s="170"/>
      <c r="M54" s="170"/>
      <c r="N54" s="170"/>
      <c r="O54" s="170"/>
      <c r="P54" s="48"/>
      <c r="Q54" s="48"/>
      <c r="R54" s="170"/>
      <c r="S54" s="170"/>
      <c r="T54" s="170"/>
      <c r="U54" s="170"/>
      <c r="V54" s="170"/>
      <c r="W54" s="170"/>
      <c r="X54" s="173"/>
      <c r="Y54" s="167"/>
      <c r="Z54" s="48"/>
      <c r="AA54" s="48">
        <v>1</v>
      </c>
      <c r="AB54" s="174">
        <v>0</v>
      </c>
      <c r="AC54" s="174"/>
      <c r="AD54" s="174">
        <v>0</v>
      </c>
      <c r="AE54" s="174">
        <v>0</v>
      </c>
      <c r="AF54" s="174">
        <v>0</v>
      </c>
      <c r="AG54" s="174">
        <v>0</v>
      </c>
      <c r="AH54" s="174">
        <v>0</v>
      </c>
      <c r="AI54" s="174">
        <v>0</v>
      </c>
      <c r="AJ54" s="174">
        <v>0</v>
      </c>
      <c r="AK54" s="174">
        <v>0</v>
      </c>
      <c r="AL54" s="174">
        <v>0</v>
      </c>
      <c r="AM54" s="174">
        <v>0</v>
      </c>
      <c r="AN54" s="174">
        <v>0</v>
      </c>
      <c r="AO54" s="174">
        <v>0</v>
      </c>
      <c r="AP54" s="174">
        <v>0</v>
      </c>
      <c r="AQ54" s="174">
        <v>0</v>
      </c>
      <c r="AR54" s="174">
        <v>0</v>
      </c>
      <c r="AS54" s="174">
        <v>0</v>
      </c>
      <c r="AT54" s="174">
        <v>0</v>
      </c>
      <c r="AU54" s="174">
        <v>0</v>
      </c>
      <c r="AV54" s="174">
        <v>0</v>
      </c>
      <c r="AW54" s="174">
        <v>0</v>
      </c>
      <c r="AX54" s="174">
        <v>0</v>
      </c>
      <c r="AY54" s="174">
        <v>0</v>
      </c>
      <c r="AZ54" s="174">
        <v>0</v>
      </c>
      <c r="BA54" s="174">
        <v>0</v>
      </c>
      <c r="BB54" s="174">
        <v>0</v>
      </c>
      <c r="BC54" s="174">
        <v>0</v>
      </c>
      <c r="BD54" s="174">
        <v>0</v>
      </c>
      <c r="BE54" s="174">
        <v>0</v>
      </c>
      <c r="BF54" s="174">
        <v>0</v>
      </c>
      <c r="BG54" s="174"/>
      <c r="BH54" s="175"/>
      <c r="BI54" s="166"/>
      <c r="BJ54" s="167"/>
      <c r="BK54" s="168"/>
      <c r="BL54" s="56"/>
      <c r="BM54" s="168"/>
      <c r="BN54" s="169" t="s">
        <v>386</v>
      </c>
      <c r="BO54" s="168"/>
      <c r="BP54" s="168"/>
      <c r="BQ54" s="168"/>
      <c r="BR54" s="207"/>
      <c r="BS54" s="168"/>
      <c r="BT54" s="168"/>
      <c r="BU54" s="167"/>
      <c r="BV54" s="170"/>
      <c r="BW54" s="48"/>
      <c r="BX54" s="168"/>
      <c r="BY54" s="168"/>
      <c r="BZ54" s="48"/>
      <c r="CA54" s="48"/>
      <c r="CB54" s="48"/>
      <c r="CC54" s="167"/>
      <c r="CD54" s="137"/>
      <c r="CE54" s="171"/>
      <c r="CF54" s="172"/>
      <c r="CG54" s="165"/>
    </row>
    <row r="55" spans="1:85" s="138" customFormat="1" ht="15" customHeight="1">
      <c r="A55" s="48"/>
      <c r="B55" s="29"/>
      <c r="C55" s="168"/>
      <c r="D55" s="48"/>
      <c r="E55" s="29"/>
      <c r="F55" s="48"/>
      <c r="G55" s="48"/>
      <c r="H55" s="48"/>
      <c r="I55" s="48"/>
      <c r="J55" s="170"/>
      <c r="K55" s="170"/>
      <c r="L55" s="170"/>
      <c r="M55" s="170"/>
      <c r="N55" s="170"/>
      <c r="O55" s="170"/>
      <c r="P55" s="48"/>
      <c r="Q55" s="48"/>
      <c r="R55" s="170"/>
      <c r="S55" s="170"/>
      <c r="T55" s="170"/>
      <c r="U55" s="170"/>
      <c r="V55" s="170"/>
      <c r="W55" s="170"/>
      <c r="X55" s="173"/>
      <c r="Y55" s="167"/>
      <c r="Z55" s="48"/>
      <c r="AA55" s="48">
        <v>1</v>
      </c>
      <c r="AB55" s="174">
        <v>0</v>
      </c>
      <c r="AC55" s="174"/>
      <c r="AD55" s="174">
        <v>0</v>
      </c>
      <c r="AE55" s="174">
        <v>0</v>
      </c>
      <c r="AF55" s="174">
        <v>0</v>
      </c>
      <c r="AG55" s="174">
        <v>0</v>
      </c>
      <c r="AH55" s="174">
        <v>0</v>
      </c>
      <c r="AI55" s="174">
        <v>0</v>
      </c>
      <c r="AJ55" s="174">
        <v>0</v>
      </c>
      <c r="AK55" s="174">
        <v>0</v>
      </c>
      <c r="AL55" s="174">
        <v>0</v>
      </c>
      <c r="AM55" s="174">
        <v>0</v>
      </c>
      <c r="AN55" s="174">
        <v>0</v>
      </c>
      <c r="AO55" s="174">
        <v>0</v>
      </c>
      <c r="AP55" s="174">
        <v>0</v>
      </c>
      <c r="AQ55" s="174">
        <v>0</v>
      </c>
      <c r="AR55" s="174">
        <v>0</v>
      </c>
      <c r="AS55" s="174">
        <v>0</v>
      </c>
      <c r="AT55" s="174">
        <v>0</v>
      </c>
      <c r="AU55" s="174">
        <v>0</v>
      </c>
      <c r="AV55" s="174">
        <v>0</v>
      </c>
      <c r="AW55" s="174">
        <v>0</v>
      </c>
      <c r="AX55" s="174">
        <v>0</v>
      </c>
      <c r="AY55" s="174">
        <v>0</v>
      </c>
      <c r="AZ55" s="174">
        <v>0</v>
      </c>
      <c r="BA55" s="174">
        <v>0</v>
      </c>
      <c r="BB55" s="174">
        <v>0</v>
      </c>
      <c r="BC55" s="174">
        <v>0</v>
      </c>
      <c r="BD55" s="174">
        <v>0</v>
      </c>
      <c r="BE55" s="174">
        <v>0</v>
      </c>
      <c r="BF55" s="174">
        <v>0</v>
      </c>
      <c r="BG55" s="174"/>
      <c r="BH55" s="175"/>
      <c r="BI55" s="166"/>
      <c r="BJ55" s="167"/>
      <c r="BK55" s="168"/>
      <c r="BL55" s="56"/>
      <c r="BM55" s="168"/>
      <c r="BN55" s="169" t="s">
        <v>386</v>
      </c>
      <c r="BO55" s="168"/>
      <c r="BP55" s="168"/>
      <c r="BQ55" s="168"/>
      <c r="BR55" s="207"/>
      <c r="BS55" s="168"/>
      <c r="BT55" s="168"/>
      <c r="BU55" s="167"/>
      <c r="BV55" s="170"/>
      <c r="BW55" s="48"/>
      <c r="BX55" s="168"/>
      <c r="BY55" s="168"/>
      <c r="BZ55" s="48"/>
      <c r="CA55" s="48"/>
      <c r="CB55" s="48"/>
      <c r="CC55" s="167"/>
      <c r="CD55" s="137"/>
      <c r="CE55" s="171"/>
      <c r="CF55" s="172"/>
      <c r="CG55" s="165"/>
    </row>
    <row r="56" spans="1:85" s="138" customFormat="1" ht="15" customHeight="1">
      <c r="A56" s="48"/>
      <c r="B56" s="29"/>
      <c r="C56" s="168"/>
      <c r="D56" s="48"/>
      <c r="E56" s="29"/>
      <c r="F56" s="48"/>
      <c r="G56" s="48"/>
      <c r="H56" s="48"/>
      <c r="I56" s="48"/>
      <c r="J56" s="170"/>
      <c r="K56" s="170"/>
      <c r="L56" s="170"/>
      <c r="M56" s="170"/>
      <c r="N56" s="170"/>
      <c r="O56" s="170"/>
      <c r="P56" s="48"/>
      <c r="Q56" s="48"/>
      <c r="R56" s="170"/>
      <c r="S56" s="170"/>
      <c r="T56" s="170"/>
      <c r="U56" s="170"/>
      <c r="V56" s="170"/>
      <c r="W56" s="170"/>
      <c r="X56" s="173"/>
      <c r="Y56" s="167"/>
      <c r="Z56" s="48"/>
      <c r="AA56" s="48">
        <v>1</v>
      </c>
      <c r="AB56" s="174">
        <v>0</v>
      </c>
      <c r="AC56" s="174"/>
      <c r="AD56" s="174">
        <v>0</v>
      </c>
      <c r="AE56" s="174">
        <v>0</v>
      </c>
      <c r="AF56" s="174">
        <v>0</v>
      </c>
      <c r="AG56" s="174">
        <v>0</v>
      </c>
      <c r="AH56" s="174">
        <v>0</v>
      </c>
      <c r="AI56" s="174">
        <v>0</v>
      </c>
      <c r="AJ56" s="174">
        <v>0</v>
      </c>
      <c r="AK56" s="174">
        <v>0</v>
      </c>
      <c r="AL56" s="174">
        <v>0</v>
      </c>
      <c r="AM56" s="174">
        <v>0</v>
      </c>
      <c r="AN56" s="174">
        <v>0</v>
      </c>
      <c r="AO56" s="174">
        <v>0</v>
      </c>
      <c r="AP56" s="174">
        <v>0</v>
      </c>
      <c r="AQ56" s="174">
        <v>0</v>
      </c>
      <c r="AR56" s="174">
        <v>0</v>
      </c>
      <c r="AS56" s="174">
        <v>0</v>
      </c>
      <c r="AT56" s="174">
        <v>0</v>
      </c>
      <c r="AU56" s="174">
        <v>0</v>
      </c>
      <c r="AV56" s="174">
        <v>0</v>
      </c>
      <c r="AW56" s="174">
        <v>0</v>
      </c>
      <c r="AX56" s="174">
        <v>0</v>
      </c>
      <c r="AY56" s="174">
        <v>0</v>
      </c>
      <c r="AZ56" s="174">
        <v>0</v>
      </c>
      <c r="BA56" s="174">
        <v>0</v>
      </c>
      <c r="BB56" s="174">
        <v>0</v>
      </c>
      <c r="BC56" s="174">
        <v>0</v>
      </c>
      <c r="BD56" s="174">
        <v>0</v>
      </c>
      <c r="BE56" s="174">
        <v>0</v>
      </c>
      <c r="BF56" s="174">
        <v>0</v>
      </c>
      <c r="BG56" s="174"/>
      <c r="BH56" s="175"/>
      <c r="BI56" s="166"/>
      <c r="BJ56" s="167"/>
      <c r="BK56" s="168"/>
      <c r="BL56" s="56"/>
      <c r="BM56" s="168"/>
      <c r="BN56" s="169" t="s">
        <v>386</v>
      </c>
      <c r="BO56" s="168"/>
      <c r="BP56" s="168"/>
      <c r="BQ56" s="168"/>
      <c r="BR56" s="207"/>
      <c r="BS56" s="168"/>
      <c r="BT56" s="168"/>
      <c r="BU56" s="167"/>
      <c r="BV56" s="170"/>
      <c r="BW56" s="48"/>
      <c r="BX56" s="168"/>
      <c r="BY56" s="168"/>
      <c r="BZ56" s="48"/>
      <c r="CA56" s="48"/>
      <c r="CB56" s="48"/>
      <c r="CC56" s="167"/>
      <c r="CD56" s="137"/>
      <c r="CE56" s="171"/>
      <c r="CF56" s="172"/>
      <c r="CG56" s="165"/>
    </row>
    <row r="57" spans="1:85" s="138" customFormat="1" ht="15" customHeight="1">
      <c r="A57" s="48"/>
      <c r="B57" s="29"/>
      <c r="C57" s="168"/>
      <c r="D57" s="48"/>
      <c r="E57" s="29"/>
      <c r="F57" s="48"/>
      <c r="G57" s="48"/>
      <c r="H57" s="48"/>
      <c r="I57" s="48"/>
      <c r="J57" s="170"/>
      <c r="K57" s="170"/>
      <c r="L57" s="170"/>
      <c r="M57" s="170"/>
      <c r="N57" s="170"/>
      <c r="O57" s="170"/>
      <c r="P57" s="48"/>
      <c r="Q57" s="48"/>
      <c r="R57" s="170"/>
      <c r="S57" s="170"/>
      <c r="T57" s="170"/>
      <c r="U57" s="170"/>
      <c r="V57" s="170"/>
      <c r="W57" s="170"/>
      <c r="X57" s="173"/>
      <c r="Y57" s="167"/>
      <c r="Z57" s="48"/>
      <c r="AA57" s="48">
        <v>1</v>
      </c>
      <c r="AB57" s="174">
        <v>0</v>
      </c>
      <c r="AC57" s="174"/>
      <c r="AD57" s="174">
        <v>0</v>
      </c>
      <c r="AE57" s="174">
        <v>0</v>
      </c>
      <c r="AF57" s="174">
        <v>0</v>
      </c>
      <c r="AG57" s="174">
        <v>0</v>
      </c>
      <c r="AH57" s="174">
        <v>0</v>
      </c>
      <c r="AI57" s="174">
        <v>0</v>
      </c>
      <c r="AJ57" s="174">
        <v>0</v>
      </c>
      <c r="AK57" s="174">
        <v>0</v>
      </c>
      <c r="AL57" s="174">
        <v>0</v>
      </c>
      <c r="AM57" s="174">
        <v>0</v>
      </c>
      <c r="AN57" s="174">
        <v>0</v>
      </c>
      <c r="AO57" s="174">
        <v>0</v>
      </c>
      <c r="AP57" s="174">
        <v>0</v>
      </c>
      <c r="AQ57" s="174">
        <v>0</v>
      </c>
      <c r="AR57" s="174">
        <v>0</v>
      </c>
      <c r="AS57" s="174">
        <v>0</v>
      </c>
      <c r="AT57" s="174">
        <v>0</v>
      </c>
      <c r="AU57" s="174">
        <v>0</v>
      </c>
      <c r="AV57" s="174">
        <v>0</v>
      </c>
      <c r="AW57" s="174">
        <v>0</v>
      </c>
      <c r="AX57" s="174">
        <v>0</v>
      </c>
      <c r="AY57" s="174">
        <v>0</v>
      </c>
      <c r="AZ57" s="174">
        <v>0</v>
      </c>
      <c r="BA57" s="174">
        <v>0</v>
      </c>
      <c r="BB57" s="174">
        <v>0</v>
      </c>
      <c r="BC57" s="174">
        <v>0</v>
      </c>
      <c r="BD57" s="174">
        <v>0</v>
      </c>
      <c r="BE57" s="174">
        <v>0</v>
      </c>
      <c r="BF57" s="174">
        <v>0</v>
      </c>
      <c r="BG57" s="174"/>
      <c r="BH57" s="175"/>
      <c r="BI57" s="166"/>
      <c r="BJ57" s="167"/>
      <c r="BK57" s="168"/>
      <c r="BL57" s="56"/>
      <c r="BM57" s="168"/>
      <c r="BN57" s="169" t="s">
        <v>386</v>
      </c>
      <c r="BO57" s="168"/>
      <c r="BP57" s="168"/>
      <c r="BQ57" s="168"/>
      <c r="BR57" s="207"/>
      <c r="BS57" s="168"/>
      <c r="BT57" s="168"/>
      <c r="BU57" s="167"/>
      <c r="BV57" s="170"/>
      <c r="BW57" s="48"/>
      <c r="BX57" s="168"/>
      <c r="BY57" s="168"/>
      <c r="BZ57" s="48"/>
      <c r="CA57" s="48"/>
      <c r="CB57" s="48"/>
      <c r="CC57" s="167"/>
      <c r="CD57" s="137"/>
      <c r="CE57" s="171"/>
      <c r="CF57" s="172"/>
      <c r="CG57" s="165"/>
    </row>
    <row r="58" spans="1:85" s="138" customFormat="1" ht="15" customHeight="1">
      <c r="A58" s="48"/>
      <c r="B58" s="29"/>
      <c r="C58" s="168"/>
      <c r="D58" s="48"/>
      <c r="E58" s="29"/>
      <c r="F58" s="48"/>
      <c r="G58" s="48"/>
      <c r="H58" s="48"/>
      <c r="I58" s="48"/>
      <c r="J58" s="170"/>
      <c r="K58" s="170"/>
      <c r="L58" s="170"/>
      <c r="M58" s="170"/>
      <c r="N58" s="170"/>
      <c r="O58" s="170"/>
      <c r="P58" s="48"/>
      <c r="Q58" s="48"/>
      <c r="R58" s="170"/>
      <c r="S58" s="170"/>
      <c r="T58" s="170"/>
      <c r="U58" s="170"/>
      <c r="V58" s="170"/>
      <c r="W58" s="170"/>
      <c r="X58" s="173"/>
      <c r="Y58" s="167"/>
      <c r="Z58" s="48"/>
      <c r="AA58" s="48">
        <v>1</v>
      </c>
      <c r="AB58" s="174">
        <v>0</v>
      </c>
      <c r="AC58" s="174"/>
      <c r="AD58" s="174">
        <v>0</v>
      </c>
      <c r="AE58" s="174">
        <v>0</v>
      </c>
      <c r="AF58" s="174">
        <v>0</v>
      </c>
      <c r="AG58" s="174">
        <v>0</v>
      </c>
      <c r="AH58" s="174">
        <v>0</v>
      </c>
      <c r="AI58" s="174">
        <v>0</v>
      </c>
      <c r="AJ58" s="174">
        <v>0</v>
      </c>
      <c r="AK58" s="174">
        <v>0</v>
      </c>
      <c r="AL58" s="174">
        <v>0</v>
      </c>
      <c r="AM58" s="174">
        <v>0</v>
      </c>
      <c r="AN58" s="174">
        <v>0</v>
      </c>
      <c r="AO58" s="174">
        <v>0</v>
      </c>
      <c r="AP58" s="174">
        <v>0</v>
      </c>
      <c r="AQ58" s="174">
        <v>0</v>
      </c>
      <c r="AR58" s="174">
        <v>0</v>
      </c>
      <c r="AS58" s="174">
        <v>0</v>
      </c>
      <c r="AT58" s="174">
        <v>0</v>
      </c>
      <c r="AU58" s="174">
        <v>0</v>
      </c>
      <c r="AV58" s="174">
        <v>0</v>
      </c>
      <c r="AW58" s="174">
        <v>0</v>
      </c>
      <c r="AX58" s="174">
        <v>0</v>
      </c>
      <c r="AY58" s="174">
        <v>0</v>
      </c>
      <c r="AZ58" s="174">
        <v>0</v>
      </c>
      <c r="BA58" s="174">
        <v>0</v>
      </c>
      <c r="BB58" s="174">
        <v>0</v>
      </c>
      <c r="BC58" s="174">
        <v>0</v>
      </c>
      <c r="BD58" s="174">
        <v>0</v>
      </c>
      <c r="BE58" s="174">
        <v>0</v>
      </c>
      <c r="BF58" s="174">
        <v>0</v>
      </c>
      <c r="BG58" s="174"/>
      <c r="BH58" s="175"/>
      <c r="BI58" s="166"/>
      <c r="BJ58" s="167"/>
      <c r="BK58" s="168"/>
      <c r="BL58" s="56"/>
      <c r="BM58" s="168"/>
      <c r="BN58" s="169" t="s">
        <v>386</v>
      </c>
      <c r="BO58" s="168"/>
      <c r="BP58" s="168"/>
      <c r="BQ58" s="168"/>
      <c r="BR58" s="207"/>
      <c r="BS58" s="168"/>
      <c r="BT58" s="168"/>
      <c r="BU58" s="167"/>
      <c r="BV58" s="170"/>
      <c r="BW58" s="48"/>
      <c r="BX58" s="168"/>
      <c r="BY58" s="168"/>
      <c r="BZ58" s="48"/>
      <c r="CA58" s="48"/>
      <c r="CB58" s="48"/>
      <c r="CC58" s="167"/>
      <c r="CD58" s="137"/>
      <c r="CE58" s="171"/>
      <c r="CF58" s="172"/>
      <c r="CG58" s="165"/>
    </row>
    <row r="59" spans="1:85" s="138" customFormat="1" ht="15" customHeight="1">
      <c r="A59" s="48"/>
      <c r="B59" s="29"/>
      <c r="C59" s="168"/>
      <c r="D59" s="48"/>
      <c r="E59" s="29"/>
      <c r="F59" s="48"/>
      <c r="G59" s="48"/>
      <c r="H59" s="48"/>
      <c r="I59" s="48"/>
      <c r="J59" s="170"/>
      <c r="K59" s="170"/>
      <c r="L59" s="170"/>
      <c r="M59" s="170"/>
      <c r="N59" s="170"/>
      <c r="O59" s="170"/>
      <c r="P59" s="48"/>
      <c r="Q59" s="48"/>
      <c r="R59" s="170"/>
      <c r="S59" s="170"/>
      <c r="T59" s="170"/>
      <c r="U59" s="170"/>
      <c r="V59" s="170"/>
      <c r="W59" s="170"/>
      <c r="X59" s="173"/>
      <c r="Y59" s="167"/>
      <c r="Z59" s="48"/>
      <c r="AA59" s="48">
        <v>1</v>
      </c>
      <c r="AB59" s="174">
        <v>0</v>
      </c>
      <c r="AC59" s="174"/>
      <c r="AD59" s="174">
        <v>0</v>
      </c>
      <c r="AE59" s="174">
        <v>0</v>
      </c>
      <c r="AF59" s="174">
        <v>0</v>
      </c>
      <c r="AG59" s="174">
        <v>0</v>
      </c>
      <c r="AH59" s="174">
        <v>0</v>
      </c>
      <c r="AI59" s="174">
        <v>0</v>
      </c>
      <c r="AJ59" s="174">
        <v>0</v>
      </c>
      <c r="AK59" s="174">
        <v>0</v>
      </c>
      <c r="AL59" s="174">
        <v>0</v>
      </c>
      <c r="AM59" s="174">
        <v>0</v>
      </c>
      <c r="AN59" s="174">
        <v>0</v>
      </c>
      <c r="AO59" s="174">
        <v>0</v>
      </c>
      <c r="AP59" s="174">
        <v>0</v>
      </c>
      <c r="AQ59" s="174">
        <v>0</v>
      </c>
      <c r="AR59" s="174">
        <v>0</v>
      </c>
      <c r="AS59" s="174">
        <v>0</v>
      </c>
      <c r="AT59" s="174">
        <v>0</v>
      </c>
      <c r="AU59" s="174">
        <v>0</v>
      </c>
      <c r="AV59" s="174">
        <v>0</v>
      </c>
      <c r="AW59" s="174">
        <v>0</v>
      </c>
      <c r="AX59" s="174">
        <v>0</v>
      </c>
      <c r="AY59" s="174">
        <v>0</v>
      </c>
      <c r="AZ59" s="174">
        <v>0</v>
      </c>
      <c r="BA59" s="174">
        <v>0</v>
      </c>
      <c r="BB59" s="174">
        <v>0</v>
      </c>
      <c r="BC59" s="174">
        <v>0</v>
      </c>
      <c r="BD59" s="174">
        <v>0</v>
      </c>
      <c r="BE59" s="174">
        <v>0</v>
      </c>
      <c r="BF59" s="174">
        <v>0</v>
      </c>
      <c r="BG59" s="174"/>
      <c r="BH59" s="175"/>
      <c r="BI59" s="166"/>
      <c r="BJ59" s="167"/>
      <c r="BK59" s="168"/>
      <c r="BL59" s="56"/>
      <c r="BM59" s="168"/>
      <c r="BN59" s="169" t="s">
        <v>386</v>
      </c>
      <c r="BO59" s="168"/>
      <c r="BP59" s="168"/>
      <c r="BQ59" s="168"/>
      <c r="BR59" s="207"/>
      <c r="BS59" s="168"/>
      <c r="BT59" s="168"/>
      <c r="BU59" s="167"/>
      <c r="BV59" s="170"/>
      <c r="BW59" s="48"/>
      <c r="BX59" s="168"/>
      <c r="BY59" s="168"/>
      <c r="BZ59" s="48"/>
      <c r="CA59" s="48"/>
      <c r="CB59" s="48"/>
      <c r="CC59" s="167"/>
      <c r="CD59" s="137"/>
      <c r="CE59" s="171"/>
      <c r="CF59" s="172"/>
      <c r="CG59" s="165"/>
    </row>
    <row r="60" spans="1:85" s="138" customFormat="1" ht="15" customHeight="1">
      <c r="A60" s="48"/>
      <c r="B60" s="29"/>
      <c r="C60" s="168"/>
      <c r="D60" s="48"/>
      <c r="E60" s="29"/>
      <c r="F60" s="48"/>
      <c r="G60" s="48"/>
      <c r="H60" s="48"/>
      <c r="I60" s="48"/>
      <c r="J60" s="170"/>
      <c r="K60" s="170"/>
      <c r="L60" s="170"/>
      <c r="M60" s="170"/>
      <c r="N60" s="170"/>
      <c r="O60" s="170"/>
      <c r="P60" s="48"/>
      <c r="Q60" s="48"/>
      <c r="R60" s="170"/>
      <c r="S60" s="170"/>
      <c r="T60" s="170"/>
      <c r="U60" s="170"/>
      <c r="V60" s="170"/>
      <c r="W60" s="170"/>
      <c r="X60" s="173"/>
      <c r="Y60" s="167"/>
      <c r="Z60" s="48"/>
      <c r="AA60" s="48">
        <v>1</v>
      </c>
      <c r="AB60" s="174">
        <v>0</v>
      </c>
      <c r="AC60" s="174"/>
      <c r="AD60" s="174">
        <v>0</v>
      </c>
      <c r="AE60" s="174">
        <v>0</v>
      </c>
      <c r="AF60" s="174">
        <v>0</v>
      </c>
      <c r="AG60" s="174">
        <v>0</v>
      </c>
      <c r="AH60" s="174">
        <v>0</v>
      </c>
      <c r="AI60" s="174">
        <v>0</v>
      </c>
      <c r="AJ60" s="174">
        <v>0</v>
      </c>
      <c r="AK60" s="174">
        <v>0</v>
      </c>
      <c r="AL60" s="174">
        <v>0</v>
      </c>
      <c r="AM60" s="174">
        <v>0</v>
      </c>
      <c r="AN60" s="174">
        <v>0</v>
      </c>
      <c r="AO60" s="174">
        <v>0</v>
      </c>
      <c r="AP60" s="174">
        <v>0</v>
      </c>
      <c r="AQ60" s="174">
        <v>0</v>
      </c>
      <c r="AR60" s="174">
        <v>0</v>
      </c>
      <c r="AS60" s="174">
        <v>0</v>
      </c>
      <c r="AT60" s="174">
        <v>0</v>
      </c>
      <c r="AU60" s="174">
        <v>0</v>
      </c>
      <c r="AV60" s="174">
        <v>0</v>
      </c>
      <c r="AW60" s="174">
        <v>0</v>
      </c>
      <c r="AX60" s="174">
        <v>0</v>
      </c>
      <c r="AY60" s="174">
        <v>0</v>
      </c>
      <c r="AZ60" s="174">
        <v>0</v>
      </c>
      <c r="BA60" s="174">
        <v>0</v>
      </c>
      <c r="BB60" s="174">
        <v>0</v>
      </c>
      <c r="BC60" s="174">
        <v>0</v>
      </c>
      <c r="BD60" s="174">
        <v>0</v>
      </c>
      <c r="BE60" s="174">
        <v>0</v>
      </c>
      <c r="BF60" s="174">
        <v>0</v>
      </c>
      <c r="BG60" s="174"/>
      <c r="BH60" s="175"/>
      <c r="BI60" s="166"/>
      <c r="BJ60" s="167"/>
      <c r="BK60" s="168"/>
      <c r="BL60" s="56"/>
      <c r="BM60" s="168"/>
      <c r="BN60" s="169" t="s">
        <v>386</v>
      </c>
      <c r="BO60" s="168"/>
      <c r="BP60" s="168"/>
      <c r="BQ60" s="168"/>
      <c r="BR60" s="207"/>
      <c r="BS60" s="168"/>
      <c r="BT60" s="168"/>
      <c r="BU60" s="167"/>
      <c r="BV60" s="170"/>
      <c r="BW60" s="48"/>
      <c r="BX60" s="168"/>
      <c r="BY60" s="168"/>
      <c r="BZ60" s="48"/>
      <c r="CA60" s="48"/>
      <c r="CB60" s="48"/>
      <c r="CC60" s="167"/>
      <c r="CD60" s="137"/>
      <c r="CE60" s="171"/>
      <c r="CF60" s="172"/>
      <c r="CG60" s="165"/>
    </row>
    <row r="61" spans="1:85" s="138" customFormat="1" ht="15" customHeight="1">
      <c r="A61" s="48"/>
      <c r="B61" s="29"/>
      <c r="C61" s="168"/>
      <c r="D61" s="48"/>
      <c r="E61" s="29"/>
      <c r="F61" s="48"/>
      <c r="G61" s="48"/>
      <c r="H61" s="48"/>
      <c r="I61" s="48"/>
      <c r="J61" s="170"/>
      <c r="K61" s="170"/>
      <c r="L61" s="170"/>
      <c r="M61" s="170"/>
      <c r="N61" s="170"/>
      <c r="O61" s="170"/>
      <c r="P61" s="48"/>
      <c r="Q61" s="48"/>
      <c r="R61" s="170"/>
      <c r="S61" s="170"/>
      <c r="T61" s="170"/>
      <c r="U61" s="170"/>
      <c r="V61" s="170"/>
      <c r="W61" s="170"/>
      <c r="X61" s="173"/>
      <c r="Y61" s="167"/>
      <c r="Z61" s="48"/>
      <c r="AA61" s="48">
        <v>1</v>
      </c>
      <c r="AB61" s="174">
        <v>0</v>
      </c>
      <c r="AC61" s="174"/>
      <c r="AD61" s="174">
        <v>0</v>
      </c>
      <c r="AE61" s="174">
        <v>0</v>
      </c>
      <c r="AF61" s="174">
        <v>0</v>
      </c>
      <c r="AG61" s="174">
        <v>0</v>
      </c>
      <c r="AH61" s="174">
        <v>0</v>
      </c>
      <c r="AI61" s="174">
        <v>0</v>
      </c>
      <c r="AJ61" s="174">
        <v>0</v>
      </c>
      <c r="AK61" s="174">
        <v>0</v>
      </c>
      <c r="AL61" s="174">
        <v>0</v>
      </c>
      <c r="AM61" s="174">
        <v>0</v>
      </c>
      <c r="AN61" s="174">
        <v>0</v>
      </c>
      <c r="AO61" s="174">
        <v>0</v>
      </c>
      <c r="AP61" s="174">
        <v>0</v>
      </c>
      <c r="AQ61" s="174">
        <v>0</v>
      </c>
      <c r="AR61" s="174">
        <v>0</v>
      </c>
      <c r="AS61" s="174">
        <v>0</v>
      </c>
      <c r="AT61" s="174">
        <v>0</v>
      </c>
      <c r="AU61" s="174">
        <v>0</v>
      </c>
      <c r="AV61" s="174">
        <v>0</v>
      </c>
      <c r="AW61" s="174">
        <v>0</v>
      </c>
      <c r="AX61" s="174">
        <v>0</v>
      </c>
      <c r="AY61" s="174">
        <v>0</v>
      </c>
      <c r="AZ61" s="174">
        <v>0</v>
      </c>
      <c r="BA61" s="174">
        <v>0</v>
      </c>
      <c r="BB61" s="174">
        <v>0</v>
      </c>
      <c r="BC61" s="174">
        <v>0</v>
      </c>
      <c r="BD61" s="174">
        <v>0</v>
      </c>
      <c r="BE61" s="174">
        <v>0</v>
      </c>
      <c r="BF61" s="174">
        <v>0</v>
      </c>
      <c r="BG61" s="174"/>
      <c r="BH61" s="175"/>
      <c r="BI61" s="166"/>
      <c r="BJ61" s="167"/>
      <c r="BK61" s="168"/>
      <c r="BL61" s="56"/>
      <c r="BM61" s="168"/>
      <c r="BN61" s="169" t="s">
        <v>386</v>
      </c>
      <c r="BO61" s="168"/>
      <c r="BP61" s="168"/>
      <c r="BQ61" s="168"/>
      <c r="BR61" s="207"/>
      <c r="BS61" s="168"/>
      <c r="BT61" s="168"/>
      <c r="BU61" s="167"/>
      <c r="BV61" s="170"/>
      <c r="BW61" s="48"/>
      <c r="BX61" s="168"/>
      <c r="BY61" s="168"/>
      <c r="BZ61" s="48"/>
      <c r="CA61" s="48"/>
      <c r="CB61" s="48"/>
      <c r="CC61" s="167"/>
      <c r="CD61" s="137"/>
      <c r="CE61" s="171"/>
      <c r="CF61" s="172"/>
      <c r="CG61" s="165"/>
    </row>
    <row r="62" spans="1:85" s="138" customFormat="1" ht="15" customHeight="1">
      <c r="A62" s="48"/>
      <c r="B62" s="29"/>
      <c r="C62" s="168"/>
      <c r="D62" s="48"/>
      <c r="E62" s="29"/>
      <c r="F62" s="48"/>
      <c r="G62" s="48"/>
      <c r="H62" s="48"/>
      <c r="I62" s="48"/>
      <c r="J62" s="170"/>
      <c r="K62" s="170"/>
      <c r="L62" s="170"/>
      <c r="M62" s="170"/>
      <c r="N62" s="170"/>
      <c r="O62" s="170"/>
      <c r="P62" s="48"/>
      <c r="Q62" s="48"/>
      <c r="R62" s="170"/>
      <c r="S62" s="170"/>
      <c r="T62" s="170"/>
      <c r="U62" s="170"/>
      <c r="V62" s="170"/>
      <c r="W62" s="170"/>
      <c r="X62" s="173"/>
      <c r="Y62" s="167"/>
      <c r="Z62" s="48"/>
      <c r="AA62" s="48">
        <v>1</v>
      </c>
      <c r="AB62" s="174">
        <v>0</v>
      </c>
      <c r="AC62" s="174"/>
      <c r="AD62" s="174">
        <v>0</v>
      </c>
      <c r="AE62" s="174">
        <v>0</v>
      </c>
      <c r="AF62" s="174">
        <v>0</v>
      </c>
      <c r="AG62" s="174">
        <v>0</v>
      </c>
      <c r="AH62" s="174">
        <v>0</v>
      </c>
      <c r="AI62" s="174">
        <v>0</v>
      </c>
      <c r="AJ62" s="174">
        <v>0</v>
      </c>
      <c r="AK62" s="174">
        <v>0</v>
      </c>
      <c r="AL62" s="174">
        <v>0</v>
      </c>
      <c r="AM62" s="174">
        <v>0</v>
      </c>
      <c r="AN62" s="174">
        <v>0</v>
      </c>
      <c r="AO62" s="174">
        <v>0</v>
      </c>
      <c r="AP62" s="174">
        <v>0</v>
      </c>
      <c r="AQ62" s="174">
        <v>0</v>
      </c>
      <c r="AR62" s="174">
        <v>0</v>
      </c>
      <c r="AS62" s="174">
        <v>0</v>
      </c>
      <c r="AT62" s="174">
        <v>0</v>
      </c>
      <c r="AU62" s="174">
        <v>0</v>
      </c>
      <c r="AV62" s="174">
        <v>0</v>
      </c>
      <c r="AW62" s="174">
        <v>0</v>
      </c>
      <c r="AX62" s="174">
        <v>0</v>
      </c>
      <c r="AY62" s="174">
        <v>0</v>
      </c>
      <c r="AZ62" s="174">
        <v>0</v>
      </c>
      <c r="BA62" s="174">
        <v>0</v>
      </c>
      <c r="BB62" s="174">
        <v>0</v>
      </c>
      <c r="BC62" s="174">
        <v>0</v>
      </c>
      <c r="BD62" s="174">
        <v>0</v>
      </c>
      <c r="BE62" s="174">
        <v>0</v>
      </c>
      <c r="BF62" s="174">
        <v>0</v>
      </c>
      <c r="BG62" s="174"/>
      <c r="BH62" s="175"/>
      <c r="BI62" s="166"/>
      <c r="BJ62" s="167"/>
      <c r="BK62" s="168"/>
      <c r="BL62" s="56"/>
      <c r="BM62" s="168"/>
      <c r="BN62" s="169" t="s">
        <v>386</v>
      </c>
      <c r="BO62" s="168"/>
      <c r="BP62" s="168"/>
      <c r="BQ62" s="168"/>
      <c r="BR62" s="207"/>
      <c r="BS62" s="168"/>
      <c r="BT62" s="168"/>
      <c r="BU62" s="167"/>
      <c r="BV62" s="170"/>
      <c r="BW62" s="48"/>
      <c r="BX62" s="168"/>
      <c r="BY62" s="168"/>
      <c r="BZ62" s="48"/>
      <c r="CA62" s="48"/>
      <c r="CB62" s="48"/>
      <c r="CC62" s="167"/>
      <c r="CD62" s="137"/>
      <c r="CE62" s="171"/>
      <c r="CF62" s="172"/>
      <c r="CG62" s="165"/>
    </row>
    <row r="63" spans="1:85" s="138" customFormat="1" ht="15" customHeight="1">
      <c r="A63" s="48"/>
      <c r="B63" s="29"/>
      <c r="C63" s="168"/>
      <c r="D63" s="48"/>
      <c r="E63" s="29"/>
      <c r="F63" s="48"/>
      <c r="G63" s="48"/>
      <c r="H63" s="48"/>
      <c r="I63" s="48"/>
      <c r="J63" s="170"/>
      <c r="K63" s="170"/>
      <c r="L63" s="170"/>
      <c r="M63" s="170"/>
      <c r="N63" s="170"/>
      <c r="O63" s="170"/>
      <c r="P63" s="48"/>
      <c r="Q63" s="48"/>
      <c r="R63" s="170"/>
      <c r="S63" s="170"/>
      <c r="T63" s="170"/>
      <c r="U63" s="170"/>
      <c r="V63" s="170"/>
      <c r="W63" s="170"/>
      <c r="X63" s="173"/>
      <c r="Y63" s="167"/>
      <c r="Z63" s="48"/>
      <c r="AA63" s="48">
        <v>1</v>
      </c>
      <c r="AB63" s="174">
        <v>0</v>
      </c>
      <c r="AC63" s="174"/>
      <c r="AD63" s="174">
        <v>0</v>
      </c>
      <c r="AE63" s="174">
        <v>0</v>
      </c>
      <c r="AF63" s="174">
        <v>0</v>
      </c>
      <c r="AG63" s="174">
        <v>0</v>
      </c>
      <c r="AH63" s="174">
        <v>0</v>
      </c>
      <c r="AI63" s="174">
        <v>0</v>
      </c>
      <c r="AJ63" s="174">
        <v>0</v>
      </c>
      <c r="AK63" s="174">
        <v>0</v>
      </c>
      <c r="AL63" s="174">
        <v>0</v>
      </c>
      <c r="AM63" s="174">
        <v>0</v>
      </c>
      <c r="AN63" s="174">
        <v>0</v>
      </c>
      <c r="AO63" s="174">
        <v>0</v>
      </c>
      <c r="AP63" s="174">
        <v>0</v>
      </c>
      <c r="AQ63" s="174">
        <v>0</v>
      </c>
      <c r="AR63" s="174">
        <v>0</v>
      </c>
      <c r="AS63" s="174">
        <v>0</v>
      </c>
      <c r="AT63" s="174">
        <v>0</v>
      </c>
      <c r="AU63" s="174">
        <v>0</v>
      </c>
      <c r="AV63" s="174">
        <v>0</v>
      </c>
      <c r="AW63" s="174">
        <v>0</v>
      </c>
      <c r="AX63" s="174">
        <v>0</v>
      </c>
      <c r="AY63" s="174">
        <v>0</v>
      </c>
      <c r="AZ63" s="174">
        <v>0</v>
      </c>
      <c r="BA63" s="174">
        <v>0</v>
      </c>
      <c r="BB63" s="174">
        <v>0</v>
      </c>
      <c r="BC63" s="174">
        <v>0</v>
      </c>
      <c r="BD63" s="174">
        <v>0</v>
      </c>
      <c r="BE63" s="174">
        <v>0</v>
      </c>
      <c r="BF63" s="174">
        <v>0</v>
      </c>
      <c r="BG63" s="174"/>
      <c r="BH63" s="175"/>
      <c r="BI63" s="166"/>
      <c r="BJ63" s="167"/>
      <c r="BK63" s="168"/>
      <c r="BL63" s="56"/>
      <c r="BM63" s="168"/>
      <c r="BN63" s="169" t="s">
        <v>386</v>
      </c>
      <c r="BO63" s="168"/>
      <c r="BP63" s="168"/>
      <c r="BQ63" s="168"/>
      <c r="BR63" s="207"/>
      <c r="BS63" s="168"/>
      <c r="BT63" s="168"/>
      <c r="BU63" s="167"/>
      <c r="BV63" s="170"/>
      <c r="BW63" s="48"/>
      <c r="BX63" s="168"/>
      <c r="BY63" s="168"/>
      <c r="BZ63" s="48"/>
      <c r="CA63" s="48"/>
      <c r="CB63" s="48"/>
      <c r="CC63" s="167"/>
      <c r="CD63" s="137"/>
      <c r="CE63" s="171"/>
      <c r="CF63" s="172"/>
      <c r="CG63" s="165"/>
    </row>
    <row r="64" spans="1:85" s="138" customFormat="1" ht="15" customHeight="1">
      <c r="A64" s="48"/>
      <c r="B64" s="29"/>
      <c r="C64" s="168"/>
      <c r="D64" s="48"/>
      <c r="E64" s="29"/>
      <c r="F64" s="48"/>
      <c r="G64" s="48"/>
      <c r="H64" s="48"/>
      <c r="I64" s="48"/>
      <c r="J64" s="170"/>
      <c r="K64" s="170"/>
      <c r="L64" s="170"/>
      <c r="M64" s="170"/>
      <c r="N64" s="170"/>
      <c r="O64" s="170"/>
      <c r="P64" s="48"/>
      <c r="Q64" s="48"/>
      <c r="R64" s="170"/>
      <c r="S64" s="170"/>
      <c r="T64" s="170"/>
      <c r="U64" s="170"/>
      <c r="V64" s="170"/>
      <c r="W64" s="170"/>
      <c r="X64" s="173"/>
      <c r="Y64" s="167"/>
      <c r="Z64" s="48"/>
      <c r="AA64" s="48"/>
      <c r="AB64" s="174"/>
      <c r="AC64" s="174"/>
      <c r="AD64" s="174"/>
      <c r="AE64" s="174"/>
      <c r="AF64" s="174"/>
      <c r="AG64" s="174"/>
      <c r="AH64" s="174"/>
      <c r="AI64" s="174"/>
      <c r="AJ64" s="174"/>
      <c r="AK64" s="174"/>
      <c r="AL64" s="174"/>
      <c r="AM64" s="174"/>
      <c r="AN64" s="174"/>
      <c r="AO64" s="174"/>
      <c r="AP64" s="174"/>
      <c r="AQ64" s="174"/>
      <c r="AR64" s="174"/>
      <c r="AS64" s="174"/>
      <c r="AT64" s="174"/>
      <c r="AU64" s="174"/>
      <c r="AV64" s="174"/>
      <c r="AW64" s="174"/>
      <c r="AX64" s="174"/>
      <c r="AY64" s="174"/>
      <c r="AZ64" s="174"/>
      <c r="BA64" s="174"/>
      <c r="BB64" s="174"/>
      <c r="BC64" s="174"/>
      <c r="BD64" s="174"/>
      <c r="BE64" s="174"/>
      <c r="BF64" s="174"/>
      <c r="BG64" s="174"/>
      <c r="BH64" s="175"/>
      <c r="BI64" s="166"/>
      <c r="BJ64" s="167"/>
      <c r="BK64" s="168"/>
      <c r="BL64" s="56"/>
      <c r="BM64" s="168"/>
      <c r="BN64" s="169"/>
      <c r="BO64" s="168"/>
      <c r="BP64" s="168"/>
      <c r="BQ64" s="168"/>
      <c r="BR64" s="207"/>
      <c r="BS64" s="168"/>
      <c r="BT64" s="168"/>
      <c r="BU64" s="167"/>
      <c r="BV64" s="170"/>
      <c r="BW64" s="48"/>
      <c r="BX64" s="168"/>
      <c r="BY64" s="168"/>
      <c r="BZ64" s="48"/>
      <c r="CA64" s="48"/>
      <c r="CB64" s="48"/>
      <c r="CC64" s="167"/>
      <c r="CD64" s="137"/>
      <c r="CE64" s="171"/>
      <c r="CF64" s="172"/>
      <c r="CG64" s="165"/>
    </row>
    <row r="65" spans="1:86" s="138" customFormat="1" ht="15" customHeight="1">
      <c r="A65" s="29"/>
      <c r="B65" s="29"/>
      <c r="C65" s="31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176"/>
      <c r="R65" s="176"/>
      <c r="S65" s="176"/>
      <c r="T65" s="176"/>
      <c r="U65" s="176"/>
      <c r="V65" s="176"/>
      <c r="W65" s="176"/>
      <c r="X65" s="177" t="s">
        <v>140</v>
      </c>
      <c r="Y65" s="178"/>
      <c r="Z65" s="179"/>
      <c r="AA65" s="179">
        <f t="shared" ref="AA65:AH65" si="0">SUM(AA27:AA63)</f>
        <v>37</v>
      </c>
      <c r="AB65" s="180">
        <f t="shared" si="0"/>
        <v>0</v>
      </c>
      <c r="AC65" s="180">
        <f t="shared" si="0"/>
        <v>0</v>
      </c>
      <c r="AD65" s="180">
        <f t="shared" si="0"/>
        <v>0</v>
      </c>
      <c r="AE65" s="180">
        <f t="shared" si="0"/>
        <v>0</v>
      </c>
      <c r="AF65" s="180">
        <f t="shared" si="0"/>
        <v>0</v>
      </c>
      <c r="AG65" s="180">
        <f t="shared" si="0"/>
        <v>0</v>
      </c>
      <c r="AH65" s="180">
        <f t="shared" si="0"/>
        <v>0</v>
      </c>
      <c r="AI65" s="180">
        <f>SUM(AI27:AI64)</f>
        <v>0</v>
      </c>
      <c r="AJ65" s="180">
        <f t="shared" ref="AJ65:BG65" si="1">SUM(AJ27:AJ64)</f>
        <v>0</v>
      </c>
      <c r="AK65" s="180">
        <f t="shared" si="1"/>
        <v>0</v>
      </c>
      <c r="AL65" s="180">
        <f t="shared" si="1"/>
        <v>0</v>
      </c>
      <c r="AM65" s="180">
        <f t="shared" si="1"/>
        <v>0</v>
      </c>
      <c r="AN65" s="180">
        <f t="shared" si="1"/>
        <v>0</v>
      </c>
      <c r="AO65" s="180">
        <f t="shared" si="1"/>
        <v>0</v>
      </c>
      <c r="AP65" s="180">
        <f t="shared" si="1"/>
        <v>0</v>
      </c>
      <c r="AQ65" s="180">
        <f t="shared" si="1"/>
        <v>0</v>
      </c>
      <c r="AR65" s="180">
        <f t="shared" si="1"/>
        <v>0</v>
      </c>
      <c r="AS65" s="180">
        <f t="shared" si="1"/>
        <v>0</v>
      </c>
      <c r="AT65" s="180">
        <f t="shared" si="1"/>
        <v>0</v>
      </c>
      <c r="AU65" s="180">
        <f t="shared" si="1"/>
        <v>0</v>
      </c>
      <c r="AV65" s="180">
        <f t="shared" si="1"/>
        <v>0</v>
      </c>
      <c r="AW65" s="180">
        <f t="shared" si="1"/>
        <v>0</v>
      </c>
      <c r="AX65" s="180">
        <f t="shared" si="1"/>
        <v>0</v>
      </c>
      <c r="AY65" s="180">
        <f t="shared" si="1"/>
        <v>0</v>
      </c>
      <c r="AZ65" s="180">
        <f t="shared" si="1"/>
        <v>0</v>
      </c>
      <c r="BA65" s="180">
        <f t="shared" si="1"/>
        <v>0</v>
      </c>
      <c r="BB65" s="180">
        <f t="shared" si="1"/>
        <v>0</v>
      </c>
      <c r="BC65" s="180">
        <f t="shared" si="1"/>
        <v>0</v>
      </c>
      <c r="BD65" s="180">
        <f t="shared" si="1"/>
        <v>0</v>
      </c>
      <c r="BE65" s="180">
        <f t="shared" si="1"/>
        <v>0</v>
      </c>
      <c r="BF65" s="180">
        <f t="shared" si="1"/>
        <v>0</v>
      </c>
      <c r="BG65" s="180">
        <f t="shared" si="1"/>
        <v>0</v>
      </c>
      <c r="BH65" s="181"/>
      <c r="BI65" s="31"/>
      <c r="BJ65" s="182"/>
      <c r="BK65" s="31"/>
      <c r="BL65" s="56"/>
      <c r="BM65" s="29"/>
      <c r="BN65" s="183"/>
      <c r="BO65" s="31"/>
      <c r="BP65" s="31"/>
      <c r="BQ65" s="31"/>
      <c r="BR65" s="208"/>
      <c r="BS65" s="31"/>
      <c r="BT65" s="183"/>
      <c r="BU65" s="182"/>
      <c r="BV65" s="183"/>
      <c r="BW65" s="183"/>
      <c r="BX65" s="31"/>
      <c r="BY65" s="183"/>
      <c r="BZ65" s="183"/>
      <c r="CA65" s="183"/>
      <c r="CB65" s="183"/>
      <c r="CC65" s="184"/>
      <c r="CD65" s="137"/>
      <c r="CE65" s="183"/>
      <c r="CF65" s="183"/>
      <c r="CG65" s="183"/>
      <c r="CH65" s="183"/>
    </row>
    <row r="66" spans="1:86" s="138" customFormat="1" ht="15" customHeight="1">
      <c r="A66" s="48"/>
      <c r="B66" s="29"/>
      <c r="C66" s="168"/>
      <c r="D66" s="48"/>
      <c r="E66" s="29"/>
      <c r="F66" s="48"/>
      <c r="G66" s="48"/>
      <c r="H66" s="48"/>
      <c r="I66" s="48"/>
      <c r="J66" s="170"/>
      <c r="K66" s="170"/>
      <c r="L66" s="170"/>
      <c r="M66" s="170"/>
      <c r="N66" s="170"/>
      <c r="O66" s="170"/>
      <c r="P66" s="48"/>
      <c r="Q66" s="48"/>
      <c r="R66" s="170"/>
      <c r="S66" s="170"/>
      <c r="T66" s="170"/>
      <c r="U66" s="170"/>
      <c r="V66" s="170"/>
      <c r="W66" s="170"/>
      <c r="X66" s="173"/>
      <c r="Y66" s="167"/>
      <c r="Z66" s="48"/>
      <c r="AA66" s="48"/>
      <c r="AB66" s="174"/>
      <c r="AC66" s="174"/>
      <c r="AD66" s="174"/>
      <c r="AE66" s="174"/>
      <c r="AF66" s="174"/>
      <c r="AG66" s="174"/>
      <c r="AH66" s="174"/>
      <c r="AI66" s="174"/>
      <c r="AJ66" s="174"/>
      <c r="AK66" s="174"/>
      <c r="AL66" s="174"/>
      <c r="AM66" s="174"/>
      <c r="AN66" s="174"/>
      <c r="AO66" s="174"/>
      <c r="AP66" s="174"/>
      <c r="AQ66" s="174"/>
      <c r="AR66" s="174"/>
      <c r="AS66" s="174"/>
      <c r="AT66" s="174"/>
      <c r="AU66" s="174"/>
      <c r="AV66" s="174"/>
      <c r="AW66" s="174"/>
      <c r="AX66" s="174"/>
      <c r="AY66" s="174"/>
      <c r="AZ66" s="174"/>
      <c r="BA66" s="174"/>
      <c r="BB66" s="174"/>
      <c r="BC66" s="174"/>
      <c r="BD66" s="174"/>
      <c r="BE66" s="174"/>
      <c r="BF66" s="174"/>
      <c r="BG66" s="174"/>
      <c r="BH66" s="175"/>
      <c r="BI66" s="166"/>
      <c r="BJ66" s="167"/>
      <c r="BK66" s="168"/>
      <c r="BL66" s="56"/>
      <c r="BM66" s="168"/>
      <c r="BN66" s="169"/>
      <c r="BO66" s="168"/>
      <c r="BP66" s="168"/>
      <c r="BQ66" s="168"/>
      <c r="BR66" s="207"/>
      <c r="BS66" s="168"/>
      <c r="BT66" s="168"/>
      <c r="BU66" s="167"/>
      <c r="BV66" s="170"/>
      <c r="BW66" s="48"/>
      <c r="BX66" s="168"/>
      <c r="BY66" s="168"/>
      <c r="BZ66" s="48"/>
      <c r="CA66" s="48"/>
      <c r="CB66" s="48"/>
      <c r="CC66" s="167"/>
      <c r="CD66" s="137"/>
      <c r="CE66" s="171"/>
      <c r="CF66" s="172"/>
      <c r="CG66" s="165"/>
    </row>
    <row r="67" spans="1:86" s="138" customFormat="1" ht="15" customHeight="1">
      <c r="A67" s="48"/>
      <c r="B67" s="29"/>
      <c r="C67" s="168"/>
      <c r="D67" s="48"/>
      <c r="E67" s="29"/>
      <c r="F67" s="48"/>
      <c r="G67" s="48"/>
      <c r="H67" s="48"/>
      <c r="I67" s="48"/>
      <c r="J67" s="170"/>
      <c r="K67" s="170"/>
      <c r="L67" s="170"/>
      <c r="M67" s="170"/>
      <c r="N67" s="170"/>
      <c r="O67" s="170"/>
      <c r="P67" s="48"/>
      <c r="Q67" s="48"/>
      <c r="R67" s="170"/>
      <c r="S67" s="170"/>
      <c r="T67" s="170"/>
      <c r="U67" s="170"/>
      <c r="V67" s="170"/>
      <c r="W67" s="170"/>
      <c r="X67" s="173"/>
      <c r="Y67" s="167"/>
      <c r="Z67" s="48"/>
      <c r="AA67" s="48"/>
      <c r="AB67" s="174"/>
      <c r="AC67" s="174"/>
      <c r="AD67" s="174"/>
      <c r="AE67" s="174"/>
      <c r="AF67" s="174"/>
      <c r="AG67" s="174"/>
      <c r="AH67" s="174"/>
      <c r="AI67" s="174"/>
      <c r="AJ67" s="174"/>
      <c r="AK67" s="174"/>
      <c r="AL67" s="174"/>
      <c r="AM67" s="174"/>
      <c r="AN67" s="174"/>
      <c r="AO67" s="174"/>
      <c r="AP67" s="174"/>
      <c r="AQ67" s="174"/>
      <c r="AR67" s="174"/>
      <c r="AS67" s="174"/>
      <c r="AT67" s="174"/>
      <c r="AU67" s="174"/>
      <c r="AV67" s="174"/>
      <c r="AW67" s="174"/>
      <c r="AX67" s="174"/>
      <c r="AY67" s="174"/>
      <c r="AZ67" s="174"/>
      <c r="BA67" s="174"/>
      <c r="BB67" s="174"/>
      <c r="BC67" s="174"/>
      <c r="BD67" s="174"/>
      <c r="BE67" s="174"/>
      <c r="BF67" s="174"/>
      <c r="BG67" s="174"/>
      <c r="BH67" s="175"/>
      <c r="BI67" s="166"/>
      <c r="BJ67" s="167"/>
      <c r="BK67" s="168"/>
      <c r="BL67" s="56"/>
      <c r="BM67" s="168"/>
      <c r="BN67" s="169"/>
      <c r="BO67" s="168"/>
      <c r="BP67" s="168"/>
      <c r="BQ67" s="168"/>
      <c r="BR67" s="207"/>
      <c r="BS67" s="168"/>
      <c r="BT67" s="168"/>
      <c r="BU67" s="167"/>
      <c r="BV67" s="170"/>
      <c r="BW67" s="48"/>
      <c r="BX67" s="168"/>
      <c r="BY67" s="168"/>
      <c r="BZ67" s="48"/>
      <c r="CA67" s="48"/>
      <c r="CB67" s="48"/>
      <c r="CC67" s="167"/>
      <c r="CD67" s="137"/>
      <c r="CE67" s="171"/>
      <c r="CF67" s="172"/>
      <c r="CG67" s="165"/>
    </row>
    <row r="68" spans="1:86" s="138" customFormat="1" ht="15" customHeight="1">
      <c r="A68" s="48"/>
      <c r="B68" s="29"/>
      <c r="C68" s="168"/>
      <c r="D68" s="48"/>
      <c r="E68" s="29"/>
      <c r="F68" s="48"/>
      <c r="G68" s="48"/>
      <c r="H68" s="48"/>
      <c r="I68" s="48"/>
      <c r="J68" s="170"/>
      <c r="K68" s="170"/>
      <c r="L68" s="170"/>
      <c r="M68" s="170"/>
      <c r="N68" s="170"/>
      <c r="O68" s="170"/>
      <c r="P68" s="48"/>
      <c r="Q68" s="48"/>
      <c r="R68" s="170"/>
      <c r="S68" s="170"/>
      <c r="T68" s="170"/>
      <c r="U68" s="170"/>
      <c r="V68" s="170"/>
      <c r="W68" s="170"/>
      <c r="X68" s="173"/>
      <c r="Y68" s="167"/>
      <c r="Z68" s="48"/>
      <c r="AA68" s="48"/>
      <c r="AB68" s="174"/>
      <c r="AC68" s="174"/>
      <c r="AD68" s="174"/>
      <c r="AE68" s="174"/>
      <c r="AF68" s="174"/>
      <c r="AG68" s="174"/>
      <c r="AH68" s="174"/>
      <c r="AI68" s="174"/>
      <c r="AJ68" s="174"/>
      <c r="AK68" s="174"/>
      <c r="AL68" s="174"/>
      <c r="AM68" s="174"/>
      <c r="AN68" s="174"/>
      <c r="AO68" s="174"/>
      <c r="AP68" s="174"/>
      <c r="AQ68" s="174"/>
      <c r="AR68" s="174"/>
      <c r="AS68" s="174"/>
      <c r="AT68" s="174"/>
      <c r="AU68" s="174"/>
      <c r="AV68" s="174"/>
      <c r="AW68" s="174"/>
      <c r="AX68" s="174"/>
      <c r="AY68" s="174"/>
      <c r="AZ68" s="174"/>
      <c r="BA68" s="174"/>
      <c r="BB68" s="174"/>
      <c r="BC68" s="174"/>
      <c r="BD68" s="174"/>
      <c r="BE68" s="174"/>
      <c r="BF68" s="174"/>
      <c r="BG68" s="174"/>
      <c r="BH68" s="175"/>
      <c r="BI68" s="166"/>
      <c r="BJ68" s="167"/>
      <c r="BK68" s="168"/>
      <c r="BL68" s="56"/>
      <c r="BM68" s="168"/>
      <c r="BN68" s="169"/>
      <c r="BO68" s="168"/>
      <c r="BP68" s="168"/>
      <c r="BQ68" s="168"/>
      <c r="BR68" s="207"/>
      <c r="BS68" s="168"/>
      <c r="BT68" s="168"/>
      <c r="BU68" s="167"/>
      <c r="BV68" s="170"/>
      <c r="BW68" s="48"/>
      <c r="BX68" s="168"/>
      <c r="BY68" s="168"/>
      <c r="BZ68" s="48"/>
      <c r="CA68" s="48"/>
      <c r="CB68" s="48"/>
      <c r="CC68" s="167"/>
      <c r="CD68" s="137"/>
      <c r="CE68" s="171"/>
      <c r="CF68" s="172"/>
      <c r="CG68" s="165"/>
    </row>
    <row r="69" spans="1:86" s="138" customFormat="1" ht="15" customHeight="1">
      <c r="A69" s="48"/>
      <c r="B69" s="29"/>
      <c r="C69" s="168"/>
      <c r="D69" s="48"/>
      <c r="E69" s="29"/>
      <c r="F69" s="48"/>
      <c r="G69" s="48"/>
      <c r="H69" s="48"/>
      <c r="I69" s="48"/>
      <c r="J69" s="170"/>
      <c r="K69" s="170"/>
      <c r="L69" s="170"/>
      <c r="M69" s="170"/>
      <c r="N69" s="170"/>
      <c r="O69" s="170"/>
      <c r="P69" s="48"/>
      <c r="Q69" s="48"/>
      <c r="R69" s="170"/>
      <c r="S69" s="170"/>
      <c r="T69" s="170"/>
      <c r="U69" s="170"/>
      <c r="V69" s="170"/>
      <c r="W69" s="170"/>
      <c r="X69" s="173"/>
      <c r="Y69" s="167"/>
      <c r="Z69" s="48"/>
      <c r="AA69" s="48"/>
      <c r="AB69" s="174"/>
      <c r="AC69" s="174"/>
      <c r="AD69" s="174"/>
      <c r="AE69" s="174"/>
      <c r="AF69" s="174"/>
      <c r="AG69" s="174"/>
      <c r="AH69" s="174"/>
      <c r="AI69" s="174"/>
      <c r="AJ69" s="174"/>
      <c r="AK69" s="174"/>
      <c r="AL69" s="174"/>
      <c r="AM69" s="174"/>
      <c r="AN69" s="174"/>
      <c r="AO69" s="174"/>
      <c r="AP69" s="174"/>
      <c r="AQ69" s="174"/>
      <c r="AR69" s="174"/>
      <c r="AS69" s="174"/>
      <c r="AT69" s="174"/>
      <c r="AU69" s="174"/>
      <c r="AV69" s="174"/>
      <c r="AW69" s="174"/>
      <c r="AX69" s="174"/>
      <c r="AY69" s="174"/>
      <c r="AZ69" s="174"/>
      <c r="BA69" s="174"/>
      <c r="BB69" s="174"/>
      <c r="BC69" s="174"/>
      <c r="BD69" s="174"/>
      <c r="BE69" s="174"/>
      <c r="BF69" s="174"/>
      <c r="BG69" s="174"/>
      <c r="BH69" s="175"/>
      <c r="BI69" s="166"/>
      <c r="BJ69" s="167"/>
      <c r="BK69" s="168"/>
      <c r="BL69" s="56"/>
      <c r="BM69" s="168"/>
      <c r="BN69" s="169"/>
      <c r="BO69" s="168"/>
      <c r="BP69" s="168"/>
      <c r="BQ69" s="168"/>
      <c r="BR69" s="207"/>
      <c r="BS69" s="168"/>
      <c r="BT69" s="168"/>
      <c r="BU69" s="167"/>
      <c r="BV69" s="170"/>
      <c r="BW69" s="48"/>
      <c r="BX69" s="168"/>
      <c r="BY69" s="168"/>
      <c r="BZ69" s="48"/>
      <c r="CA69" s="48"/>
      <c r="CB69" s="48"/>
      <c r="CC69" s="167"/>
      <c r="CD69" s="137"/>
      <c r="CE69" s="171"/>
      <c r="CF69" s="172"/>
      <c r="CG69" s="165"/>
    </row>
    <row r="70" spans="1:86" s="138" customFormat="1" ht="15" customHeight="1">
      <c r="A70" s="48"/>
      <c r="B70" s="29"/>
      <c r="C70" s="168"/>
      <c r="D70" s="48"/>
      <c r="E70" s="29"/>
      <c r="F70" s="48"/>
      <c r="G70" s="48"/>
      <c r="H70" s="48"/>
      <c r="I70" s="48"/>
      <c r="J70" s="170"/>
      <c r="K70" s="170"/>
      <c r="L70" s="170"/>
      <c r="M70" s="170"/>
      <c r="N70" s="170"/>
      <c r="O70" s="170"/>
      <c r="P70" s="48"/>
      <c r="Q70" s="48"/>
      <c r="R70" s="170"/>
      <c r="S70" s="170"/>
      <c r="T70" s="170"/>
      <c r="U70" s="170"/>
      <c r="V70" s="170"/>
      <c r="W70" s="170"/>
      <c r="X70" s="173"/>
      <c r="Y70" s="167"/>
      <c r="Z70" s="48"/>
      <c r="AA70" s="48"/>
      <c r="AB70" s="174"/>
      <c r="AC70" s="174"/>
      <c r="AD70" s="174"/>
      <c r="AE70" s="174"/>
      <c r="AF70" s="174"/>
      <c r="AG70" s="174"/>
      <c r="AH70" s="174"/>
      <c r="AI70" s="174"/>
      <c r="AJ70" s="174"/>
      <c r="AK70" s="174"/>
      <c r="AL70" s="174"/>
      <c r="AM70" s="174"/>
      <c r="AN70" s="174"/>
      <c r="AO70" s="174"/>
      <c r="AP70" s="174"/>
      <c r="AQ70" s="174"/>
      <c r="AR70" s="174"/>
      <c r="AS70" s="174"/>
      <c r="AT70" s="174"/>
      <c r="AU70" s="174"/>
      <c r="AV70" s="174"/>
      <c r="AW70" s="174"/>
      <c r="AX70" s="174"/>
      <c r="AY70" s="174"/>
      <c r="AZ70" s="174"/>
      <c r="BA70" s="174"/>
      <c r="BB70" s="174"/>
      <c r="BC70" s="174"/>
      <c r="BD70" s="174"/>
      <c r="BE70" s="174"/>
      <c r="BF70" s="174"/>
      <c r="BG70" s="174"/>
      <c r="BH70" s="175"/>
      <c r="BI70" s="166"/>
      <c r="BJ70" s="167"/>
      <c r="BK70" s="168"/>
      <c r="BL70" s="56"/>
      <c r="BM70" s="168"/>
      <c r="BN70" s="169"/>
      <c r="BO70" s="168"/>
      <c r="BP70" s="168"/>
      <c r="BQ70" s="168"/>
      <c r="BR70" s="207"/>
      <c r="BS70" s="168"/>
      <c r="BT70" s="168"/>
      <c r="BU70" s="167"/>
      <c r="BV70" s="170"/>
      <c r="BW70" s="48"/>
      <c r="BX70" s="168"/>
      <c r="BY70" s="168"/>
      <c r="BZ70" s="48"/>
      <c r="CA70" s="48"/>
      <c r="CB70" s="48"/>
      <c r="CC70" s="167"/>
      <c r="CD70" s="137"/>
      <c r="CE70" s="171"/>
      <c r="CF70" s="172"/>
      <c r="CG70" s="165"/>
    </row>
    <row r="71" spans="1:86" s="138" customFormat="1" ht="15.6">
      <c r="C71" s="185"/>
      <c r="X71" s="186"/>
      <c r="BL71" s="187"/>
    </row>
    <row r="72" spans="1:86" s="138" customFormat="1" ht="15.6">
      <c r="C72" s="185"/>
      <c r="X72" s="186"/>
      <c r="BL72" s="187"/>
    </row>
    <row r="73" spans="1:86" s="138" customFormat="1" ht="15.6">
      <c r="C73" s="185"/>
      <c r="X73" s="186"/>
      <c r="BL73" s="187"/>
    </row>
    <row r="74" spans="1:86" s="138" customFormat="1" ht="15.6">
      <c r="C74" s="185"/>
      <c r="X74" s="186"/>
      <c r="BL74" s="187"/>
    </row>
  </sheetData>
  <autoFilter ref="A26:CH26" xr:uid="{0B3BE0A8-94D9-4943-B51D-CC52050FCF99}"/>
  <printOptions horizontalCentered="1"/>
  <pageMargins left="0.5" right="0.5" top="0.5" bottom="0.5" header="0.3" footer="0.3"/>
  <pageSetup scale="25" fitToHeight="0" orientation="landscape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A57BB-0FA8-4656-B6E1-2219002DAA47}">
  <sheetPr>
    <tabColor theme="2" tint="-0.249977111117893"/>
    <pageSetUpPr fitToPage="1"/>
  </sheetPr>
  <dimension ref="A1:CH44"/>
  <sheetViews>
    <sheetView topLeftCell="A8" zoomScale="80" zoomScaleNormal="80" workbookViewId="0">
      <selection activeCell="A27" sqref="A27:XFD33"/>
    </sheetView>
  </sheetViews>
  <sheetFormatPr defaultColWidth="8.85546875" defaultRowHeight="14.45"/>
  <cols>
    <col min="1" max="1" width="29.140625" style="136" customWidth="1"/>
    <col min="2" max="2" width="7.28515625" style="136" hidden="1" customWidth="1"/>
    <col min="3" max="3" width="16.42578125" style="188" bestFit="1" customWidth="1"/>
    <col min="4" max="4" width="6.7109375" style="136" bestFit="1" customWidth="1"/>
    <col min="5" max="5" width="9.28515625" style="136" customWidth="1"/>
    <col min="6" max="6" width="11.28515625" style="136" bestFit="1" customWidth="1"/>
    <col min="7" max="7" width="12.7109375" style="136" bestFit="1" customWidth="1"/>
    <col min="8" max="15" width="0.85546875" style="136" hidden="1" customWidth="1"/>
    <col min="16" max="16" width="3.42578125" style="136" hidden="1" customWidth="1"/>
    <col min="17" max="17" width="22.140625" style="136" customWidth="1"/>
    <col min="18" max="21" width="2.85546875" style="136" hidden="1" customWidth="1"/>
    <col min="22" max="22" width="19.85546875" style="136" hidden="1" customWidth="1"/>
    <col min="23" max="23" width="1.42578125" style="136" hidden="1" customWidth="1"/>
    <col min="24" max="24" width="22.140625" style="189" customWidth="1"/>
    <col min="25" max="25" width="5.140625" style="136" hidden="1" customWidth="1"/>
    <col min="26" max="26" width="19" style="136" hidden="1" customWidth="1"/>
    <col min="27" max="27" width="14.140625" style="136" hidden="1" customWidth="1"/>
    <col min="28" max="28" width="7.42578125" style="136" hidden="1" customWidth="1"/>
    <col min="29" max="29" width="1.7109375" style="136" hidden="1" customWidth="1"/>
    <col min="30" max="30" width="7.42578125" style="136" hidden="1" customWidth="1"/>
    <col min="31" max="34" width="1" style="136" hidden="1" customWidth="1"/>
    <col min="35" max="35" width="9.42578125" style="136" hidden="1" customWidth="1"/>
    <col min="36" max="36" width="10.28515625" style="136" customWidth="1"/>
    <col min="37" max="37" width="18.140625" style="136" customWidth="1"/>
    <col min="38" max="38" width="10.42578125" style="136" hidden="1" customWidth="1"/>
    <col min="39" max="40" width="1.42578125" style="136" hidden="1" customWidth="1"/>
    <col min="41" max="58" width="2.7109375" style="136" hidden="1" customWidth="1"/>
    <col min="59" max="59" width="10.140625" style="136" bestFit="1" customWidth="1"/>
    <col min="60" max="60" width="16.85546875" style="136" bestFit="1" customWidth="1"/>
    <col min="61" max="61" width="9.42578125" style="136" bestFit="1" customWidth="1"/>
    <col min="62" max="62" width="12.42578125" style="136" bestFit="1" customWidth="1"/>
    <col min="63" max="63" width="17.140625" style="136" bestFit="1" customWidth="1"/>
    <col min="64" max="64" width="32.28515625" style="190" bestFit="1" customWidth="1"/>
    <col min="65" max="65" width="18" style="136" bestFit="1" customWidth="1"/>
    <col min="66" max="66" width="8.85546875" style="136"/>
    <col min="67" max="67" width="0.5703125" style="136" customWidth="1"/>
    <col min="68" max="68" width="10.7109375" style="136" bestFit="1" customWidth="1"/>
    <col min="69" max="69" width="1" style="136" customWidth="1"/>
    <col min="70" max="70" width="19.5703125" style="136" bestFit="1" customWidth="1"/>
    <col min="71" max="74" width="0.7109375" style="136" customWidth="1"/>
    <col min="75" max="80" width="0.5703125" style="136" customWidth="1"/>
    <col min="81" max="81" width="13.7109375" style="136" bestFit="1" customWidth="1"/>
    <col min="82" max="82" width="14.7109375" style="136" bestFit="1" customWidth="1"/>
    <col min="83" max="83" width="8.85546875" style="136"/>
    <col min="84" max="84" width="17.140625" style="136" bestFit="1" customWidth="1"/>
    <col min="85" max="16384" width="8.85546875" style="136"/>
  </cols>
  <sheetData>
    <row r="1" spans="1:85" ht="25.9">
      <c r="A1" s="132" t="s">
        <v>25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3"/>
      <c r="R1" s="132"/>
      <c r="S1" s="132"/>
      <c r="T1" s="132"/>
      <c r="U1" s="132"/>
      <c r="V1" s="132"/>
      <c r="W1" s="132"/>
      <c r="X1" s="134"/>
      <c r="Y1" s="6"/>
      <c r="Z1" s="6"/>
      <c r="AA1" s="2"/>
      <c r="AB1" s="26"/>
      <c r="AC1" s="26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7"/>
      <c r="BI1" s="3"/>
      <c r="BJ1" s="8"/>
      <c r="BK1" s="3"/>
      <c r="BL1" s="40"/>
      <c r="BM1" s="28"/>
      <c r="BN1" s="5"/>
      <c r="BO1" s="3"/>
      <c r="BP1" s="3"/>
      <c r="BQ1" s="3"/>
      <c r="BR1" s="200"/>
      <c r="BS1" s="3"/>
      <c r="BT1" s="5"/>
      <c r="BU1" s="8"/>
      <c r="BV1" s="5"/>
      <c r="BW1" s="5"/>
      <c r="BX1" s="3"/>
      <c r="BY1" s="5"/>
      <c r="BZ1" s="5"/>
      <c r="CA1" s="5"/>
      <c r="CB1" s="5"/>
      <c r="CC1" s="5"/>
      <c r="CD1" s="135"/>
      <c r="CE1" s="5"/>
      <c r="CF1" s="5"/>
      <c r="CG1" s="5"/>
    </row>
    <row r="2" spans="1:85" s="138" customFormat="1" ht="15" customHeight="1">
      <c r="A2" s="43" t="s">
        <v>26</v>
      </c>
      <c r="B2" s="44"/>
      <c r="C2" s="46" t="s">
        <v>159</v>
      </c>
      <c r="D2" s="44"/>
      <c r="E2" s="44"/>
      <c r="F2" s="44"/>
      <c r="G2" s="29"/>
      <c r="H2" s="29"/>
      <c r="I2" s="29"/>
      <c r="J2" s="29"/>
      <c r="K2" s="29"/>
      <c r="L2" s="29"/>
      <c r="M2" s="29"/>
      <c r="N2" s="29"/>
      <c r="O2" s="29"/>
      <c r="P2" s="29"/>
      <c r="Q2" s="137"/>
      <c r="R2" s="30"/>
      <c r="S2" s="30"/>
      <c r="T2" s="30"/>
      <c r="U2" s="30"/>
      <c r="V2" s="30"/>
      <c r="W2" s="30"/>
      <c r="X2" s="39"/>
      <c r="Y2" s="30"/>
      <c r="Z2" s="30"/>
      <c r="AA2" s="31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3"/>
      <c r="BI2" s="34"/>
      <c r="BJ2" s="35"/>
      <c r="BK2" s="34"/>
      <c r="BL2" s="41"/>
      <c r="BM2" s="36"/>
      <c r="BN2" s="37"/>
      <c r="BO2" s="34"/>
      <c r="BP2" s="34"/>
      <c r="BQ2" s="34"/>
      <c r="BR2" s="205"/>
      <c r="BS2" s="34"/>
      <c r="BT2" s="37"/>
      <c r="BU2" s="35"/>
      <c r="BV2" s="37"/>
      <c r="BW2" s="37"/>
      <c r="BX2" s="34"/>
      <c r="BY2" s="37"/>
      <c r="BZ2" s="37"/>
      <c r="CA2" s="37"/>
      <c r="CB2" s="37"/>
      <c r="CC2" s="37"/>
      <c r="CD2" s="137"/>
      <c r="CE2" s="37"/>
      <c r="CF2" s="37"/>
      <c r="CG2" s="37"/>
    </row>
    <row r="3" spans="1:85" s="138" customFormat="1" ht="15" customHeight="1">
      <c r="A3" s="47" t="s">
        <v>27</v>
      </c>
      <c r="B3" s="29"/>
      <c r="C3" s="46" t="s">
        <v>387</v>
      </c>
      <c r="D3" s="48"/>
      <c r="E3" s="48"/>
      <c r="F3" s="48"/>
      <c r="G3" s="29"/>
      <c r="H3" s="29"/>
      <c r="I3" s="29"/>
      <c r="J3" s="29"/>
      <c r="K3" s="29"/>
      <c r="L3" s="29"/>
      <c r="M3" s="29"/>
      <c r="N3" s="29"/>
      <c r="O3" s="29"/>
      <c r="P3" s="29"/>
      <c r="Q3" s="137"/>
      <c r="R3" s="30"/>
      <c r="S3" s="30"/>
      <c r="T3" s="30"/>
      <c r="U3" s="30"/>
      <c r="V3" s="30"/>
      <c r="W3" s="30"/>
      <c r="X3" s="39"/>
      <c r="Y3" s="30"/>
      <c r="Z3" s="30"/>
      <c r="AA3" s="31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3"/>
      <c r="BI3" s="34"/>
      <c r="BJ3" s="35"/>
      <c r="BK3" s="34"/>
      <c r="BL3" s="41"/>
      <c r="BM3" s="36"/>
      <c r="BN3" s="37"/>
      <c r="BO3" s="34"/>
      <c r="BP3" s="34"/>
      <c r="BQ3" s="34"/>
      <c r="BR3" s="205"/>
      <c r="BS3" s="34"/>
      <c r="BT3" s="37"/>
      <c r="BU3" s="35"/>
      <c r="BV3" s="37"/>
      <c r="BW3" s="37"/>
      <c r="BX3" s="34"/>
      <c r="BY3" s="37"/>
      <c r="BZ3" s="37"/>
      <c r="CA3" s="37"/>
      <c r="CB3" s="37"/>
      <c r="CC3" s="37"/>
      <c r="CD3" s="137"/>
      <c r="CE3" s="37"/>
      <c r="CF3" s="37"/>
      <c r="CG3" s="37"/>
    </row>
    <row r="4" spans="1:85" s="138" customFormat="1" ht="15" customHeight="1">
      <c r="A4" s="43" t="s">
        <v>29</v>
      </c>
      <c r="B4" s="45"/>
      <c r="C4" s="46"/>
      <c r="D4" s="29"/>
      <c r="E4" s="29"/>
      <c r="F4" s="29"/>
      <c r="G4" s="29"/>
      <c r="H4" s="29"/>
      <c r="I4" s="29"/>
      <c r="J4" s="44"/>
      <c r="K4" s="44"/>
      <c r="L4" s="44"/>
      <c r="M4" s="44"/>
      <c r="N4" s="44"/>
      <c r="O4" s="44"/>
      <c r="P4" s="44"/>
      <c r="Q4" s="137"/>
      <c r="R4" s="49"/>
      <c r="S4" s="49"/>
      <c r="T4" s="49"/>
      <c r="U4" s="49"/>
      <c r="V4" s="49"/>
      <c r="W4" s="49"/>
      <c r="X4" s="39"/>
      <c r="Y4" s="49"/>
      <c r="Z4" s="49"/>
      <c r="AA4" s="31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50"/>
      <c r="BI4" s="34"/>
      <c r="BJ4" s="35"/>
      <c r="BK4" s="34"/>
      <c r="BL4" s="41"/>
      <c r="BM4" s="36"/>
      <c r="BN4" s="37"/>
      <c r="BO4" s="34"/>
      <c r="BP4" s="34"/>
      <c r="BQ4" s="34"/>
      <c r="BR4" s="205"/>
      <c r="BS4" s="34"/>
      <c r="BT4" s="37"/>
      <c r="BU4" s="35"/>
      <c r="BV4" s="37"/>
      <c r="BW4" s="37"/>
      <c r="BX4" s="34"/>
      <c r="BY4" s="37"/>
      <c r="BZ4" s="37"/>
      <c r="CA4" s="37"/>
      <c r="CB4" s="37"/>
      <c r="CC4" s="37"/>
      <c r="CD4" s="137"/>
      <c r="CE4" s="37"/>
      <c r="CF4" s="37"/>
      <c r="CG4" s="37"/>
    </row>
    <row r="5" spans="1:85" s="138" customFormat="1" ht="15" customHeight="1">
      <c r="A5" s="43" t="s">
        <v>30</v>
      </c>
      <c r="B5" s="45"/>
      <c r="C5" s="139">
        <v>1</v>
      </c>
      <c r="D5" s="29"/>
      <c r="E5" s="29"/>
      <c r="F5" s="29"/>
      <c r="G5" s="29"/>
      <c r="H5" s="29"/>
      <c r="I5" s="29"/>
      <c r="J5" s="44"/>
      <c r="K5" s="44"/>
      <c r="L5" s="44"/>
      <c r="M5" s="44"/>
      <c r="N5" s="44"/>
      <c r="O5" s="44"/>
      <c r="P5" s="44"/>
      <c r="Q5" s="137"/>
      <c r="R5" s="49"/>
      <c r="S5" s="49"/>
      <c r="T5" s="49"/>
      <c r="U5" s="49"/>
      <c r="V5" s="49"/>
      <c r="W5" s="49"/>
      <c r="X5" s="39"/>
      <c r="Y5" s="49"/>
      <c r="Z5" s="49"/>
      <c r="AA5" s="31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50"/>
      <c r="BI5" s="34"/>
      <c r="BJ5" s="35"/>
      <c r="BK5" s="34"/>
      <c r="BL5" s="41"/>
      <c r="BM5" s="36"/>
      <c r="BN5" s="37"/>
      <c r="BO5" s="34"/>
      <c r="BP5" s="34"/>
      <c r="BQ5" s="34"/>
      <c r="BR5" s="205"/>
      <c r="BS5" s="34"/>
      <c r="BT5" s="37"/>
      <c r="BU5" s="35"/>
      <c r="BV5" s="37"/>
      <c r="BW5" s="37"/>
      <c r="BX5" s="34"/>
      <c r="BY5" s="37"/>
      <c r="BZ5" s="37"/>
      <c r="CA5" s="37"/>
      <c r="CB5" s="37"/>
      <c r="CC5" s="37"/>
      <c r="CD5" s="137"/>
      <c r="CE5" s="37"/>
      <c r="CF5" s="37"/>
      <c r="CG5" s="37"/>
    </row>
    <row r="6" spans="1:85" s="138" customFormat="1" ht="15" customHeight="1">
      <c r="A6" s="43"/>
      <c r="B6" s="45"/>
      <c r="C6" s="139"/>
      <c r="D6" s="29"/>
      <c r="E6" s="29"/>
      <c r="F6" s="29"/>
      <c r="G6" s="29"/>
      <c r="H6" s="29"/>
      <c r="I6" s="29"/>
      <c r="J6" s="44"/>
      <c r="K6" s="44"/>
      <c r="L6" s="44"/>
      <c r="M6" s="44"/>
      <c r="N6" s="44"/>
      <c r="O6" s="44"/>
      <c r="P6" s="44"/>
      <c r="Q6" s="137"/>
      <c r="R6" s="49"/>
      <c r="S6" s="49"/>
      <c r="T6" s="49"/>
      <c r="U6" s="49"/>
      <c r="V6" s="49"/>
      <c r="W6" s="49"/>
      <c r="X6" s="39"/>
      <c r="Y6" s="49"/>
      <c r="Z6" s="49"/>
      <c r="AA6" s="31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50"/>
      <c r="BI6" s="34"/>
      <c r="BJ6" s="35"/>
      <c r="BK6" s="34"/>
      <c r="BL6" s="41"/>
      <c r="BM6" s="36"/>
      <c r="BN6" s="37"/>
      <c r="BO6" s="34"/>
      <c r="BP6" s="34"/>
      <c r="BQ6" s="34"/>
      <c r="BR6" s="205"/>
      <c r="BS6" s="34"/>
      <c r="BT6" s="37"/>
      <c r="BU6" s="35"/>
      <c r="BV6" s="37"/>
      <c r="BW6" s="37"/>
      <c r="BX6" s="34"/>
      <c r="BY6" s="37"/>
      <c r="BZ6" s="37"/>
      <c r="CA6" s="37"/>
      <c r="CB6" s="37"/>
      <c r="CC6" s="37"/>
      <c r="CD6" s="137"/>
      <c r="CE6" s="37"/>
      <c r="CF6" s="37"/>
      <c r="CG6" s="37"/>
    </row>
    <row r="7" spans="1:85" s="138" customFormat="1" ht="15" customHeight="1" thickBot="1">
      <c r="A7" s="43"/>
      <c r="B7" s="45"/>
      <c r="C7" s="139"/>
      <c r="D7" s="29"/>
      <c r="E7" s="29"/>
      <c r="F7" s="29"/>
      <c r="G7" s="29"/>
      <c r="H7" s="29"/>
      <c r="I7" s="29"/>
      <c r="J7" s="44"/>
      <c r="K7" s="44"/>
      <c r="L7" s="44"/>
      <c r="M7" s="44"/>
      <c r="N7" s="44"/>
      <c r="O7" s="44"/>
      <c r="P7" s="44"/>
      <c r="Q7" s="137"/>
      <c r="R7" s="49"/>
      <c r="S7" s="49"/>
      <c r="T7" s="49"/>
      <c r="U7" s="49"/>
      <c r="V7" s="49"/>
      <c r="W7" s="49"/>
      <c r="X7" s="39"/>
      <c r="Y7" s="49"/>
      <c r="Z7" s="49"/>
      <c r="AA7" s="31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50"/>
      <c r="BI7" s="34"/>
      <c r="BJ7" s="35"/>
      <c r="BK7" s="34"/>
      <c r="BL7" s="41"/>
      <c r="BM7" s="36"/>
      <c r="BN7" s="37"/>
      <c r="BO7" s="34"/>
      <c r="BP7" s="34"/>
      <c r="BQ7" s="34"/>
      <c r="BR7" s="205"/>
      <c r="BS7" s="34"/>
      <c r="BT7" s="37"/>
      <c r="BU7" s="35"/>
      <c r="BV7" s="37"/>
      <c r="BW7" s="37"/>
      <c r="BX7" s="34"/>
      <c r="BY7" s="37"/>
      <c r="BZ7" s="37"/>
      <c r="CA7" s="37"/>
      <c r="CB7" s="37"/>
      <c r="CC7" s="37"/>
      <c r="CD7" s="137"/>
      <c r="CE7" s="37"/>
      <c r="CF7" s="37"/>
      <c r="CG7" s="37"/>
    </row>
    <row r="8" spans="1:85" s="138" customFormat="1" ht="15" customHeight="1" thickBot="1">
      <c r="A8" s="140" t="s">
        <v>31</v>
      </c>
      <c r="B8" s="141"/>
      <c r="C8" s="142">
        <v>67.289999999999992</v>
      </c>
      <c r="D8" s="29"/>
      <c r="E8" s="29"/>
      <c r="F8" s="29"/>
      <c r="G8" s="29"/>
      <c r="H8" s="29"/>
      <c r="I8" s="29"/>
      <c r="J8" s="44"/>
      <c r="K8" s="44"/>
      <c r="L8" s="44"/>
      <c r="M8" s="44"/>
      <c r="N8" s="44"/>
      <c r="O8" s="44"/>
      <c r="P8" s="44"/>
      <c r="Q8" s="137"/>
      <c r="R8" s="49"/>
      <c r="S8" s="49"/>
      <c r="T8" s="49"/>
      <c r="U8" s="49"/>
      <c r="V8" s="49"/>
      <c r="W8" s="49"/>
      <c r="X8" s="39"/>
      <c r="Y8" s="49"/>
      <c r="Z8" s="49"/>
      <c r="AA8" s="31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50"/>
      <c r="BI8" s="34"/>
      <c r="BJ8" s="35"/>
      <c r="BK8" s="34"/>
      <c r="BL8" s="41"/>
      <c r="BM8" s="36"/>
      <c r="BN8" s="37"/>
      <c r="BO8" s="34"/>
      <c r="BP8" s="34"/>
      <c r="BQ8" s="34"/>
      <c r="BR8" s="205"/>
      <c r="BS8" s="34"/>
      <c r="BT8" s="37"/>
      <c r="BU8" s="35"/>
      <c r="BV8" s="37"/>
      <c r="BW8" s="37"/>
      <c r="BX8" s="34"/>
      <c r="BY8" s="37"/>
      <c r="BZ8" s="37"/>
      <c r="CA8" s="37"/>
      <c r="CB8" s="37"/>
      <c r="CC8" s="37"/>
      <c r="CD8" s="137"/>
      <c r="CE8" s="37"/>
      <c r="CF8" s="37"/>
      <c r="CG8" s="37"/>
    </row>
    <row r="9" spans="1:85" s="138" customFormat="1" ht="15" customHeight="1">
      <c r="A9" s="137"/>
      <c r="B9" s="45"/>
      <c r="C9" s="49"/>
      <c r="D9" s="29"/>
      <c r="E9" s="29"/>
      <c r="F9" s="29"/>
      <c r="G9" s="29"/>
      <c r="H9" s="29"/>
      <c r="I9" s="29"/>
      <c r="J9" s="44"/>
      <c r="K9" s="44"/>
      <c r="L9" s="44"/>
      <c r="M9" s="44"/>
      <c r="N9" s="44"/>
      <c r="O9" s="44"/>
      <c r="P9" s="44"/>
      <c r="Q9" s="137"/>
      <c r="R9" s="143"/>
      <c r="S9" s="143"/>
      <c r="T9" s="143"/>
      <c r="U9" s="143"/>
      <c r="V9" s="143"/>
      <c r="W9" s="143"/>
      <c r="X9" s="144"/>
      <c r="Y9" s="49"/>
      <c r="Z9" s="49"/>
      <c r="AA9" s="31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50"/>
      <c r="BI9" s="34"/>
      <c r="BJ9" s="35"/>
      <c r="BK9" s="34"/>
      <c r="BL9" s="41"/>
      <c r="BM9" s="36"/>
      <c r="BN9" s="37"/>
      <c r="BO9" s="34"/>
      <c r="BP9" s="34"/>
      <c r="BQ9" s="34"/>
      <c r="BR9" s="205"/>
      <c r="BS9" s="34"/>
      <c r="BT9" s="37"/>
      <c r="BU9" s="35"/>
      <c r="BV9" s="37"/>
      <c r="BW9" s="37"/>
      <c r="BX9" s="34"/>
      <c r="BY9" s="37"/>
      <c r="BZ9" s="37"/>
      <c r="CA9" s="37"/>
      <c r="CB9" s="37"/>
      <c r="CC9" s="37"/>
      <c r="CD9" s="137"/>
      <c r="CE9" s="37"/>
      <c r="CF9" s="37"/>
      <c r="CG9" s="37"/>
    </row>
    <row r="10" spans="1:85" s="138" customFormat="1" ht="15" customHeight="1">
      <c r="A10" s="137" t="s">
        <v>388</v>
      </c>
      <c r="B10" s="45"/>
      <c r="C10" s="49">
        <v>0</v>
      </c>
      <c r="D10" s="29"/>
      <c r="E10" s="29"/>
      <c r="F10" s="29"/>
      <c r="G10" s="29"/>
      <c r="H10" s="29"/>
      <c r="I10" s="29"/>
      <c r="J10" s="44"/>
      <c r="K10" s="44"/>
      <c r="L10" s="44"/>
      <c r="M10" s="44"/>
      <c r="N10" s="44"/>
      <c r="O10" s="44"/>
      <c r="P10" s="44"/>
      <c r="Q10" s="137"/>
      <c r="R10" s="143"/>
      <c r="S10" s="143"/>
      <c r="T10" s="143"/>
      <c r="U10" s="143"/>
      <c r="V10" s="143"/>
      <c r="W10" s="143"/>
      <c r="X10" s="144"/>
      <c r="Y10" s="49"/>
      <c r="Z10" s="49"/>
      <c r="AA10" s="31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50"/>
      <c r="BI10" s="34"/>
      <c r="BJ10" s="35"/>
      <c r="BK10" s="34"/>
      <c r="BL10" s="41"/>
      <c r="BM10" s="36"/>
      <c r="BN10" s="37"/>
      <c r="BO10" s="34"/>
      <c r="BP10" s="34"/>
      <c r="BQ10" s="34"/>
      <c r="BR10" s="205"/>
      <c r="BS10" s="34"/>
      <c r="BT10" s="37"/>
      <c r="BU10" s="35"/>
      <c r="BV10" s="37"/>
      <c r="BW10" s="37"/>
      <c r="BX10" s="34"/>
      <c r="BY10" s="37"/>
      <c r="BZ10" s="37"/>
      <c r="CA10" s="37"/>
      <c r="CB10" s="37"/>
      <c r="CC10" s="37"/>
      <c r="CD10" s="137"/>
      <c r="CE10" s="37"/>
      <c r="CF10" s="37"/>
      <c r="CG10" s="37"/>
    </row>
    <row r="11" spans="1:85" s="138" customFormat="1" ht="15" customHeight="1">
      <c r="A11" s="137" t="s">
        <v>32</v>
      </c>
      <c r="B11" s="45"/>
      <c r="C11" s="49">
        <v>0</v>
      </c>
      <c r="D11" s="29"/>
      <c r="E11" s="29"/>
      <c r="F11" s="29"/>
      <c r="G11" s="29"/>
      <c r="H11" s="29"/>
      <c r="I11" s="29"/>
      <c r="J11" s="44"/>
      <c r="K11" s="44"/>
      <c r="L11" s="44"/>
      <c r="M11" s="44"/>
      <c r="N11" s="44"/>
      <c r="O11" s="44"/>
      <c r="P11" s="44"/>
      <c r="Q11" s="137"/>
      <c r="R11" s="145"/>
      <c r="S11" s="145"/>
      <c r="T11" s="145"/>
      <c r="U11" s="145"/>
      <c r="V11" s="145"/>
      <c r="W11" s="145"/>
      <c r="X11" s="144"/>
      <c r="Y11" s="49"/>
      <c r="Z11" s="49"/>
      <c r="AA11" s="31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50"/>
      <c r="BI11" s="34"/>
      <c r="BJ11" s="35"/>
      <c r="BK11" s="34"/>
      <c r="BL11" s="41"/>
      <c r="BM11" s="36"/>
      <c r="BN11" s="37"/>
      <c r="BO11" s="34"/>
      <c r="BP11" s="34"/>
      <c r="BQ11" s="34"/>
      <c r="BR11" s="205"/>
      <c r="BS11" s="34"/>
      <c r="BT11" s="37"/>
      <c r="BU11" s="35"/>
      <c r="BV11" s="37"/>
      <c r="BW11" s="37"/>
      <c r="BX11" s="34"/>
      <c r="BY11" s="37"/>
      <c r="BZ11" s="37"/>
      <c r="CA11" s="37"/>
      <c r="CB11" s="37"/>
      <c r="CC11" s="37"/>
      <c r="CD11" s="137"/>
      <c r="CE11" s="37"/>
      <c r="CF11" s="37"/>
      <c r="CG11" s="37"/>
    </row>
    <row r="12" spans="1:85" s="138" customFormat="1" ht="15" customHeight="1">
      <c r="A12" s="137" t="s">
        <v>33</v>
      </c>
      <c r="B12" s="45"/>
      <c r="C12" s="49">
        <v>9.1000000000000014</v>
      </c>
      <c r="D12" s="29"/>
      <c r="E12" s="29"/>
      <c r="F12" s="29"/>
      <c r="G12" s="29"/>
      <c r="H12" s="29"/>
      <c r="I12" s="29"/>
      <c r="J12" s="44"/>
      <c r="K12" s="44"/>
      <c r="L12" s="44"/>
      <c r="M12" s="44"/>
      <c r="N12" s="44"/>
      <c r="O12" s="44"/>
      <c r="P12" s="44"/>
      <c r="Q12" s="137"/>
      <c r="R12" s="145"/>
      <c r="S12" s="145"/>
      <c r="T12" s="145"/>
      <c r="U12" s="145"/>
      <c r="V12" s="145"/>
      <c r="W12" s="145"/>
      <c r="X12" s="144"/>
      <c r="Y12" s="49"/>
      <c r="Z12" s="49"/>
      <c r="AA12" s="31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50"/>
      <c r="BI12" s="34"/>
      <c r="BJ12" s="35"/>
      <c r="BK12" s="34"/>
      <c r="BL12" s="41"/>
      <c r="BM12" s="36"/>
      <c r="BN12" s="37"/>
      <c r="BO12" s="34"/>
      <c r="BP12" s="34"/>
      <c r="BQ12" s="34"/>
      <c r="BR12" s="205"/>
      <c r="BS12" s="34"/>
      <c r="BT12" s="37"/>
      <c r="BU12" s="35"/>
      <c r="BV12" s="37"/>
      <c r="BW12" s="37"/>
      <c r="BX12" s="34"/>
      <c r="BY12" s="37"/>
      <c r="BZ12" s="37"/>
      <c r="CA12" s="37"/>
      <c r="CB12" s="37"/>
      <c r="CC12" s="37"/>
      <c r="CD12" s="137"/>
      <c r="CE12" s="37"/>
      <c r="CF12" s="37"/>
      <c r="CG12" s="37"/>
    </row>
    <row r="13" spans="1:85" s="138" customFormat="1" ht="15" customHeight="1">
      <c r="A13" s="137" t="s">
        <v>34</v>
      </c>
      <c r="B13" s="45"/>
      <c r="C13" s="49">
        <v>58.19</v>
      </c>
      <c r="D13" s="29"/>
      <c r="E13" s="29"/>
      <c r="F13" s="29"/>
      <c r="G13" s="29"/>
      <c r="H13" s="29"/>
      <c r="I13" s="29"/>
      <c r="J13" s="44"/>
      <c r="K13" s="44"/>
      <c r="L13" s="44"/>
      <c r="M13" s="44"/>
      <c r="N13" s="44"/>
      <c r="O13" s="44"/>
      <c r="P13" s="44"/>
      <c r="Q13" s="137"/>
      <c r="R13" s="143"/>
      <c r="S13" s="143"/>
      <c r="T13" s="143"/>
      <c r="U13" s="143"/>
      <c r="V13" s="143"/>
      <c r="W13" s="143"/>
      <c r="X13" s="144"/>
      <c r="Y13" s="49"/>
      <c r="Z13" s="49"/>
      <c r="AA13" s="31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50"/>
      <c r="BI13" s="34"/>
      <c r="BJ13" s="35"/>
      <c r="BK13" s="34"/>
      <c r="BL13" s="41"/>
      <c r="BM13" s="36"/>
      <c r="BN13" s="37"/>
      <c r="BO13" s="34"/>
      <c r="BP13" s="34"/>
      <c r="BQ13" s="34"/>
      <c r="BR13" s="205"/>
      <c r="BS13" s="34"/>
      <c r="BT13" s="37"/>
      <c r="BU13" s="35"/>
      <c r="BV13" s="37"/>
      <c r="BW13" s="37"/>
      <c r="BX13" s="34"/>
      <c r="BY13" s="37"/>
      <c r="BZ13" s="37"/>
      <c r="CA13" s="37"/>
      <c r="CB13" s="37"/>
      <c r="CC13" s="37"/>
      <c r="CD13" s="137"/>
      <c r="CE13" s="37"/>
      <c r="CF13" s="37"/>
      <c r="CG13" s="37"/>
    </row>
    <row r="14" spans="1:85" s="138" customFormat="1" ht="15" customHeight="1">
      <c r="A14" s="137" t="s">
        <v>35</v>
      </c>
      <c r="B14" s="45"/>
      <c r="C14" s="49">
        <v>0</v>
      </c>
      <c r="D14" s="29"/>
      <c r="E14" s="29"/>
      <c r="F14" s="29"/>
      <c r="G14" s="29"/>
      <c r="H14" s="29"/>
      <c r="I14" s="29"/>
      <c r="J14" s="44"/>
      <c r="K14" s="44"/>
      <c r="L14" s="44"/>
      <c r="M14" s="44"/>
      <c r="N14" s="44"/>
      <c r="O14" s="44"/>
      <c r="P14" s="44"/>
      <c r="Q14" s="137"/>
      <c r="R14" s="49"/>
      <c r="S14" s="49"/>
      <c r="T14" s="49"/>
      <c r="U14" s="49"/>
      <c r="V14" s="49"/>
      <c r="W14" s="49"/>
      <c r="X14" s="39"/>
      <c r="Y14" s="49"/>
      <c r="Z14" s="49"/>
      <c r="AA14" s="31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50"/>
      <c r="BI14" s="34"/>
      <c r="BJ14" s="35"/>
      <c r="BK14" s="34"/>
      <c r="BL14" s="41"/>
      <c r="BM14" s="36"/>
      <c r="BN14" s="37"/>
      <c r="BO14" s="34"/>
      <c r="BP14" s="34"/>
      <c r="BQ14" s="34"/>
      <c r="BR14" s="205"/>
      <c r="BS14" s="34"/>
      <c r="BT14" s="37"/>
      <c r="BU14" s="35"/>
      <c r="BV14" s="37"/>
      <c r="BW14" s="37"/>
      <c r="BX14" s="34"/>
      <c r="BY14" s="37"/>
      <c r="BZ14" s="37"/>
      <c r="CA14" s="37"/>
      <c r="CB14" s="37"/>
      <c r="CC14" s="37"/>
      <c r="CD14" s="137"/>
      <c r="CE14" s="37"/>
      <c r="CF14" s="37"/>
      <c r="CG14" s="37"/>
    </row>
    <row r="15" spans="1:85" s="138" customFormat="1" ht="15" customHeight="1">
      <c r="A15" s="137" t="s">
        <v>36</v>
      </c>
      <c r="B15" s="49"/>
      <c r="C15" s="49">
        <v>0</v>
      </c>
      <c r="D15" s="29"/>
      <c r="E15" s="29"/>
      <c r="F15" s="29"/>
      <c r="G15" s="29"/>
      <c r="H15" s="29"/>
      <c r="I15" s="29"/>
      <c r="J15" s="44"/>
      <c r="K15" s="44"/>
      <c r="L15" s="44"/>
      <c r="M15" s="44"/>
      <c r="N15" s="44"/>
      <c r="O15" s="44"/>
      <c r="P15" s="44"/>
      <c r="Q15" s="137"/>
      <c r="R15" s="49"/>
      <c r="S15" s="49"/>
      <c r="T15" s="49"/>
      <c r="U15" s="49"/>
      <c r="V15" s="49"/>
      <c r="W15" s="49"/>
      <c r="X15" s="39"/>
      <c r="Y15" s="49"/>
      <c r="Z15" s="49"/>
      <c r="AA15" s="31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50"/>
      <c r="BI15" s="34"/>
      <c r="BJ15" s="35"/>
      <c r="BK15" s="34"/>
      <c r="BL15" s="41"/>
      <c r="BM15" s="36"/>
      <c r="BN15" s="37"/>
      <c r="BO15" s="34"/>
      <c r="BP15" s="34"/>
      <c r="BQ15" s="34"/>
      <c r="BR15" s="205"/>
      <c r="BS15" s="34"/>
      <c r="BT15" s="37"/>
      <c r="BU15" s="35"/>
      <c r="BV15" s="37"/>
      <c r="BW15" s="37"/>
      <c r="BX15" s="34"/>
      <c r="BY15" s="37"/>
      <c r="BZ15" s="37"/>
      <c r="CA15" s="37"/>
      <c r="CB15" s="37"/>
      <c r="CC15" s="37"/>
      <c r="CD15" s="137"/>
      <c r="CE15" s="37"/>
      <c r="CF15" s="37"/>
      <c r="CG15" s="37"/>
    </row>
    <row r="16" spans="1:85" s="138" customFormat="1" ht="15" customHeight="1">
      <c r="A16" s="137" t="s">
        <v>37</v>
      </c>
      <c r="B16" s="49"/>
      <c r="C16" s="49">
        <v>0</v>
      </c>
      <c r="D16" s="29"/>
      <c r="E16" s="29"/>
      <c r="F16" s="29"/>
      <c r="G16" s="29"/>
      <c r="H16" s="29"/>
      <c r="I16" s="29"/>
      <c r="J16" s="44"/>
      <c r="K16" s="44"/>
      <c r="L16" s="44"/>
      <c r="M16" s="44"/>
      <c r="N16" s="44"/>
      <c r="O16" s="44"/>
      <c r="P16" s="44"/>
      <c r="Q16" s="137"/>
      <c r="R16" s="49"/>
      <c r="S16" s="49"/>
      <c r="T16" s="49"/>
      <c r="U16" s="49"/>
      <c r="V16" s="49"/>
      <c r="W16" s="49"/>
      <c r="X16" s="39"/>
      <c r="Y16" s="49"/>
      <c r="Z16" s="49"/>
      <c r="AA16" s="31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50"/>
      <c r="BI16" s="34"/>
      <c r="BJ16" s="35"/>
      <c r="BK16" s="34"/>
      <c r="BL16" s="41"/>
      <c r="BM16" s="36"/>
      <c r="BN16" s="37"/>
      <c r="BO16" s="34"/>
      <c r="BP16" s="34"/>
      <c r="BQ16" s="34"/>
      <c r="BR16" s="205"/>
      <c r="BS16" s="34"/>
      <c r="BT16" s="37"/>
      <c r="BU16" s="35"/>
      <c r="BV16" s="37"/>
      <c r="BW16" s="37"/>
      <c r="BX16" s="34"/>
      <c r="BY16" s="37"/>
      <c r="BZ16" s="37"/>
      <c r="CA16" s="37"/>
      <c r="CB16" s="37"/>
      <c r="CC16" s="37"/>
      <c r="CD16" s="137"/>
      <c r="CE16" s="37"/>
      <c r="CF16" s="37"/>
      <c r="CG16" s="37"/>
    </row>
    <row r="17" spans="1:85" s="138" customFormat="1" ht="15" customHeight="1">
      <c r="A17" s="137" t="s">
        <v>38</v>
      </c>
      <c r="B17" s="49"/>
      <c r="C17" s="49">
        <v>0</v>
      </c>
      <c r="D17" s="29"/>
      <c r="E17" s="29"/>
      <c r="F17" s="29"/>
      <c r="G17" s="29"/>
      <c r="H17" s="29"/>
      <c r="I17" s="29"/>
      <c r="J17" s="44"/>
      <c r="K17" s="44"/>
      <c r="L17" s="44"/>
      <c r="M17" s="44"/>
      <c r="N17" s="44"/>
      <c r="O17" s="44"/>
      <c r="P17" s="44"/>
      <c r="Q17" s="137"/>
      <c r="R17" s="49"/>
      <c r="S17" s="49"/>
      <c r="T17" s="49"/>
      <c r="U17" s="49"/>
      <c r="V17" s="49"/>
      <c r="W17" s="49"/>
      <c r="X17" s="39"/>
      <c r="Y17" s="49"/>
      <c r="Z17" s="49"/>
      <c r="AA17" s="31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50"/>
      <c r="BI17" s="34"/>
      <c r="BJ17" s="35"/>
      <c r="BK17" s="34"/>
      <c r="BL17" s="41"/>
      <c r="BM17" s="36"/>
      <c r="BN17" s="37"/>
      <c r="BO17" s="34"/>
      <c r="BP17" s="34"/>
      <c r="BQ17" s="34"/>
      <c r="BR17" s="205"/>
      <c r="BS17" s="34"/>
      <c r="BT17" s="37"/>
      <c r="BU17" s="35"/>
      <c r="BV17" s="37"/>
      <c r="BW17" s="37"/>
      <c r="BX17" s="34"/>
      <c r="BY17" s="37"/>
      <c r="BZ17" s="37"/>
      <c r="CA17" s="37"/>
      <c r="CB17" s="37"/>
      <c r="CC17" s="37"/>
      <c r="CD17" s="137"/>
      <c r="CE17" s="37"/>
      <c r="CF17" s="37"/>
      <c r="CG17" s="37"/>
    </row>
    <row r="18" spans="1:85" s="138" customFormat="1" ht="15" customHeight="1">
      <c r="A18" s="137" t="s">
        <v>39</v>
      </c>
      <c r="B18" s="49"/>
      <c r="C18" s="49">
        <v>0</v>
      </c>
      <c r="D18" s="29"/>
      <c r="E18" s="29"/>
      <c r="F18" s="29"/>
      <c r="G18" s="29"/>
      <c r="H18" s="29"/>
      <c r="I18" s="29"/>
      <c r="J18" s="44"/>
      <c r="K18" s="44"/>
      <c r="L18" s="44"/>
      <c r="M18" s="44"/>
      <c r="N18" s="44"/>
      <c r="O18" s="44"/>
      <c r="P18" s="44"/>
      <c r="Q18" s="137"/>
      <c r="R18" s="49"/>
      <c r="S18" s="49"/>
      <c r="T18" s="49"/>
      <c r="U18" s="49"/>
      <c r="V18" s="49"/>
      <c r="W18" s="49"/>
      <c r="X18" s="39"/>
      <c r="Y18" s="49"/>
      <c r="Z18" s="49"/>
      <c r="AA18" s="31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50"/>
      <c r="BI18" s="34"/>
      <c r="BJ18" s="35"/>
      <c r="BK18" s="34"/>
      <c r="BL18" s="41"/>
      <c r="BM18" s="36"/>
      <c r="BN18" s="37"/>
      <c r="BO18" s="34"/>
      <c r="BP18" s="34"/>
      <c r="BQ18" s="34"/>
      <c r="BR18" s="205"/>
      <c r="BS18" s="34"/>
      <c r="BT18" s="37"/>
      <c r="BU18" s="35"/>
      <c r="BV18" s="37"/>
      <c r="BW18" s="37"/>
      <c r="BX18" s="34"/>
      <c r="BY18" s="37"/>
      <c r="BZ18" s="37"/>
      <c r="CA18" s="37"/>
      <c r="CB18" s="37"/>
      <c r="CC18" s="37"/>
      <c r="CD18" s="137"/>
      <c r="CE18" s="37"/>
      <c r="CF18" s="37"/>
      <c r="CG18" s="37"/>
    </row>
    <row r="19" spans="1:85" s="138" customFormat="1" ht="15" customHeight="1">
      <c r="A19" s="137" t="s">
        <v>40</v>
      </c>
      <c r="B19" s="49"/>
      <c r="C19" s="49">
        <v>0</v>
      </c>
      <c r="D19" s="29"/>
      <c r="E19" s="29"/>
      <c r="F19" s="29"/>
      <c r="G19" s="29"/>
      <c r="H19" s="29"/>
      <c r="I19" s="29"/>
      <c r="J19" s="44"/>
      <c r="K19" s="44"/>
      <c r="L19" s="44"/>
      <c r="M19" s="44"/>
      <c r="N19" s="44"/>
      <c r="O19" s="44"/>
      <c r="P19" s="44"/>
      <c r="Q19" s="137"/>
      <c r="R19" s="49"/>
      <c r="S19" s="49"/>
      <c r="T19" s="49"/>
      <c r="U19" s="49"/>
      <c r="V19" s="49"/>
      <c r="W19" s="49"/>
      <c r="X19" s="39"/>
      <c r="Y19" s="49"/>
      <c r="Z19" s="49"/>
      <c r="AA19" s="31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50"/>
      <c r="BI19" s="34"/>
      <c r="BJ19" s="35"/>
      <c r="BK19" s="34"/>
      <c r="BL19" s="41"/>
      <c r="BM19" s="36"/>
      <c r="BN19" s="37"/>
      <c r="BO19" s="34"/>
      <c r="BP19" s="34"/>
      <c r="BQ19" s="34"/>
      <c r="BR19" s="205"/>
      <c r="BS19" s="34"/>
      <c r="BT19" s="37"/>
      <c r="BU19" s="35"/>
      <c r="BV19" s="37"/>
      <c r="BW19" s="37"/>
      <c r="BX19" s="34"/>
      <c r="BY19" s="37"/>
      <c r="BZ19" s="37"/>
      <c r="CA19" s="37"/>
      <c r="CB19" s="37"/>
      <c r="CC19" s="37"/>
      <c r="CD19" s="137"/>
      <c r="CE19" s="37"/>
      <c r="CF19" s="37"/>
      <c r="CG19" s="37"/>
    </row>
    <row r="20" spans="1:85" s="138" customFormat="1" ht="15" customHeight="1">
      <c r="A20" s="137" t="s">
        <v>41</v>
      </c>
      <c r="B20" s="49"/>
      <c r="C20" s="49">
        <v>0</v>
      </c>
      <c r="D20" s="29"/>
      <c r="E20" s="29"/>
      <c r="F20" s="29"/>
      <c r="G20" s="29"/>
      <c r="H20" s="29"/>
      <c r="I20" s="29"/>
      <c r="J20" s="44"/>
      <c r="K20" s="44"/>
      <c r="L20" s="44"/>
      <c r="M20" s="44"/>
      <c r="N20" s="44"/>
      <c r="O20" s="44"/>
      <c r="P20" s="44"/>
      <c r="Q20" s="137"/>
      <c r="R20" s="49"/>
      <c r="S20" s="49"/>
      <c r="T20" s="49"/>
      <c r="U20" s="49"/>
      <c r="V20" s="49"/>
      <c r="W20" s="49"/>
      <c r="X20" s="39"/>
      <c r="Y20" s="49"/>
      <c r="Z20" s="49"/>
      <c r="AA20" s="31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50"/>
      <c r="BI20" s="34"/>
      <c r="BJ20" s="35"/>
      <c r="BK20" s="34"/>
      <c r="BL20" s="41"/>
      <c r="BM20" s="36"/>
      <c r="BN20" s="37"/>
      <c r="BO20" s="34"/>
      <c r="BP20" s="34"/>
      <c r="BQ20" s="34"/>
      <c r="BR20" s="205"/>
      <c r="BS20" s="34"/>
      <c r="BT20" s="37"/>
      <c r="BU20" s="35"/>
      <c r="BV20" s="37"/>
      <c r="BW20" s="37"/>
      <c r="BX20" s="34"/>
      <c r="BY20" s="37"/>
      <c r="BZ20" s="37"/>
      <c r="CA20" s="37"/>
      <c r="CB20" s="37"/>
      <c r="CC20" s="37"/>
      <c r="CD20" s="137"/>
      <c r="CE20" s="37"/>
      <c r="CF20" s="37"/>
      <c r="CG20" s="37"/>
    </row>
    <row r="21" spans="1:85" s="138" customFormat="1" ht="15" customHeight="1">
      <c r="A21" s="137" t="s">
        <v>42</v>
      </c>
      <c r="B21" s="49"/>
      <c r="C21" s="49">
        <v>0</v>
      </c>
      <c r="D21" s="29"/>
      <c r="E21" s="29"/>
      <c r="F21" s="29"/>
      <c r="G21" s="29"/>
      <c r="H21" s="29"/>
      <c r="I21" s="29"/>
      <c r="J21" s="44"/>
      <c r="K21" s="44"/>
      <c r="L21" s="44"/>
      <c r="M21" s="44"/>
      <c r="N21" s="44"/>
      <c r="O21" s="44"/>
      <c r="P21" s="44"/>
      <c r="Q21" s="137"/>
      <c r="R21" s="49"/>
      <c r="S21" s="49"/>
      <c r="T21" s="49"/>
      <c r="U21" s="49"/>
      <c r="V21" s="49"/>
      <c r="W21" s="49"/>
      <c r="X21" s="39"/>
      <c r="Y21" s="49"/>
      <c r="Z21" s="49"/>
      <c r="AA21" s="31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50"/>
      <c r="BI21" s="34"/>
      <c r="BJ21" s="35"/>
      <c r="BK21" s="34"/>
      <c r="BL21" s="41"/>
      <c r="BM21" s="36"/>
      <c r="BN21" s="37"/>
      <c r="BO21" s="34"/>
      <c r="BP21" s="34"/>
      <c r="BQ21" s="34"/>
      <c r="BR21" s="205"/>
      <c r="BS21" s="34"/>
      <c r="BT21" s="37"/>
      <c r="BU21" s="35"/>
      <c r="BV21" s="37"/>
      <c r="BW21" s="37"/>
      <c r="BX21" s="34"/>
      <c r="BY21" s="37"/>
      <c r="BZ21" s="37"/>
      <c r="CA21" s="37"/>
      <c r="CB21" s="37"/>
      <c r="CC21" s="37"/>
      <c r="CD21" s="137"/>
      <c r="CE21" s="37"/>
      <c r="CF21" s="37"/>
      <c r="CG21" s="37"/>
    </row>
    <row r="22" spans="1:85" s="138" customFormat="1" ht="15" customHeight="1">
      <c r="A22" s="137" t="s">
        <v>389</v>
      </c>
      <c r="B22" s="49"/>
      <c r="C22" s="49">
        <v>0</v>
      </c>
      <c r="D22" s="29"/>
      <c r="E22" s="29"/>
      <c r="F22" s="29"/>
      <c r="G22" s="29"/>
      <c r="H22" s="29"/>
      <c r="I22" s="29"/>
      <c r="J22" s="44"/>
      <c r="K22" s="44"/>
      <c r="L22" s="44"/>
      <c r="M22" s="44"/>
      <c r="N22" s="44"/>
      <c r="O22" s="44"/>
      <c r="P22" s="44"/>
      <c r="Q22" s="137"/>
      <c r="R22" s="49"/>
      <c r="S22" s="49"/>
      <c r="T22" s="49"/>
      <c r="U22" s="49"/>
      <c r="V22" s="49"/>
      <c r="W22" s="49"/>
      <c r="X22" s="39"/>
      <c r="Y22" s="49"/>
      <c r="Z22" s="49"/>
      <c r="AA22" s="31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50"/>
      <c r="BI22" s="34"/>
      <c r="BJ22" s="35"/>
      <c r="BK22" s="34"/>
      <c r="BL22" s="41"/>
      <c r="BM22" s="36"/>
      <c r="BN22" s="37"/>
      <c r="BO22" s="34"/>
      <c r="BP22" s="34"/>
      <c r="BQ22" s="34"/>
      <c r="BR22" s="205"/>
      <c r="BS22" s="34"/>
      <c r="BT22" s="37"/>
      <c r="BU22" s="35"/>
      <c r="BV22" s="37"/>
      <c r="BW22" s="37"/>
      <c r="BX22" s="34"/>
      <c r="BY22" s="37"/>
      <c r="BZ22" s="37"/>
      <c r="CA22" s="37"/>
      <c r="CB22" s="37"/>
      <c r="CC22" s="37"/>
      <c r="CD22" s="137"/>
      <c r="CE22" s="37"/>
      <c r="CF22" s="37"/>
      <c r="CG22" s="37"/>
    </row>
    <row r="23" spans="1:85" s="138" customFormat="1" ht="15" customHeight="1">
      <c r="A23" s="137" t="s">
        <v>390</v>
      </c>
      <c r="B23" s="49"/>
      <c r="C23" s="49">
        <v>0</v>
      </c>
      <c r="D23" s="29"/>
      <c r="E23" s="29"/>
      <c r="F23" s="29"/>
      <c r="G23" s="29"/>
      <c r="H23" s="29"/>
      <c r="I23" s="29"/>
      <c r="J23" s="44"/>
      <c r="K23" s="44"/>
      <c r="L23" s="44"/>
      <c r="M23" s="44"/>
      <c r="N23" s="44"/>
      <c r="O23" s="44"/>
      <c r="P23" s="44"/>
      <c r="Q23" s="137"/>
      <c r="R23" s="49"/>
      <c r="S23" s="49"/>
      <c r="T23" s="49"/>
      <c r="U23" s="49"/>
      <c r="V23" s="49"/>
      <c r="W23" s="49"/>
      <c r="X23" s="39"/>
      <c r="Y23" s="49"/>
      <c r="Z23" s="49"/>
      <c r="AA23" s="31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50"/>
      <c r="BI23" s="34"/>
      <c r="BJ23" s="35"/>
      <c r="BK23" s="34"/>
      <c r="BL23" s="41"/>
      <c r="BM23" s="36"/>
      <c r="BN23" s="37"/>
      <c r="BO23" s="34"/>
      <c r="BP23" s="34"/>
      <c r="BQ23" s="34"/>
      <c r="BR23" s="205"/>
      <c r="BS23" s="34"/>
      <c r="BT23" s="37"/>
      <c r="BU23" s="35"/>
      <c r="BV23" s="37"/>
      <c r="BW23" s="37"/>
      <c r="BX23" s="34"/>
      <c r="BY23" s="37"/>
      <c r="BZ23" s="37"/>
      <c r="CA23" s="37"/>
      <c r="CB23" s="37"/>
      <c r="CC23" s="37"/>
      <c r="CD23" s="137"/>
      <c r="CE23" s="37"/>
      <c r="CF23" s="37"/>
      <c r="CG23" s="37"/>
    </row>
    <row r="24" spans="1:85" s="138" customFormat="1" ht="15" customHeight="1">
      <c r="A24" s="43"/>
      <c r="B24" s="45"/>
      <c r="C24" s="139"/>
      <c r="D24" s="29"/>
      <c r="E24" s="29"/>
      <c r="F24" s="29"/>
      <c r="G24" s="29"/>
      <c r="H24" s="29"/>
      <c r="I24" s="29"/>
      <c r="J24" s="44"/>
      <c r="K24" s="44"/>
      <c r="L24" s="44"/>
      <c r="M24" s="44"/>
      <c r="N24" s="44"/>
      <c r="O24" s="44"/>
      <c r="P24" s="44"/>
      <c r="Q24" s="137"/>
      <c r="R24" s="49"/>
      <c r="S24" s="49"/>
      <c r="T24" s="49"/>
      <c r="U24" s="49"/>
      <c r="V24" s="49"/>
      <c r="W24" s="49"/>
      <c r="X24" s="39"/>
      <c r="Y24" s="49"/>
      <c r="Z24" s="49"/>
      <c r="AA24" s="31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50"/>
      <c r="BI24" s="34"/>
      <c r="BJ24" s="35"/>
      <c r="BK24" s="34"/>
      <c r="BL24" s="41"/>
      <c r="BM24" s="36"/>
      <c r="BN24" s="37"/>
      <c r="BO24" s="34"/>
      <c r="BP24" s="34"/>
      <c r="BQ24" s="34"/>
      <c r="BR24" s="205"/>
      <c r="BS24" s="34"/>
      <c r="BT24" s="37"/>
      <c r="BU24" s="35"/>
      <c r="BV24" s="37"/>
      <c r="BW24" s="37"/>
      <c r="BX24" s="34"/>
      <c r="BY24" s="37"/>
      <c r="BZ24" s="37"/>
      <c r="CA24" s="37"/>
      <c r="CB24" s="37"/>
      <c r="CC24" s="37"/>
      <c r="CD24" s="137"/>
      <c r="CE24" s="37"/>
      <c r="CF24" s="37"/>
      <c r="CG24" s="37"/>
    </row>
    <row r="25" spans="1:85" s="138" customFormat="1" ht="15" customHeight="1" thickBot="1">
      <c r="A25" s="29"/>
      <c r="B25" s="29"/>
      <c r="C25" s="31"/>
      <c r="D25" s="29"/>
      <c r="E25" s="29"/>
      <c r="F25" s="29"/>
      <c r="G25" s="29"/>
      <c r="H25" s="29"/>
      <c r="I25" s="29"/>
      <c r="J25" s="44"/>
      <c r="K25" s="44"/>
      <c r="L25" s="44"/>
      <c r="M25" s="44"/>
      <c r="N25" s="44"/>
      <c r="O25" s="44"/>
      <c r="P25" s="44"/>
      <c r="Q25" s="49"/>
      <c r="R25" s="49"/>
      <c r="S25" s="49"/>
      <c r="T25" s="49"/>
      <c r="U25" s="49"/>
      <c r="V25" s="49"/>
      <c r="W25" s="49"/>
      <c r="X25" s="39"/>
      <c r="Y25" s="49"/>
      <c r="Z25" s="49"/>
      <c r="AA25" s="31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3"/>
      <c r="BI25" s="34"/>
      <c r="BJ25" s="35"/>
      <c r="BK25" s="34"/>
      <c r="BL25" s="41"/>
      <c r="BM25" s="36"/>
      <c r="BN25" s="37"/>
      <c r="BO25" s="34"/>
      <c r="BP25" s="34"/>
      <c r="BQ25" s="34"/>
      <c r="BR25" s="205"/>
      <c r="BS25" s="34"/>
      <c r="BT25" s="37"/>
      <c r="BU25" s="35"/>
      <c r="BV25" s="37"/>
      <c r="BW25" s="37"/>
      <c r="BX25" s="34"/>
      <c r="BY25" s="37"/>
      <c r="BZ25" s="37"/>
      <c r="CA25" s="37"/>
      <c r="CB25" s="37"/>
      <c r="CC25" s="37"/>
      <c r="CD25" s="137"/>
      <c r="CE25" s="37"/>
      <c r="CF25" s="37"/>
      <c r="CG25" s="37"/>
    </row>
    <row r="26" spans="1:85" s="138" customFormat="1" ht="30" customHeight="1" thickBot="1">
      <c r="A26" s="146" t="s">
        <v>43</v>
      </c>
      <c r="B26" s="147" t="s">
        <v>44</v>
      </c>
      <c r="C26" s="148" t="s">
        <v>45</v>
      </c>
      <c r="D26" s="149" t="s">
        <v>46</v>
      </c>
      <c r="E26" s="149" t="s">
        <v>47</v>
      </c>
      <c r="F26" s="149" t="s">
        <v>48</v>
      </c>
      <c r="G26" s="149" t="s">
        <v>49</v>
      </c>
      <c r="H26" s="150" t="s">
        <v>50</v>
      </c>
      <c r="I26" s="150" t="s">
        <v>51</v>
      </c>
      <c r="J26" s="151" t="s">
        <v>52</v>
      </c>
      <c r="K26" s="151" t="s">
        <v>53</v>
      </c>
      <c r="L26" s="151" t="s">
        <v>54</v>
      </c>
      <c r="M26" s="151" t="s">
        <v>55</v>
      </c>
      <c r="N26" s="151" t="s">
        <v>56</v>
      </c>
      <c r="O26" s="151" t="s">
        <v>57</v>
      </c>
      <c r="P26" s="150" t="s">
        <v>58</v>
      </c>
      <c r="Q26" s="149" t="s">
        <v>59</v>
      </c>
      <c r="R26" s="152" t="s">
        <v>60</v>
      </c>
      <c r="S26" s="152" t="s">
        <v>61</v>
      </c>
      <c r="T26" s="152" t="s">
        <v>62</v>
      </c>
      <c r="U26" s="152" t="s">
        <v>63</v>
      </c>
      <c r="V26" s="152" t="s">
        <v>64</v>
      </c>
      <c r="W26" s="152" t="s">
        <v>65</v>
      </c>
      <c r="X26" s="153" t="s">
        <v>66</v>
      </c>
      <c r="Y26" s="154" t="s">
        <v>67</v>
      </c>
      <c r="Z26" s="150" t="s">
        <v>68</v>
      </c>
      <c r="AA26" s="150" t="s">
        <v>69</v>
      </c>
      <c r="AB26" s="154" t="s">
        <v>70</v>
      </c>
      <c r="AC26" s="154"/>
      <c r="AD26" s="154" t="s">
        <v>52</v>
      </c>
      <c r="AE26" s="154" t="s">
        <v>71</v>
      </c>
      <c r="AF26" s="154" t="s">
        <v>72</v>
      </c>
      <c r="AG26" s="154" t="s">
        <v>73</v>
      </c>
      <c r="AH26" s="154" t="s">
        <v>74</v>
      </c>
      <c r="AI26" s="154" t="s">
        <v>75</v>
      </c>
      <c r="AJ26" s="155" t="s">
        <v>76</v>
      </c>
      <c r="AK26" s="156" t="s">
        <v>77</v>
      </c>
      <c r="AL26" s="392" t="s">
        <v>391</v>
      </c>
      <c r="AM26" s="159" t="s">
        <v>79</v>
      </c>
      <c r="AN26" s="159" t="s">
        <v>79</v>
      </c>
      <c r="AO26" s="159" t="s">
        <v>80</v>
      </c>
      <c r="AP26" s="159" t="s">
        <v>80</v>
      </c>
      <c r="AQ26" s="159" t="s">
        <v>81</v>
      </c>
      <c r="AR26" s="159" t="s">
        <v>81</v>
      </c>
      <c r="AS26" s="159" t="s">
        <v>82</v>
      </c>
      <c r="AT26" s="159" t="s">
        <v>82</v>
      </c>
      <c r="AU26" s="159" t="s">
        <v>83</v>
      </c>
      <c r="AV26" s="159" t="s">
        <v>83</v>
      </c>
      <c r="AW26" s="159" t="s">
        <v>84</v>
      </c>
      <c r="AX26" s="159" t="s">
        <v>84</v>
      </c>
      <c r="AY26" s="159" t="s">
        <v>85</v>
      </c>
      <c r="AZ26" s="159" t="s">
        <v>85</v>
      </c>
      <c r="BA26" s="159" t="s">
        <v>146</v>
      </c>
      <c r="BB26" s="159" t="s">
        <v>146</v>
      </c>
      <c r="BC26" s="159" t="s">
        <v>147</v>
      </c>
      <c r="BD26" s="159" t="s">
        <v>147</v>
      </c>
      <c r="BE26" s="159" t="s">
        <v>148</v>
      </c>
      <c r="BF26" s="159" t="s">
        <v>148</v>
      </c>
      <c r="BG26" s="156" t="s">
        <v>88</v>
      </c>
      <c r="BH26" s="157" t="s">
        <v>89</v>
      </c>
      <c r="BI26" s="158" t="s">
        <v>90</v>
      </c>
      <c r="BJ26" s="159" t="s">
        <v>91</v>
      </c>
      <c r="BK26" s="160" t="s">
        <v>92</v>
      </c>
      <c r="BL26" s="161" t="s">
        <v>93</v>
      </c>
      <c r="BM26" s="162" t="s">
        <v>94</v>
      </c>
      <c r="BN26" s="163" t="s">
        <v>95</v>
      </c>
      <c r="BO26" s="162" t="s">
        <v>96</v>
      </c>
      <c r="BP26" s="162" t="s">
        <v>97</v>
      </c>
      <c r="BQ26" s="162" t="s">
        <v>98</v>
      </c>
      <c r="BR26" s="206" t="s">
        <v>99</v>
      </c>
      <c r="BS26" s="162" t="s">
        <v>100</v>
      </c>
      <c r="BT26" s="162" t="s">
        <v>8</v>
      </c>
      <c r="BU26" s="154" t="s">
        <v>101</v>
      </c>
      <c r="BV26" s="151" t="s">
        <v>102</v>
      </c>
      <c r="BW26" s="150" t="s">
        <v>103</v>
      </c>
      <c r="BX26" s="162" t="s">
        <v>104</v>
      </c>
      <c r="BY26" s="162" t="s">
        <v>105</v>
      </c>
      <c r="BZ26" s="150" t="s">
        <v>106</v>
      </c>
      <c r="CA26" s="150"/>
      <c r="CB26" s="150"/>
      <c r="CC26" s="154" t="s">
        <v>107</v>
      </c>
      <c r="CD26" s="150" t="s">
        <v>108</v>
      </c>
      <c r="CE26" s="154" t="s">
        <v>109</v>
      </c>
      <c r="CF26" s="164" t="s">
        <v>151</v>
      </c>
      <c r="CG26" s="165"/>
    </row>
    <row r="27" spans="1:85" s="138" customFormat="1" ht="15" customHeight="1">
      <c r="A27" s="48" t="s">
        <v>158</v>
      </c>
      <c r="B27" s="29" t="s">
        <v>111</v>
      </c>
      <c r="C27" s="168">
        <v>45170.291666666664</v>
      </c>
      <c r="D27" s="48" t="s">
        <v>112</v>
      </c>
      <c r="E27" s="29" t="s">
        <v>113</v>
      </c>
      <c r="F27" s="48" t="s">
        <v>114</v>
      </c>
      <c r="G27" s="48" t="s">
        <v>115</v>
      </c>
      <c r="H27" s="48" t="s">
        <v>116</v>
      </c>
      <c r="I27" s="48" t="s">
        <v>116</v>
      </c>
      <c r="J27" s="170" t="s">
        <v>116</v>
      </c>
      <c r="K27" s="170" t="b">
        <v>0</v>
      </c>
      <c r="L27" s="170" t="s">
        <v>116</v>
      </c>
      <c r="M27" s="170" t="s">
        <v>116</v>
      </c>
      <c r="N27" s="170" t="s">
        <v>116</v>
      </c>
      <c r="O27" s="170" t="s">
        <v>118</v>
      </c>
      <c r="P27" s="48" t="s">
        <v>159</v>
      </c>
      <c r="Q27" s="48" t="s">
        <v>160</v>
      </c>
      <c r="R27" s="170" t="s">
        <v>116</v>
      </c>
      <c r="S27" s="170" t="s">
        <v>116</v>
      </c>
      <c r="T27" s="170" t="s">
        <v>116</v>
      </c>
      <c r="U27" s="170" t="s">
        <v>116</v>
      </c>
      <c r="V27" s="170" t="s">
        <v>116</v>
      </c>
      <c r="W27" s="170" t="s">
        <v>116</v>
      </c>
      <c r="X27" s="173" t="s">
        <v>161</v>
      </c>
      <c r="Y27" s="167">
        <v>270.17</v>
      </c>
      <c r="Z27" s="48" t="s">
        <v>123</v>
      </c>
      <c r="AA27" s="48">
        <v>1</v>
      </c>
      <c r="AB27" s="174">
        <v>0</v>
      </c>
      <c r="AC27" s="174"/>
      <c r="AD27" s="174">
        <v>0</v>
      </c>
      <c r="AE27" s="174">
        <v>0</v>
      </c>
      <c r="AF27" s="174">
        <v>0</v>
      </c>
      <c r="AG27" s="174">
        <v>0</v>
      </c>
      <c r="AH27" s="174">
        <v>0</v>
      </c>
      <c r="AI27" s="174">
        <v>0</v>
      </c>
      <c r="AJ27" s="174">
        <v>1.24</v>
      </c>
      <c r="AK27" s="174">
        <v>0</v>
      </c>
      <c r="AL27" s="174">
        <v>0</v>
      </c>
      <c r="AM27" s="174">
        <v>0</v>
      </c>
      <c r="AN27" s="174">
        <v>0</v>
      </c>
      <c r="AO27" s="174">
        <v>0</v>
      </c>
      <c r="AP27" s="174">
        <v>0</v>
      </c>
      <c r="AQ27" s="174">
        <v>0</v>
      </c>
      <c r="AR27" s="174">
        <v>0</v>
      </c>
      <c r="AS27" s="174">
        <v>0</v>
      </c>
      <c r="AT27" s="174">
        <v>0</v>
      </c>
      <c r="AU27" s="174">
        <v>0</v>
      </c>
      <c r="AV27" s="174">
        <v>0</v>
      </c>
      <c r="AW27" s="174">
        <v>0</v>
      </c>
      <c r="AX27" s="174">
        <v>0</v>
      </c>
      <c r="AY27" s="174">
        <v>0</v>
      </c>
      <c r="AZ27" s="174">
        <v>0</v>
      </c>
      <c r="BA27" s="174">
        <v>0</v>
      </c>
      <c r="BB27" s="174">
        <v>0</v>
      </c>
      <c r="BC27" s="174">
        <v>0</v>
      </c>
      <c r="BD27" s="174">
        <v>0</v>
      </c>
      <c r="BE27" s="174">
        <v>0</v>
      </c>
      <c r="BF27" s="174">
        <v>0</v>
      </c>
      <c r="BG27" s="174">
        <f>SUM(AJ27,AK27)</f>
        <v>1.24</v>
      </c>
      <c r="BH27" s="175" t="s">
        <v>162</v>
      </c>
      <c r="BI27" s="166">
        <v>46004</v>
      </c>
      <c r="BJ27" s="167">
        <v>43.48</v>
      </c>
      <c r="BK27" s="168"/>
      <c r="BL27" s="56"/>
      <c r="BM27" s="168" t="s">
        <v>159</v>
      </c>
      <c r="BN27" s="169" t="s">
        <v>386</v>
      </c>
      <c r="BO27" s="168"/>
      <c r="BP27" s="168"/>
      <c r="BQ27" s="168"/>
      <c r="BR27" s="207"/>
      <c r="BS27" s="168"/>
      <c r="BT27" s="168"/>
      <c r="BU27" s="167"/>
      <c r="BV27" s="170"/>
      <c r="BW27" s="48"/>
      <c r="BX27" s="168"/>
      <c r="BY27" s="168"/>
      <c r="BZ27" s="48"/>
      <c r="CA27" s="48"/>
      <c r="CB27" s="48"/>
      <c r="CC27" s="167"/>
      <c r="CD27" s="137"/>
      <c r="CE27" s="171"/>
      <c r="CF27" s="172" t="s">
        <v>157</v>
      </c>
      <c r="CG27" s="165"/>
    </row>
    <row r="28" spans="1:85" s="138" customFormat="1" ht="15" customHeight="1">
      <c r="A28" s="48" t="s">
        <v>163</v>
      </c>
      <c r="B28" s="29" t="s">
        <v>111</v>
      </c>
      <c r="C28" s="168">
        <v>45809</v>
      </c>
      <c r="D28" s="48" t="s">
        <v>112</v>
      </c>
      <c r="E28" s="29" t="s">
        <v>113</v>
      </c>
      <c r="F28" s="48" t="s">
        <v>114</v>
      </c>
      <c r="G28" s="48" t="s">
        <v>153</v>
      </c>
      <c r="H28" s="48" t="s">
        <v>116</v>
      </c>
      <c r="I28" s="48" t="s">
        <v>116</v>
      </c>
      <c r="J28" s="170" t="s">
        <v>116</v>
      </c>
      <c r="K28" s="170" t="b">
        <v>0</v>
      </c>
      <c r="L28" s="170" t="s">
        <v>116</v>
      </c>
      <c r="M28" s="170" t="s">
        <v>116</v>
      </c>
      <c r="N28" s="170" t="s">
        <v>116</v>
      </c>
      <c r="O28" s="170" t="s">
        <v>118</v>
      </c>
      <c r="P28" s="48" t="s">
        <v>159</v>
      </c>
      <c r="Q28" s="48" t="s">
        <v>160</v>
      </c>
      <c r="R28" s="170" t="s">
        <v>116</v>
      </c>
      <c r="S28" s="170" t="s">
        <v>116</v>
      </c>
      <c r="T28" s="170" t="s">
        <v>116</v>
      </c>
      <c r="U28" s="170" t="s">
        <v>116</v>
      </c>
      <c r="V28" s="170" t="s">
        <v>116</v>
      </c>
      <c r="W28" s="170" t="s">
        <v>116</v>
      </c>
      <c r="X28" s="173" t="s">
        <v>164</v>
      </c>
      <c r="Y28" s="167">
        <v>192.38</v>
      </c>
      <c r="Z28" s="48" t="s">
        <v>116</v>
      </c>
      <c r="AA28" s="48">
        <v>1</v>
      </c>
      <c r="AB28" s="174">
        <v>0</v>
      </c>
      <c r="AC28" s="174"/>
      <c r="AD28" s="174">
        <v>0</v>
      </c>
      <c r="AE28" s="174">
        <v>0</v>
      </c>
      <c r="AF28" s="174">
        <v>0</v>
      </c>
      <c r="AG28" s="174">
        <v>0</v>
      </c>
      <c r="AH28" s="174">
        <v>0</v>
      </c>
      <c r="AI28" s="174">
        <v>0</v>
      </c>
      <c r="AJ28" s="174">
        <v>1.92</v>
      </c>
      <c r="AK28" s="174">
        <v>0</v>
      </c>
      <c r="AL28" s="174">
        <v>0</v>
      </c>
      <c r="AM28" s="174">
        <v>0</v>
      </c>
      <c r="AN28" s="174">
        <v>0</v>
      </c>
      <c r="AO28" s="174">
        <v>0</v>
      </c>
      <c r="AP28" s="174">
        <v>0</v>
      </c>
      <c r="AQ28" s="174">
        <v>0</v>
      </c>
      <c r="AR28" s="174">
        <v>0</v>
      </c>
      <c r="AS28" s="174">
        <v>0</v>
      </c>
      <c r="AT28" s="174">
        <v>0</v>
      </c>
      <c r="AU28" s="174">
        <v>0</v>
      </c>
      <c r="AV28" s="174">
        <v>0</v>
      </c>
      <c r="AW28" s="174">
        <v>0</v>
      </c>
      <c r="AX28" s="174">
        <v>0</v>
      </c>
      <c r="AY28" s="174">
        <v>0</v>
      </c>
      <c r="AZ28" s="174">
        <v>0</v>
      </c>
      <c r="BA28" s="174">
        <v>0</v>
      </c>
      <c r="BB28" s="174">
        <v>0</v>
      </c>
      <c r="BC28" s="174">
        <v>0</v>
      </c>
      <c r="BD28" s="174">
        <v>0</v>
      </c>
      <c r="BE28" s="174">
        <v>0</v>
      </c>
      <c r="BF28" s="174">
        <v>0</v>
      </c>
      <c r="BG28" s="174">
        <f t="shared" ref="BG28:BG33" si="0">SUM(AJ28,AK28)</f>
        <v>1.92</v>
      </c>
      <c r="BH28" s="175" t="s">
        <v>165</v>
      </c>
      <c r="BI28" s="166">
        <v>46011</v>
      </c>
      <c r="BJ28" s="167">
        <v>33.81</v>
      </c>
      <c r="BK28" s="168"/>
      <c r="BL28" s="56"/>
      <c r="BM28" s="168" t="s">
        <v>159</v>
      </c>
      <c r="BN28" s="169" t="s">
        <v>386</v>
      </c>
      <c r="BO28" s="168"/>
      <c r="BP28" s="168"/>
      <c r="BQ28" s="168"/>
      <c r="BR28" s="207"/>
      <c r="BS28" s="168"/>
      <c r="BT28" s="168"/>
      <c r="BU28" s="167"/>
      <c r="BV28" s="170"/>
      <c r="BW28" s="48"/>
      <c r="BX28" s="168"/>
      <c r="BY28" s="168"/>
      <c r="BZ28" s="48"/>
      <c r="CA28" s="48"/>
      <c r="CB28" s="48"/>
      <c r="CC28" s="167"/>
      <c r="CD28" s="137"/>
      <c r="CE28" s="171"/>
      <c r="CF28" s="172" t="s">
        <v>166</v>
      </c>
      <c r="CG28" s="165"/>
    </row>
    <row r="29" spans="1:85" s="138" customFormat="1" ht="15" customHeight="1">
      <c r="A29" s="48" t="s">
        <v>167</v>
      </c>
      <c r="B29" s="29" t="s">
        <v>111</v>
      </c>
      <c r="C29" s="168">
        <v>45778</v>
      </c>
      <c r="D29" s="48" t="s">
        <v>168</v>
      </c>
      <c r="E29" s="29" t="s">
        <v>113</v>
      </c>
      <c r="F29" s="48" t="s">
        <v>114</v>
      </c>
      <c r="G29" s="48" t="s">
        <v>130</v>
      </c>
      <c r="H29" s="48" t="s">
        <v>116</v>
      </c>
      <c r="I29" s="48" t="s">
        <v>116</v>
      </c>
      <c r="J29" s="170" t="s">
        <v>116</v>
      </c>
      <c r="K29" s="170" t="b">
        <v>0</v>
      </c>
      <c r="L29" s="170" t="s">
        <v>116</v>
      </c>
      <c r="M29" s="170" t="s">
        <v>116</v>
      </c>
      <c r="N29" s="170" t="s">
        <v>116</v>
      </c>
      <c r="O29" s="170" t="s">
        <v>118</v>
      </c>
      <c r="P29" s="48" t="s">
        <v>159</v>
      </c>
      <c r="Q29" s="48" t="s">
        <v>160</v>
      </c>
      <c r="R29" s="170" t="s">
        <v>116</v>
      </c>
      <c r="S29" s="170" t="s">
        <v>116</v>
      </c>
      <c r="T29" s="170" t="s">
        <v>116</v>
      </c>
      <c r="U29" s="170" t="s">
        <v>116</v>
      </c>
      <c r="V29" s="170" t="s">
        <v>116</v>
      </c>
      <c r="W29" s="170" t="s">
        <v>116</v>
      </c>
      <c r="X29" s="173" t="s">
        <v>169</v>
      </c>
      <c r="Y29" s="167" t="s">
        <v>116</v>
      </c>
      <c r="Z29" s="48" t="s">
        <v>116</v>
      </c>
      <c r="AA29" s="48">
        <v>1</v>
      </c>
      <c r="AB29" s="174">
        <v>0</v>
      </c>
      <c r="AC29" s="174"/>
      <c r="AD29" s="174">
        <v>0</v>
      </c>
      <c r="AE29" s="174">
        <v>0</v>
      </c>
      <c r="AF29" s="174">
        <v>0</v>
      </c>
      <c r="AG29" s="174">
        <v>0</v>
      </c>
      <c r="AH29" s="174">
        <v>0</v>
      </c>
      <c r="AI29" s="174">
        <v>0</v>
      </c>
      <c r="AJ29" s="174">
        <v>1.31</v>
      </c>
      <c r="AK29" s="174">
        <v>26.15</v>
      </c>
      <c r="AL29" s="174">
        <v>0</v>
      </c>
      <c r="AM29" s="174">
        <v>0</v>
      </c>
      <c r="AN29" s="174">
        <v>0</v>
      </c>
      <c r="AO29" s="174">
        <v>0</v>
      </c>
      <c r="AP29" s="174">
        <v>0</v>
      </c>
      <c r="AQ29" s="174">
        <v>0</v>
      </c>
      <c r="AR29" s="174">
        <v>0</v>
      </c>
      <c r="AS29" s="174">
        <v>0</v>
      </c>
      <c r="AT29" s="174">
        <v>0</v>
      </c>
      <c r="AU29" s="174">
        <v>0</v>
      </c>
      <c r="AV29" s="174">
        <v>0</v>
      </c>
      <c r="AW29" s="174">
        <v>0</v>
      </c>
      <c r="AX29" s="174">
        <v>0</v>
      </c>
      <c r="AY29" s="174">
        <v>0</v>
      </c>
      <c r="AZ29" s="174">
        <v>0</v>
      </c>
      <c r="BA29" s="174">
        <v>0</v>
      </c>
      <c r="BB29" s="174">
        <v>0</v>
      </c>
      <c r="BC29" s="174">
        <v>0</v>
      </c>
      <c r="BD29" s="174">
        <v>0</v>
      </c>
      <c r="BE29" s="174">
        <v>0</v>
      </c>
      <c r="BF29" s="174">
        <v>0</v>
      </c>
      <c r="BG29" s="174">
        <f t="shared" si="0"/>
        <v>27.459999999999997</v>
      </c>
      <c r="BH29" s="175" t="s">
        <v>170</v>
      </c>
      <c r="BI29" s="166">
        <v>45998</v>
      </c>
      <c r="BJ29" s="167">
        <v>233.1</v>
      </c>
      <c r="BK29" s="168"/>
      <c r="BL29" s="56"/>
      <c r="BM29" s="168" t="s">
        <v>159</v>
      </c>
      <c r="BN29" s="169" t="s">
        <v>386</v>
      </c>
      <c r="BO29" s="168"/>
      <c r="BP29" s="168"/>
      <c r="BQ29" s="168"/>
      <c r="BR29" s="207"/>
      <c r="BS29" s="168"/>
      <c r="BT29" s="168"/>
      <c r="BU29" s="167"/>
      <c r="BV29" s="170"/>
      <c r="BW29" s="48"/>
      <c r="BX29" s="168"/>
      <c r="BY29" s="168"/>
      <c r="BZ29" s="48"/>
      <c r="CA29" s="48"/>
      <c r="CB29" s="48"/>
      <c r="CC29" s="167"/>
      <c r="CD29" s="137"/>
      <c r="CE29" s="171"/>
      <c r="CF29" s="172" t="s">
        <v>166</v>
      </c>
      <c r="CG29" s="165"/>
    </row>
    <row r="30" spans="1:85" s="138" customFormat="1" ht="15" customHeight="1">
      <c r="A30" s="48" t="s">
        <v>171</v>
      </c>
      <c r="B30" s="29" t="s">
        <v>111</v>
      </c>
      <c r="C30" s="168">
        <v>45839</v>
      </c>
      <c r="D30" s="48" t="s">
        <v>172</v>
      </c>
      <c r="E30" s="29" t="s">
        <v>113</v>
      </c>
      <c r="F30" s="48" t="s">
        <v>114</v>
      </c>
      <c r="G30" s="48" t="s">
        <v>130</v>
      </c>
      <c r="H30" s="48" t="s">
        <v>116</v>
      </c>
      <c r="I30" s="48" t="s">
        <v>116</v>
      </c>
      <c r="J30" s="170" t="s">
        <v>116</v>
      </c>
      <c r="K30" s="170" t="b">
        <v>0</v>
      </c>
      <c r="L30" s="170" t="s">
        <v>116</v>
      </c>
      <c r="M30" s="170" t="s">
        <v>116</v>
      </c>
      <c r="N30" s="170" t="s">
        <v>116</v>
      </c>
      <c r="O30" s="170" t="s">
        <v>118</v>
      </c>
      <c r="P30" s="48" t="s">
        <v>159</v>
      </c>
      <c r="Q30" s="48" t="s">
        <v>160</v>
      </c>
      <c r="R30" s="170" t="s">
        <v>116</v>
      </c>
      <c r="S30" s="170" t="s">
        <v>116</v>
      </c>
      <c r="T30" s="170" t="s">
        <v>116</v>
      </c>
      <c r="U30" s="170" t="s">
        <v>116</v>
      </c>
      <c r="V30" s="170" t="s">
        <v>116</v>
      </c>
      <c r="W30" s="170" t="s">
        <v>116</v>
      </c>
      <c r="X30" s="173" t="s">
        <v>173</v>
      </c>
      <c r="Y30" s="167">
        <v>119.64</v>
      </c>
      <c r="Z30" s="48" t="s">
        <v>123</v>
      </c>
      <c r="AA30" s="48">
        <v>1</v>
      </c>
      <c r="AB30" s="174">
        <v>0</v>
      </c>
      <c r="AC30" s="174"/>
      <c r="AD30" s="174">
        <v>0</v>
      </c>
      <c r="AE30" s="174">
        <v>0</v>
      </c>
      <c r="AF30" s="174">
        <v>0</v>
      </c>
      <c r="AG30" s="174">
        <v>0</v>
      </c>
      <c r="AH30" s="174">
        <v>0</v>
      </c>
      <c r="AI30" s="174">
        <v>0</v>
      </c>
      <c r="AJ30" s="174">
        <v>1.2</v>
      </c>
      <c r="AK30" s="174">
        <v>0</v>
      </c>
      <c r="AL30" s="174">
        <v>0</v>
      </c>
      <c r="AM30" s="174">
        <v>0</v>
      </c>
      <c r="AN30" s="174">
        <v>0</v>
      </c>
      <c r="AO30" s="174">
        <v>0</v>
      </c>
      <c r="AP30" s="174">
        <v>0</v>
      </c>
      <c r="AQ30" s="174">
        <v>0</v>
      </c>
      <c r="AR30" s="174">
        <v>0</v>
      </c>
      <c r="AS30" s="174">
        <v>0</v>
      </c>
      <c r="AT30" s="174">
        <v>0</v>
      </c>
      <c r="AU30" s="174">
        <v>0</v>
      </c>
      <c r="AV30" s="174">
        <v>0</v>
      </c>
      <c r="AW30" s="174">
        <v>0</v>
      </c>
      <c r="AX30" s="174">
        <v>0</v>
      </c>
      <c r="AY30" s="174">
        <v>0</v>
      </c>
      <c r="AZ30" s="174">
        <v>0</v>
      </c>
      <c r="BA30" s="174">
        <v>0</v>
      </c>
      <c r="BB30" s="174">
        <v>0</v>
      </c>
      <c r="BC30" s="174">
        <v>0</v>
      </c>
      <c r="BD30" s="174">
        <v>0</v>
      </c>
      <c r="BE30" s="174">
        <v>0</v>
      </c>
      <c r="BF30" s="174">
        <v>0</v>
      </c>
      <c r="BG30" s="174">
        <f t="shared" si="0"/>
        <v>1.2</v>
      </c>
      <c r="BH30" s="175" t="s">
        <v>174</v>
      </c>
      <c r="BI30" s="166">
        <v>46004</v>
      </c>
      <c r="BJ30" s="167">
        <v>16.600000000000001</v>
      </c>
      <c r="BK30" s="168"/>
      <c r="BL30" s="56"/>
      <c r="BM30" s="168" t="s">
        <v>159</v>
      </c>
      <c r="BN30" s="169" t="s">
        <v>386</v>
      </c>
      <c r="BO30" s="168"/>
      <c r="BP30" s="168"/>
      <c r="BQ30" s="168"/>
      <c r="BR30" s="207"/>
      <c r="BS30" s="168"/>
      <c r="BT30" s="168"/>
      <c r="BU30" s="167"/>
      <c r="BV30" s="170"/>
      <c r="BW30" s="48"/>
      <c r="BX30" s="168"/>
      <c r="BY30" s="168"/>
      <c r="BZ30" s="48"/>
      <c r="CA30" s="48"/>
      <c r="CB30" s="48"/>
      <c r="CC30" s="167"/>
      <c r="CD30" s="137"/>
      <c r="CE30" s="171"/>
      <c r="CF30" s="172" t="s">
        <v>166</v>
      </c>
      <c r="CG30" s="165"/>
    </row>
    <row r="31" spans="1:85" s="138" customFormat="1" ht="15" customHeight="1">
      <c r="A31" s="48" t="s">
        <v>175</v>
      </c>
      <c r="B31" s="29" t="s">
        <v>111</v>
      </c>
      <c r="C31" s="168">
        <v>46023</v>
      </c>
      <c r="D31" s="48" t="s">
        <v>112</v>
      </c>
      <c r="E31" s="29" t="s">
        <v>113</v>
      </c>
      <c r="F31" s="48" t="s">
        <v>114</v>
      </c>
      <c r="G31" s="48" t="s">
        <v>115</v>
      </c>
      <c r="H31" s="48" t="s">
        <v>116</v>
      </c>
      <c r="I31" s="48" t="s">
        <v>116</v>
      </c>
      <c r="J31" s="170" t="s">
        <v>116</v>
      </c>
      <c r="K31" s="170" t="b">
        <v>0</v>
      </c>
      <c r="L31" s="170" t="s">
        <v>116</v>
      </c>
      <c r="M31" s="170" t="s">
        <v>116</v>
      </c>
      <c r="N31" s="170" t="s">
        <v>116</v>
      </c>
      <c r="O31" s="170" t="s">
        <v>118</v>
      </c>
      <c r="P31" s="48" t="s">
        <v>159</v>
      </c>
      <c r="Q31" s="48" t="s">
        <v>160</v>
      </c>
      <c r="R31" s="170" t="s">
        <v>116</v>
      </c>
      <c r="S31" s="170" t="s">
        <v>116</v>
      </c>
      <c r="T31" s="170" t="s">
        <v>116</v>
      </c>
      <c r="U31" s="170" t="s">
        <v>116</v>
      </c>
      <c r="V31" s="170" t="s">
        <v>116</v>
      </c>
      <c r="W31" s="170" t="s">
        <v>116</v>
      </c>
      <c r="X31" s="173" t="s">
        <v>176</v>
      </c>
      <c r="Y31" s="167">
        <v>300.23</v>
      </c>
      <c r="Z31" s="48" t="s">
        <v>123</v>
      </c>
      <c r="AA31" s="48">
        <v>1</v>
      </c>
      <c r="AB31" s="174">
        <v>0</v>
      </c>
      <c r="AC31" s="174"/>
      <c r="AD31" s="174">
        <v>0</v>
      </c>
      <c r="AE31" s="174">
        <v>0</v>
      </c>
      <c r="AF31" s="174">
        <v>0</v>
      </c>
      <c r="AG31" s="174">
        <v>0</v>
      </c>
      <c r="AH31" s="174">
        <v>0</v>
      </c>
      <c r="AI31" s="174">
        <v>0</v>
      </c>
      <c r="AJ31" s="174">
        <v>2.77</v>
      </c>
      <c r="AK31" s="174">
        <v>0</v>
      </c>
      <c r="AL31" s="174">
        <v>0</v>
      </c>
      <c r="AM31" s="174">
        <v>0</v>
      </c>
      <c r="AN31" s="174">
        <v>0</v>
      </c>
      <c r="AO31" s="174">
        <v>0</v>
      </c>
      <c r="AP31" s="174">
        <v>0</v>
      </c>
      <c r="AQ31" s="174">
        <v>0</v>
      </c>
      <c r="AR31" s="174">
        <v>0</v>
      </c>
      <c r="AS31" s="174">
        <v>0</v>
      </c>
      <c r="AT31" s="174">
        <v>0</v>
      </c>
      <c r="AU31" s="174">
        <v>0</v>
      </c>
      <c r="AV31" s="174">
        <v>0</v>
      </c>
      <c r="AW31" s="174">
        <v>0</v>
      </c>
      <c r="AX31" s="174">
        <v>0</v>
      </c>
      <c r="AY31" s="174">
        <v>0</v>
      </c>
      <c r="AZ31" s="174">
        <v>0</v>
      </c>
      <c r="BA31" s="174">
        <v>0</v>
      </c>
      <c r="BB31" s="174">
        <v>0</v>
      </c>
      <c r="BC31" s="174">
        <v>0</v>
      </c>
      <c r="BD31" s="174">
        <v>0</v>
      </c>
      <c r="BE31" s="174">
        <v>0</v>
      </c>
      <c r="BF31" s="174">
        <v>0</v>
      </c>
      <c r="BG31" s="174">
        <f t="shared" si="0"/>
        <v>2.77</v>
      </c>
      <c r="BH31" s="175" t="s">
        <v>177</v>
      </c>
      <c r="BI31" s="166">
        <v>46011</v>
      </c>
      <c r="BJ31" s="167">
        <v>33.81</v>
      </c>
      <c r="BK31" s="168"/>
      <c r="BL31" s="56"/>
      <c r="BM31" s="168" t="s">
        <v>159</v>
      </c>
      <c r="BN31" s="169" t="s">
        <v>386</v>
      </c>
      <c r="BO31" s="168"/>
      <c r="BP31" s="168"/>
      <c r="BQ31" s="168"/>
      <c r="BR31" s="207"/>
      <c r="BS31" s="168"/>
      <c r="BT31" s="168"/>
      <c r="BU31" s="167"/>
      <c r="BV31" s="170"/>
      <c r="BW31" s="48"/>
      <c r="BX31" s="168"/>
      <c r="BY31" s="168"/>
      <c r="BZ31" s="48"/>
      <c r="CA31" s="48"/>
      <c r="CB31" s="48"/>
      <c r="CC31" s="167"/>
      <c r="CD31" s="137"/>
      <c r="CE31" s="171"/>
      <c r="CF31" s="172" t="s">
        <v>166</v>
      </c>
      <c r="CG31" s="165"/>
    </row>
    <row r="32" spans="1:85" s="138" customFormat="1" ht="15" customHeight="1">
      <c r="A32" s="48" t="s">
        <v>209</v>
      </c>
      <c r="B32" s="29" t="s">
        <v>111</v>
      </c>
      <c r="C32" s="168">
        <v>45261.333333333336</v>
      </c>
      <c r="D32" s="48" t="s">
        <v>112</v>
      </c>
      <c r="E32" s="29" t="s">
        <v>113</v>
      </c>
      <c r="F32" s="48" t="s">
        <v>114</v>
      </c>
      <c r="G32" s="48" t="s">
        <v>210</v>
      </c>
      <c r="H32" s="48" t="s">
        <v>116</v>
      </c>
      <c r="I32" s="48" t="s">
        <v>117</v>
      </c>
      <c r="J32" s="170" t="s">
        <v>116</v>
      </c>
      <c r="K32" s="170" t="b">
        <v>0</v>
      </c>
      <c r="L32" s="170" t="s">
        <v>116</v>
      </c>
      <c r="M32" s="170" t="s">
        <v>116</v>
      </c>
      <c r="N32" s="170" t="s">
        <v>118</v>
      </c>
      <c r="O32" s="170" t="s">
        <v>119</v>
      </c>
      <c r="P32" s="48" t="s">
        <v>120</v>
      </c>
      <c r="Q32" s="48" t="s">
        <v>121</v>
      </c>
      <c r="R32" s="170" t="s">
        <v>116</v>
      </c>
      <c r="S32" s="170" t="s">
        <v>116</v>
      </c>
      <c r="T32" s="170" t="s">
        <v>116</v>
      </c>
      <c r="U32" s="170" t="s">
        <v>116</v>
      </c>
      <c r="V32" s="170" t="s">
        <v>116</v>
      </c>
      <c r="W32" s="170" t="s">
        <v>116</v>
      </c>
      <c r="X32" s="173" t="s">
        <v>211</v>
      </c>
      <c r="Y32" s="167">
        <v>56.49</v>
      </c>
      <c r="Z32" s="48" t="s">
        <v>123</v>
      </c>
      <c r="AA32" s="48">
        <v>1</v>
      </c>
      <c r="AB32" s="174">
        <v>0</v>
      </c>
      <c r="AC32" s="174"/>
      <c r="AD32" s="174">
        <v>0</v>
      </c>
      <c r="AE32" s="174">
        <v>0</v>
      </c>
      <c r="AF32" s="174">
        <v>0</v>
      </c>
      <c r="AG32" s="174">
        <v>0</v>
      </c>
      <c r="AH32" s="174">
        <v>0</v>
      </c>
      <c r="AI32" s="174">
        <v>0</v>
      </c>
      <c r="AJ32" s="174">
        <v>0.28000000000000003</v>
      </c>
      <c r="AK32" s="174">
        <v>15.26</v>
      </c>
      <c r="AL32" s="174">
        <v>0</v>
      </c>
      <c r="AM32" s="174">
        <v>0</v>
      </c>
      <c r="AN32" s="174">
        <v>0</v>
      </c>
      <c r="AO32" s="174">
        <v>0</v>
      </c>
      <c r="AP32" s="174">
        <v>0</v>
      </c>
      <c r="AQ32" s="174">
        <v>0</v>
      </c>
      <c r="AR32" s="174">
        <v>0</v>
      </c>
      <c r="AS32" s="174">
        <v>0</v>
      </c>
      <c r="AT32" s="174">
        <v>0</v>
      </c>
      <c r="AU32" s="174">
        <v>0</v>
      </c>
      <c r="AV32" s="174">
        <v>0</v>
      </c>
      <c r="AW32" s="174">
        <v>0</v>
      </c>
      <c r="AX32" s="174">
        <v>0</v>
      </c>
      <c r="AY32" s="174">
        <v>0</v>
      </c>
      <c r="AZ32" s="174">
        <v>0</v>
      </c>
      <c r="BA32" s="174">
        <v>0</v>
      </c>
      <c r="BB32" s="174">
        <v>0</v>
      </c>
      <c r="BC32" s="174">
        <v>0</v>
      </c>
      <c r="BD32" s="174">
        <v>0</v>
      </c>
      <c r="BE32" s="174">
        <v>0</v>
      </c>
      <c r="BF32" s="174">
        <v>0</v>
      </c>
      <c r="BG32" s="174">
        <f t="shared" si="0"/>
        <v>15.54</v>
      </c>
      <c r="BH32" s="175" t="s">
        <v>212</v>
      </c>
      <c r="BI32" s="166">
        <v>46004</v>
      </c>
      <c r="BJ32" s="167">
        <v>43.48</v>
      </c>
      <c r="BK32" s="168"/>
      <c r="BL32" s="56"/>
      <c r="BM32" s="168" t="s">
        <v>159</v>
      </c>
      <c r="BN32" s="169" t="s">
        <v>386</v>
      </c>
      <c r="BO32" s="168"/>
      <c r="BP32" s="168"/>
      <c r="BQ32" s="168"/>
      <c r="BR32" s="207"/>
      <c r="BS32" s="168"/>
      <c r="BT32" s="168"/>
      <c r="BU32" s="167"/>
      <c r="BV32" s="170"/>
      <c r="BW32" s="48"/>
      <c r="BX32" s="168"/>
      <c r="BY32" s="168"/>
      <c r="BZ32" s="48"/>
      <c r="CA32" s="48"/>
      <c r="CB32" s="48"/>
      <c r="CC32" s="167"/>
      <c r="CD32" s="137"/>
      <c r="CE32" s="171"/>
      <c r="CF32" s="172" t="s">
        <v>157</v>
      </c>
      <c r="CG32" s="165"/>
    </row>
    <row r="33" spans="1:86" s="138" customFormat="1" ht="15" customHeight="1">
      <c r="A33" s="48" t="s">
        <v>213</v>
      </c>
      <c r="B33" s="29" t="s">
        <v>111</v>
      </c>
      <c r="C33" s="168">
        <v>44927</v>
      </c>
      <c r="D33" s="48" t="s">
        <v>112</v>
      </c>
      <c r="E33" s="29" t="s">
        <v>113</v>
      </c>
      <c r="F33" s="48" t="s">
        <v>114</v>
      </c>
      <c r="G33" s="48" t="s">
        <v>153</v>
      </c>
      <c r="H33" s="48" t="s">
        <v>116</v>
      </c>
      <c r="I33" s="48" t="s">
        <v>214</v>
      </c>
      <c r="J33" s="170" t="s">
        <v>116</v>
      </c>
      <c r="K33" s="170" t="b">
        <v>0</v>
      </c>
      <c r="L33" s="170" t="s">
        <v>116</v>
      </c>
      <c r="M33" s="170" t="s">
        <v>116</v>
      </c>
      <c r="N33" s="170" t="s">
        <v>118</v>
      </c>
      <c r="O33" s="170" t="s">
        <v>119</v>
      </c>
      <c r="P33" s="48" t="s">
        <v>120</v>
      </c>
      <c r="Q33" s="48" t="s">
        <v>121</v>
      </c>
      <c r="R33" s="170" t="s">
        <v>138</v>
      </c>
      <c r="S33" s="170" t="s">
        <v>116</v>
      </c>
      <c r="T33" s="170" t="s">
        <v>116</v>
      </c>
      <c r="U33" s="170" t="s">
        <v>116</v>
      </c>
      <c r="V33" s="170" t="s">
        <v>116</v>
      </c>
      <c r="W33" s="170" t="s">
        <v>116</v>
      </c>
      <c r="X33" s="173" t="s">
        <v>215</v>
      </c>
      <c r="Y33" s="167">
        <v>170.35</v>
      </c>
      <c r="Z33" s="48" t="s">
        <v>123</v>
      </c>
      <c r="AA33" s="48">
        <v>1</v>
      </c>
      <c r="AB33" s="174">
        <v>0</v>
      </c>
      <c r="AC33" s="174"/>
      <c r="AD33" s="174">
        <v>0</v>
      </c>
      <c r="AE33" s="174">
        <v>0</v>
      </c>
      <c r="AF33" s="174">
        <v>0</v>
      </c>
      <c r="AG33" s="174">
        <v>0</v>
      </c>
      <c r="AH33" s="174">
        <v>0</v>
      </c>
      <c r="AI33" s="174">
        <v>0</v>
      </c>
      <c r="AJ33" s="174">
        <v>0.38</v>
      </c>
      <c r="AK33" s="174">
        <v>16.78</v>
      </c>
      <c r="AL33" s="174">
        <v>0</v>
      </c>
      <c r="AM33" s="174">
        <v>0</v>
      </c>
      <c r="AN33" s="174">
        <v>0</v>
      </c>
      <c r="AO33" s="174">
        <v>0</v>
      </c>
      <c r="AP33" s="174">
        <v>0</v>
      </c>
      <c r="AQ33" s="174">
        <v>0</v>
      </c>
      <c r="AR33" s="174">
        <v>0</v>
      </c>
      <c r="AS33" s="174">
        <v>0</v>
      </c>
      <c r="AT33" s="174">
        <v>0</v>
      </c>
      <c r="AU33" s="174">
        <v>0</v>
      </c>
      <c r="AV33" s="174">
        <v>0</v>
      </c>
      <c r="AW33" s="174">
        <v>0</v>
      </c>
      <c r="AX33" s="174">
        <v>0</v>
      </c>
      <c r="AY33" s="174">
        <v>0</v>
      </c>
      <c r="AZ33" s="174">
        <v>0</v>
      </c>
      <c r="BA33" s="174">
        <v>0</v>
      </c>
      <c r="BB33" s="174">
        <v>0</v>
      </c>
      <c r="BC33" s="174">
        <v>0</v>
      </c>
      <c r="BD33" s="174">
        <v>0</v>
      </c>
      <c r="BE33" s="174">
        <v>0</v>
      </c>
      <c r="BF33" s="174">
        <v>0</v>
      </c>
      <c r="BG33" s="174">
        <f t="shared" si="0"/>
        <v>17.16</v>
      </c>
      <c r="BH33" s="175" t="s">
        <v>392</v>
      </c>
      <c r="BI33" s="166">
        <v>46004</v>
      </c>
      <c r="BJ33" s="167">
        <v>43.48</v>
      </c>
      <c r="BK33" s="168"/>
      <c r="BL33" s="56"/>
      <c r="BM33" s="168" t="s">
        <v>159</v>
      </c>
      <c r="BN33" s="169" t="s">
        <v>386</v>
      </c>
      <c r="BO33" s="168"/>
      <c r="BP33" s="168"/>
      <c r="BQ33" s="168"/>
      <c r="BR33" s="207"/>
      <c r="BS33" s="168"/>
      <c r="BT33" s="168"/>
      <c r="BU33" s="167"/>
      <c r="BV33" s="170"/>
      <c r="BW33" s="48"/>
      <c r="BX33" s="168"/>
      <c r="BY33" s="168"/>
      <c r="BZ33" s="48"/>
      <c r="CA33" s="48"/>
      <c r="CB33" s="48"/>
      <c r="CC33" s="167"/>
      <c r="CD33" s="137"/>
      <c r="CE33" s="171"/>
      <c r="CF33" s="172" t="s">
        <v>157</v>
      </c>
      <c r="CG33" s="165"/>
    </row>
    <row r="34" spans="1:86" s="138" customFormat="1" ht="15" customHeight="1">
      <c r="A34" s="48"/>
      <c r="B34" s="29"/>
      <c r="C34" s="168"/>
      <c r="D34" s="48"/>
      <c r="E34" s="29"/>
      <c r="F34" s="48"/>
      <c r="G34" s="48"/>
      <c r="H34" s="48"/>
      <c r="I34" s="48"/>
      <c r="J34" s="170"/>
      <c r="K34" s="170"/>
      <c r="L34" s="170"/>
      <c r="M34" s="170"/>
      <c r="N34" s="170"/>
      <c r="O34" s="170"/>
      <c r="P34" s="48"/>
      <c r="Q34" s="48"/>
      <c r="R34" s="170"/>
      <c r="S34" s="170"/>
      <c r="T34" s="170"/>
      <c r="U34" s="170"/>
      <c r="V34" s="170"/>
      <c r="W34" s="170"/>
      <c r="X34" s="173"/>
      <c r="Y34" s="167"/>
      <c r="Z34" s="48"/>
      <c r="AA34" s="48"/>
      <c r="AB34" s="174"/>
      <c r="AC34" s="174"/>
      <c r="AD34" s="174"/>
      <c r="AE34" s="174"/>
      <c r="AF34" s="174"/>
      <c r="AG34" s="174"/>
      <c r="AH34" s="174"/>
      <c r="AI34" s="174"/>
      <c r="AJ34" s="174"/>
      <c r="AK34" s="174"/>
      <c r="AL34" s="174"/>
      <c r="AM34" s="174"/>
      <c r="AN34" s="174"/>
      <c r="AO34" s="174"/>
      <c r="AP34" s="174"/>
      <c r="AQ34" s="174"/>
      <c r="AR34" s="174"/>
      <c r="AS34" s="174"/>
      <c r="AT34" s="174"/>
      <c r="AU34" s="174"/>
      <c r="AV34" s="174"/>
      <c r="AW34" s="174"/>
      <c r="AX34" s="174"/>
      <c r="AY34" s="174"/>
      <c r="AZ34" s="174"/>
      <c r="BA34" s="174"/>
      <c r="BB34" s="174"/>
      <c r="BC34" s="174"/>
      <c r="BD34" s="174"/>
      <c r="BE34" s="174"/>
      <c r="BF34" s="174"/>
      <c r="BG34" s="174"/>
      <c r="BH34" s="175"/>
      <c r="BI34" s="166"/>
      <c r="BJ34" s="167"/>
      <c r="BK34" s="168"/>
      <c r="BL34" s="56"/>
      <c r="BM34" s="168"/>
      <c r="BN34" s="169"/>
      <c r="BO34" s="168"/>
      <c r="BP34" s="168"/>
      <c r="BQ34" s="168"/>
      <c r="BR34" s="207"/>
      <c r="BS34" s="168"/>
      <c r="BT34" s="168"/>
      <c r="BU34" s="167"/>
      <c r="BV34" s="170"/>
      <c r="BW34" s="48"/>
      <c r="BX34" s="168"/>
      <c r="BY34" s="168"/>
      <c r="BZ34" s="48"/>
      <c r="CA34" s="48"/>
      <c r="CB34" s="48"/>
      <c r="CC34" s="167"/>
      <c r="CD34" s="137"/>
      <c r="CE34" s="171"/>
      <c r="CF34" s="172"/>
      <c r="CG34" s="165"/>
    </row>
    <row r="35" spans="1:86" s="138" customFormat="1" ht="15" customHeight="1">
      <c r="A35" s="29"/>
      <c r="B35" s="29"/>
      <c r="C35" s="31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176"/>
      <c r="R35" s="176"/>
      <c r="S35" s="176"/>
      <c r="T35" s="176"/>
      <c r="U35" s="176"/>
      <c r="V35" s="176"/>
      <c r="W35" s="176"/>
      <c r="X35" s="177" t="s">
        <v>140</v>
      </c>
      <c r="Y35" s="178"/>
      <c r="Z35" s="179"/>
      <c r="AA35" s="179">
        <f t="shared" ref="AA35:AH35" si="1">SUM(AA27:AA33)</f>
        <v>7</v>
      </c>
      <c r="AB35" s="180">
        <f t="shared" si="1"/>
        <v>0</v>
      </c>
      <c r="AC35" s="180">
        <f t="shared" si="1"/>
        <v>0</v>
      </c>
      <c r="AD35" s="180">
        <f t="shared" si="1"/>
        <v>0</v>
      </c>
      <c r="AE35" s="180">
        <f t="shared" si="1"/>
        <v>0</v>
      </c>
      <c r="AF35" s="180">
        <f t="shared" si="1"/>
        <v>0</v>
      </c>
      <c r="AG35" s="180">
        <f t="shared" si="1"/>
        <v>0</v>
      </c>
      <c r="AH35" s="180">
        <f t="shared" si="1"/>
        <v>0</v>
      </c>
      <c r="AI35" s="180">
        <f t="shared" ref="AI35:BG35" si="2">SUM(AI27:AI34)</f>
        <v>0</v>
      </c>
      <c r="AJ35" s="180">
        <f t="shared" si="2"/>
        <v>9.1000000000000014</v>
      </c>
      <c r="AK35" s="180">
        <f t="shared" si="2"/>
        <v>58.19</v>
      </c>
      <c r="AL35" s="180">
        <f t="shared" si="2"/>
        <v>0</v>
      </c>
      <c r="AM35" s="180">
        <f t="shared" si="2"/>
        <v>0</v>
      </c>
      <c r="AN35" s="180">
        <f t="shared" si="2"/>
        <v>0</v>
      </c>
      <c r="AO35" s="180">
        <f t="shared" si="2"/>
        <v>0</v>
      </c>
      <c r="AP35" s="180">
        <f t="shared" si="2"/>
        <v>0</v>
      </c>
      <c r="AQ35" s="180">
        <f t="shared" si="2"/>
        <v>0</v>
      </c>
      <c r="AR35" s="180">
        <f t="shared" si="2"/>
        <v>0</v>
      </c>
      <c r="AS35" s="180">
        <f t="shared" si="2"/>
        <v>0</v>
      </c>
      <c r="AT35" s="180">
        <f t="shared" si="2"/>
        <v>0</v>
      </c>
      <c r="AU35" s="180">
        <f t="shared" si="2"/>
        <v>0</v>
      </c>
      <c r="AV35" s="180">
        <f t="shared" si="2"/>
        <v>0</v>
      </c>
      <c r="AW35" s="180">
        <f t="shared" si="2"/>
        <v>0</v>
      </c>
      <c r="AX35" s="180">
        <f t="shared" si="2"/>
        <v>0</v>
      </c>
      <c r="AY35" s="180">
        <f t="shared" si="2"/>
        <v>0</v>
      </c>
      <c r="AZ35" s="180">
        <f t="shared" si="2"/>
        <v>0</v>
      </c>
      <c r="BA35" s="180">
        <f t="shared" si="2"/>
        <v>0</v>
      </c>
      <c r="BB35" s="180">
        <f t="shared" si="2"/>
        <v>0</v>
      </c>
      <c r="BC35" s="180">
        <f t="shared" si="2"/>
        <v>0</v>
      </c>
      <c r="BD35" s="180">
        <f t="shared" si="2"/>
        <v>0</v>
      </c>
      <c r="BE35" s="180">
        <f t="shared" si="2"/>
        <v>0</v>
      </c>
      <c r="BF35" s="180">
        <f t="shared" si="2"/>
        <v>0</v>
      </c>
      <c r="BG35" s="180">
        <f t="shared" si="2"/>
        <v>67.289999999999992</v>
      </c>
      <c r="BH35" s="181"/>
      <c r="BI35" s="31"/>
      <c r="BJ35" s="182"/>
      <c r="BK35" s="31"/>
      <c r="BL35" s="56"/>
      <c r="BM35" s="29"/>
      <c r="BN35" s="183"/>
      <c r="BO35" s="31"/>
      <c r="BP35" s="31"/>
      <c r="BQ35" s="31"/>
      <c r="BR35" s="208"/>
      <c r="BS35" s="31"/>
      <c r="BT35" s="183"/>
      <c r="BU35" s="182"/>
      <c r="BV35" s="183"/>
      <c r="BW35" s="183"/>
      <c r="BX35" s="31"/>
      <c r="BY35" s="183"/>
      <c r="BZ35" s="183"/>
      <c r="CA35" s="183"/>
      <c r="CB35" s="183"/>
      <c r="CC35" s="184"/>
      <c r="CD35" s="137"/>
      <c r="CE35" s="183"/>
      <c r="CF35" s="183"/>
      <c r="CG35" s="183"/>
      <c r="CH35" s="183"/>
    </row>
    <row r="36" spans="1:86" s="138" customFormat="1" ht="15" customHeight="1">
      <c r="A36" s="48"/>
      <c r="B36" s="29"/>
      <c r="C36" s="168"/>
      <c r="D36" s="48"/>
      <c r="E36" s="29"/>
      <c r="F36" s="48"/>
      <c r="G36" s="48"/>
      <c r="H36" s="48"/>
      <c r="I36" s="48"/>
      <c r="J36" s="170"/>
      <c r="K36" s="170"/>
      <c r="L36" s="170"/>
      <c r="M36" s="170"/>
      <c r="N36" s="170"/>
      <c r="O36" s="170"/>
      <c r="P36" s="48"/>
      <c r="Q36" s="48"/>
      <c r="R36" s="170"/>
      <c r="S36" s="170"/>
      <c r="T36" s="170"/>
      <c r="U36" s="170"/>
      <c r="V36" s="170"/>
      <c r="W36" s="170"/>
      <c r="X36" s="173"/>
      <c r="Y36" s="167"/>
      <c r="Z36" s="48"/>
      <c r="AA36" s="48"/>
      <c r="AB36" s="174"/>
      <c r="AC36" s="174"/>
      <c r="AD36" s="174"/>
      <c r="AE36" s="174"/>
      <c r="AF36" s="174"/>
      <c r="AG36" s="174"/>
      <c r="AH36" s="174"/>
      <c r="AI36" s="174"/>
      <c r="AJ36" s="174"/>
      <c r="AK36" s="174"/>
      <c r="AL36" s="174"/>
      <c r="AM36" s="174"/>
      <c r="AN36" s="174"/>
      <c r="AO36" s="174"/>
      <c r="AP36" s="174"/>
      <c r="AQ36" s="174"/>
      <c r="AR36" s="174"/>
      <c r="AS36" s="174"/>
      <c r="AT36" s="174"/>
      <c r="AU36" s="174"/>
      <c r="AV36" s="174"/>
      <c r="AW36" s="174"/>
      <c r="AX36" s="174"/>
      <c r="AY36" s="174"/>
      <c r="AZ36" s="174"/>
      <c r="BA36" s="174"/>
      <c r="BB36" s="174"/>
      <c r="BC36" s="174"/>
      <c r="BD36" s="174"/>
      <c r="BE36" s="174"/>
      <c r="BF36" s="174"/>
      <c r="BG36" s="174"/>
      <c r="BH36" s="175"/>
      <c r="BI36" s="166"/>
      <c r="BJ36" s="167"/>
      <c r="BK36" s="168"/>
      <c r="BL36" s="56"/>
      <c r="BM36" s="168"/>
      <c r="BN36" s="169"/>
      <c r="BO36" s="168"/>
      <c r="BP36" s="168"/>
      <c r="BQ36" s="168"/>
      <c r="BR36" s="207"/>
      <c r="BS36" s="168"/>
      <c r="BT36" s="168"/>
      <c r="BU36" s="167"/>
      <c r="BV36" s="170"/>
      <c r="BW36" s="48"/>
      <c r="BX36" s="168"/>
      <c r="BY36" s="168"/>
      <c r="BZ36" s="48"/>
      <c r="CA36" s="48"/>
      <c r="CB36" s="48"/>
      <c r="CC36" s="167"/>
      <c r="CD36" s="137"/>
      <c r="CE36" s="171"/>
      <c r="CF36" s="172"/>
      <c r="CG36" s="165"/>
    </row>
    <row r="37" spans="1:86" s="138" customFormat="1" ht="15" customHeight="1">
      <c r="A37" s="48"/>
      <c r="B37" s="29"/>
      <c r="C37" s="168"/>
      <c r="D37" s="48"/>
      <c r="E37" s="29"/>
      <c r="F37" s="48"/>
      <c r="G37" s="48"/>
      <c r="H37" s="48"/>
      <c r="I37" s="48"/>
      <c r="J37" s="170"/>
      <c r="K37" s="170"/>
      <c r="L37" s="170"/>
      <c r="M37" s="170"/>
      <c r="N37" s="170"/>
      <c r="O37" s="170"/>
      <c r="P37" s="48"/>
      <c r="Q37" s="48"/>
      <c r="R37" s="170"/>
      <c r="S37" s="170"/>
      <c r="T37" s="170"/>
      <c r="U37" s="170"/>
      <c r="V37" s="170"/>
      <c r="W37" s="170"/>
      <c r="X37" s="173"/>
      <c r="Y37" s="167"/>
      <c r="Z37" s="48"/>
      <c r="AA37" s="48"/>
      <c r="AB37" s="174"/>
      <c r="AC37" s="174"/>
      <c r="AD37" s="174"/>
      <c r="AE37" s="174"/>
      <c r="AF37" s="174"/>
      <c r="AG37" s="174"/>
      <c r="AH37" s="174"/>
      <c r="AI37" s="174"/>
      <c r="AJ37" s="174"/>
      <c r="AK37" s="174"/>
      <c r="AL37" s="174"/>
      <c r="AM37" s="174"/>
      <c r="AN37" s="174"/>
      <c r="AO37" s="174"/>
      <c r="AP37" s="174"/>
      <c r="AQ37" s="174"/>
      <c r="AR37" s="174"/>
      <c r="AS37" s="174"/>
      <c r="AT37" s="174"/>
      <c r="AU37" s="174"/>
      <c r="AV37" s="174"/>
      <c r="AW37" s="174"/>
      <c r="AX37" s="174"/>
      <c r="AY37" s="174"/>
      <c r="AZ37" s="174"/>
      <c r="BA37" s="174"/>
      <c r="BB37" s="174"/>
      <c r="BC37" s="174"/>
      <c r="BD37" s="174"/>
      <c r="BE37" s="174"/>
      <c r="BF37" s="174"/>
      <c r="BG37" s="174"/>
      <c r="BH37" s="175"/>
      <c r="BI37" s="166"/>
      <c r="BJ37" s="167"/>
      <c r="BK37" s="168"/>
      <c r="BL37" s="56"/>
      <c r="BM37" s="168"/>
      <c r="BN37" s="169"/>
      <c r="BO37" s="168"/>
      <c r="BP37" s="168"/>
      <c r="BQ37" s="168"/>
      <c r="BR37" s="207"/>
      <c r="BS37" s="168"/>
      <c r="BT37" s="168"/>
      <c r="BU37" s="167"/>
      <c r="BV37" s="170"/>
      <c r="BW37" s="48"/>
      <c r="BX37" s="168"/>
      <c r="BY37" s="168"/>
      <c r="BZ37" s="48"/>
      <c r="CA37" s="48"/>
      <c r="CB37" s="48"/>
      <c r="CC37" s="167"/>
      <c r="CD37" s="137"/>
      <c r="CE37" s="171"/>
      <c r="CF37" s="172"/>
      <c r="CG37" s="165"/>
    </row>
    <row r="38" spans="1:86" s="138" customFormat="1" ht="15" customHeight="1">
      <c r="A38" s="48"/>
      <c r="B38" s="29"/>
      <c r="C38" s="168"/>
      <c r="D38" s="48"/>
      <c r="E38" s="29"/>
      <c r="F38" s="48"/>
      <c r="G38" s="48"/>
      <c r="H38" s="48"/>
      <c r="I38" s="48"/>
      <c r="J38" s="170"/>
      <c r="K38" s="170"/>
      <c r="L38" s="170"/>
      <c r="M38" s="170"/>
      <c r="N38" s="170"/>
      <c r="O38" s="170"/>
      <c r="P38" s="48"/>
      <c r="Q38" s="48"/>
      <c r="R38" s="170"/>
      <c r="S38" s="170"/>
      <c r="T38" s="170"/>
      <c r="U38" s="170"/>
      <c r="V38" s="170"/>
      <c r="W38" s="170"/>
      <c r="X38" s="173"/>
      <c r="Y38" s="167"/>
      <c r="Z38" s="48"/>
      <c r="AA38" s="48"/>
      <c r="AB38" s="174"/>
      <c r="AC38" s="174"/>
      <c r="AD38" s="174"/>
      <c r="AE38" s="174"/>
      <c r="AF38" s="174"/>
      <c r="AG38" s="174"/>
      <c r="AH38" s="174"/>
      <c r="AI38" s="174"/>
      <c r="AJ38" s="174"/>
      <c r="AK38" s="174"/>
      <c r="AL38" s="174"/>
      <c r="AM38" s="174"/>
      <c r="AN38" s="174"/>
      <c r="AO38" s="174"/>
      <c r="AP38" s="174"/>
      <c r="AQ38" s="174"/>
      <c r="AR38" s="174"/>
      <c r="AS38" s="174"/>
      <c r="AT38" s="174"/>
      <c r="AU38" s="174"/>
      <c r="AV38" s="174"/>
      <c r="AW38" s="174"/>
      <c r="AX38" s="174"/>
      <c r="AY38" s="174"/>
      <c r="AZ38" s="174"/>
      <c r="BA38" s="174"/>
      <c r="BB38" s="174"/>
      <c r="BC38" s="174"/>
      <c r="BD38" s="174"/>
      <c r="BE38" s="174"/>
      <c r="BF38" s="174"/>
      <c r="BG38" s="174"/>
      <c r="BH38" s="175"/>
      <c r="BI38" s="166"/>
      <c r="BJ38" s="167"/>
      <c r="BK38" s="168"/>
      <c r="BL38" s="56"/>
      <c r="BM38" s="168"/>
      <c r="BN38" s="169"/>
      <c r="BO38" s="168"/>
      <c r="BP38" s="168"/>
      <c r="BQ38" s="168"/>
      <c r="BR38" s="207"/>
      <c r="BS38" s="168"/>
      <c r="BT38" s="168"/>
      <c r="BU38" s="167"/>
      <c r="BV38" s="170"/>
      <c r="BW38" s="48"/>
      <c r="BX38" s="168"/>
      <c r="BY38" s="168"/>
      <c r="BZ38" s="48"/>
      <c r="CA38" s="48"/>
      <c r="CB38" s="48"/>
      <c r="CC38" s="167"/>
      <c r="CD38" s="137"/>
      <c r="CE38" s="171"/>
      <c r="CF38" s="172"/>
      <c r="CG38" s="165"/>
    </row>
    <row r="39" spans="1:86" s="138" customFormat="1" ht="15" customHeight="1">
      <c r="A39" s="48"/>
      <c r="B39" s="29"/>
      <c r="C39" s="168"/>
      <c r="D39" s="48"/>
      <c r="E39" s="29"/>
      <c r="F39" s="48"/>
      <c r="G39" s="48"/>
      <c r="H39" s="48"/>
      <c r="I39" s="48"/>
      <c r="J39" s="170"/>
      <c r="K39" s="170"/>
      <c r="L39" s="170"/>
      <c r="M39" s="170"/>
      <c r="N39" s="170"/>
      <c r="O39" s="170"/>
      <c r="P39" s="48"/>
      <c r="Q39" s="48"/>
      <c r="R39" s="170"/>
      <c r="S39" s="170"/>
      <c r="T39" s="170"/>
      <c r="U39" s="170"/>
      <c r="V39" s="170"/>
      <c r="W39" s="170"/>
      <c r="X39" s="173"/>
      <c r="Y39" s="167"/>
      <c r="Z39" s="48"/>
      <c r="AA39" s="48"/>
      <c r="AB39" s="174"/>
      <c r="AC39" s="174"/>
      <c r="AD39" s="174"/>
      <c r="AE39" s="174"/>
      <c r="AF39" s="174"/>
      <c r="AG39" s="174"/>
      <c r="AH39" s="174"/>
      <c r="AI39" s="174"/>
      <c r="AJ39" s="174"/>
      <c r="AK39" s="174"/>
      <c r="AL39" s="174"/>
      <c r="AM39" s="174"/>
      <c r="AN39" s="174"/>
      <c r="AO39" s="174"/>
      <c r="AP39" s="174"/>
      <c r="AQ39" s="174"/>
      <c r="AR39" s="174"/>
      <c r="AS39" s="174"/>
      <c r="AT39" s="174"/>
      <c r="AU39" s="174"/>
      <c r="AV39" s="174"/>
      <c r="AW39" s="174"/>
      <c r="AX39" s="174"/>
      <c r="AY39" s="174"/>
      <c r="AZ39" s="174"/>
      <c r="BA39" s="174"/>
      <c r="BB39" s="174"/>
      <c r="BC39" s="174"/>
      <c r="BD39" s="174"/>
      <c r="BE39" s="174"/>
      <c r="BF39" s="174"/>
      <c r="BG39" s="174"/>
      <c r="BH39" s="175"/>
      <c r="BI39" s="166"/>
      <c r="BJ39" s="167"/>
      <c r="BK39" s="168"/>
      <c r="BL39" s="56"/>
      <c r="BM39" s="168"/>
      <c r="BN39" s="169"/>
      <c r="BO39" s="168"/>
      <c r="BP39" s="168"/>
      <c r="BQ39" s="168"/>
      <c r="BR39" s="207"/>
      <c r="BS39" s="168"/>
      <c r="BT39" s="168"/>
      <c r="BU39" s="167"/>
      <c r="BV39" s="170"/>
      <c r="BW39" s="48"/>
      <c r="BX39" s="168"/>
      <c r="BY39" s="168"/>
      <c r="BZ39" s="48"/>
      <c r="CA39" s="48"/>
      <c r="CB39" s="48"/>
      <c r="CC39" s="167"/>
      <c r="CD39" s="137"/>
      <c r="CE39" s="171"/>
      <c r="CF39" s="172"/>
      <c r="CG39" s="165"/>
    </row>
    <row r="40" spans="1:86" s="138" customFormat="1" ht="15" customHeight="1">
      <c r="A40" s="48"/>
      <c r="B40" s="29"/>
      <c r="C40" s="168"/>
      <c r="D40" s="48"/>
      <c r="E40" s="29"/>
      <c r="F40" s="48"/>
      <c r="G40" s="48"/>
      <c r="H40" s="48"/>
      <c r="I40" s="48"/>
      <c r="J40" s="170"/>
      <c r="K40" s="170"/>
      <c r="L40" s="170"/>
      <c r="M40" s="170"/>
      <c r="N40" s="170"/>
      <c r="O40" s="170"/>
      <c r="P40" s="48"/>
      <c r="Q40" s="48"/>
      <c r="R40" s="170"/>
      <c r="S40" s="170"/>
      <c r="T40" s="170"/>
      <c r="U40" s="170"/>
      <c r="V40" s="170"/>
      <c r="W40" s="170"/>
      <c r="X40" s="173"/>
      <c r="Y40" s="167"/>
      <c r="Z40" s="48"/>
      <c r="AA40" s="48"/>
      <c r="AB40" s="174"/>
      <c r="AC40" s="174"/>
      <c r="AD40" s="174"/>
      <c r="AE40" s="174"/>
      <c r="AF40" s="174"/>
      <c r="AG40" s="174"/>
      <c r="AH40" s="174"/>
      <c r="AI40" s="174"/>
      <c r="AJ40" s="174"/>
      <c r="AK40" s="174"/>
      <c r="AL40" s="174"/>
      <c r="AM40" s="174"/>
      <c r="AN40" s="174"/>
      <c r="AO40" s="174"/>
      <c r="AP40" s="174"/>
      <c r="AQ40" s="174"/>
      <c r="AR40" s="174"/>
      <c r="AS40" s="174"/>
      <c r="AT40" s="174"/>
      <c r="AU40" s="174"/>
      <c r="AV40" s="174"/>
      <c r="AW40" s="174"/>
      <c r="AX40" s="174"/>
      <c r="AY40" s="174"/>
      <c r="AZ40" s="174"/>
      <c r="BA40" s="174"/>
      <c r="BB40" s="174"/>
      <c r="BC40" s="174"/>
      <c r="BD40" s="174"/>
      <c r="BE40" s="174"/>
      <c r="BF40" s="174"/>
      <c r="BG40" s="174"/>
      <c r="BH40" s="175"/>
      <c r="BI40" s="166"/>
      <c r="BJ40" s="167"/>
      <c r="BK40" s="168"/>
      <c r="BL40" s="56"/>
      <c r="BM40" s="168"/>
      <c r="BN40" s="169"/>
      <c r="BO40" s="168"/>
      <c r="BP40" s="168"/>
      <c r="BQ40" s="168"/>
      <c r="BR40" s="207"/>
      <c r="BS40" s="168"/>
      <c r="BT40" s="168"/>
      <c r="BU40" s="167"/>
      <c r="BV40" s="170"/>
      <c r="BW40" s="48"/>
      <c r="BX40" s="168"/>
      <c r="BY40" s="168"/>
      <c r="BZ40" s="48"/>
      <c r="CA40" s="48"/>
      <c r="CB40" s="48"/>
      <c r="CC40" s="167"/>
      <c r="CD40" s="137"/>
      <c r="CE40" s="171"/>
      <c r="CF40" s="172"/>
      <c r="CG40" s="165"/>
    </row>
    <row r="41" spans="1:86" s="138" customFormat="1" ht="15.6">
      <c r="C41" s="185"/>
      <c r="X41" s="186"/>
      <c r="BL41" s="187"/>
    </row>
    <row r="42" spans="1:86" s="138" customFormat="1" ht="15.6">
      <c r="C42" s="185"/>
      <c r="X42" s="186"/>
      <c r="BL42" s="187"/>
    </row>
    <row r="43" spans="1:86" s="138" customFormat="1" ht="15.6">
      <c r="C43" s="185"/>
      <c r="X43" s="186"/>
      <c r="BL43" s="187"/>
    </row>
    <row r="44" spans="1:86" s="138" customFormat="1" ht="15.6">
      <c r="C44" s="185"/>
      <c r="X44" s="186"/>
      <c r="BL44" s="187"/>
    </row>
  </sheetData>
  <autoFilter ref="A26:CH26" xr:uid="{0B3BE0A8-94D9-4943-B51D-CC52050FCF99}"/>
  <printOptions horizontalCentered="1"/>
  <pageMargins left="0.5" right="0.5" top="0.5" bottom="0.5" header="0.3" footer="0.3"/>
  <pageSetup scale="25" fitToHeight="0" orientation="landscape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C6902-2D0A-4DF4-856C-020BF69E42AB}">
  <sheetPr>
    <tabColor theme="2" tint="-0.249977111117893"/>
    <pageSetUpPr fitToPage="1"/>
  </sheetPr>
  <dimension ref="A1:CH39"/>
  <sheetViews>
    <sheetView zoomScale="80" zoomScaleNormal="80" workbookViewId="0">
      <selection activeCell="A27" sqref="A27:XFD33"/>
    </sheetView>
  </sheetViews>
  <sheetFormatPr defaultColWidth="8.85546875" defaultRowHeight="14.45"/>
  <cols>
    <col min="1" max="1" width="29.140625" style="136" customWidth="1"/>
    <col min="2" max="2" width="7.28515625" style="136" hidden="1" customWidth="1"/>
    <col min="3" max="3" width="16.42578125" style="188" bestFit="1" customWidth="1"/>
    <col min="4" max="4" width="6.7109375" style="136" bestFit="1" customWidth="1"/>
    <col min="5" max="5" width="9.28515625" style="136" customWidth="1"/>
    <col min="6" max="6" width="11.28515625" style="136" bestFit="1" customWidth="1"/>
    <col min="7" max="7" width="12.7109375" style="136" bestFit="1" customWidth="1"/>
    <col min="8" max="15" width="0.85546875" style="136" hidden="1" customWidth="1"/>
    <col min="16" max="16" width="3.42578125" style="136" hidden="1" customWidth="1"/>
    <col min="17" max="17" width="22.140625" style="136" customWidth="1"/>
    <col min="18" max="21" width="2.85546875" style="136" hidden="1" customWidth="1"/>
    <col min="22" max="22" width="19.85546875" style="136" hidden="1" customWidth="1"/>
    <col min="23" max="23" width="1.42578125" style="136" hidden="1" customWidth="1"/>
    <col min="24" max="24" width="22.140625" style="189" customWidth="1"/>
    <col min="25" max="25" width="5.140625" style="136" hidden="1" customWidth="1"/>
    <col min="26" max="26" width="19" style="136" hidden="1" customWidth="1"/>
    <col min="27" max="27" width="14.140625" style="136" hidden="1" customWidth="1"/>
    <col min="28" max="28" width="7.42578125" style="136" hidden="1" customWidth="1"/>
    <col min="29" max="29" width="1.7109375" style="136" hidden="1" customWidth="1"/>
    <col min="30" max="30" width="7.42578125" style="136" hidden="1" customWidth="1"/>
    <col min="31" max="34" width="1" style="136" hidden="1" customWidth="1"/>
    <col min="35" max="35" width="9.42578125" style="136" customWidth="1"/>
    <col min="36" max="36" width="10.28515625" style="136" hidden="1" customWidth="1"/>
    <col min="37" max="37" width="18.140625" style="136" hidden="1" customWidth="1"/>
    <col min="38" max="38" width="10.42578125" style="136" hidden="1" customWidth="1"/>
    <col min="39" max="40" width="1.42578125" style="136" hidden="1" customWidth="1"/>
    <col min="41" max="58" width="2.7109375" style="136" hidden="1" customWidth="1"/>
    <col min="59" max="59" width="10.140625" style="136" hidden="1" customWidth="1"/>
    <col min="60" max="60" width="11" style="136" bestFit="1" customWidth="1"/>
    <col min="61" max="61" width="9.42578125" style="136" bestFit="1" customWidth="1"/>
    <col min="62" max="62" width="12.42578125" style="136" bestFit="1" customWidth="1"/>
    <col min="63" max="63" width="17.140625" style="136" bestFit="1" customWidth="1"/>
    <col min="64" max="64" width="32.28515625" style="190" bestFit="1" customWidth="1"/>
    <col min="65" max="65" width="18" style="136" bestFit="1" customWidth="1"/>
    <col min="66" max="66" width="8.85546875" style="136"/>
    <col min="67" max="67" width="0.5703125" style="136" customWidth="1"/>
    <col min="68" max="68" width="10.7109375" style="136" bestFit="1" customWidth="1"/>
    <col min="69" max="69" width="1" style="136" customWidth="1"/>
    <col min="70" max="70" width="19.5703125" style="136" bestFit="1" customWidth="1"/>
    <col min="71" max="74" width="0.7109375" style="136" customWidth="1"/>
    <col min="75" max="80" width="0.5703125" style="136" customWidth="1"/>
    <col min="81" max="81" width="13.7109375" style="136" bestFit="1" customWidth="1"/>
    <col min="82" max="82" width="14.7109375" style="136" bestFit="1" customWidth="1"/>
    <col min="83" max="83" width="8.85546875" style="136"/>
    <col min="84" max="84" width="17.140625" style="136" bestFit="1" customWidth="1"/>
    <col min="85" max="16384" width="8.85546875" style="136"/>
  </cols>
  <sheetData>
    <row r="1" spans="1:85" ht="25.9">
      <c r="A1" s="132" t="s">
        <v>25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3"/>
      <c r="R1" s="132"/>
      <c r="S1" s="132"/>
      <c r="T1" s="132"/>
      <c r="U1" s="132"/>
      <c r="V1" s="132"/>
      <c r="W1" s="132"/>
      <c r="X1" s="134"/>
      <c r="Y1" s="6"/>
      <c r="Z1" s="6"/>
      <c r="AA1" s="2"/>
      <c r="AB1" s="26"/>
      <c r="AC1" s="26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7"/>
      <c r="BI1" s="3"/>
      <c r="BJ1" s="8"/>
      <c r="BK1" s="3"/>
      <c r="BL1" s="40"/>
      <c r="BM1" s="28"/>
      <c r="BN1" s="5"/>
      <c r="BO1" s="3"/>
      <c r="BP1" s="3"/>
      <c r="BQ1" s="3"/>
      <c r="BR1" s="200"/>
      <c r="BS1" s="3"/>
      <c r="BT1" s="5"/>
      <c r="BU1" s="8"/>
      <c r="BV1" s="5"/>
      <c r="BW1" s="5"/>
      <c r="BX1" s="3"/>
      <c r="BY1" s="5"/>
      <c r="BZ1" s="5"/>
      <c r="CA1" s="5"/>
      <c r="CB1" s="5"/>
      <c r="CC1" s="5"/>
      <c r="CD1" s="135"/>
      <c r="CE1" s="5"/>
      <c r="CF1" s="5"/>
      <c r="CG1" s="5"/>
    </row>
    <row r="2" spans="1:85" s="138" customFormat="1" ht="15" customHeight="1">
      <c r="A2" s="43" t="s">
        <v>26</v>
      </c>
      <c r="B2" s="44"/>
      <c r="C2" s="46" t="s">
        <v>119</v>
      </c>
      <c r="D2" s="44"/>
      <c r="E2" s="44"/>
      <c r="F2" s="44"/>
      <c r="G2" s="29"/>
      <c r="H2" s="29"/>
      <c r="I2" s="29"/>
      <c r="J2" s="29"/>
      <c r="K2" s="29"/>
      <c r="L2" s="29"/>
      <c r="M2" s="29"/>
      <c r="N2" s="29"/>
      <c r="O2" s="29"/>
      <c r="P2" s="29"/>
      <c r="Q2" s="137"/>
      <c r="R2" s="30"/>
      <c r="S2" s="30"/>
      <c r="T2" s="30"/>
      <c r="U2" s="30"/>
      <c r="V2" s="30"/>
      <c r="W2" s="30"/>
      <c r="X2" s="39"/>
      <c r="Y2" s="30"/>
      <c r="Z2" s="30"/>
      <c r="AA2" s="31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3"/>
      <c r="BI2" s="34"/>
      <c r="BJ2" s="35"/>
      <c r="BK2" s="34"/>
      <c r="BL2" s="41"/>
      <c r="BM2" s="36"/>
      <c r="BN2" s="37"/>
      <c r="BO2" s="34"/>
      <c r="BP2" s="34"/>
      <c r="BQ2" s="34"/>
      <c r="BR2" s="205"/>
      <c r="BS2" s="34"/>
      <c r="BT2" s="37"/>
      <c r="BU2" s="35"/>
      <c r="BV2" s="37"/>
      <c r="BW2" s="37"/>
      <c r="BX2" s="34"/>
      <c r="BY2" s="37"/>
      <c r="BZ2" s="37"/>
      <c r="CA2" s="37"/>
      <c r="CB2" s="37"/>
      <c r="CC2" s="37"/>
      <c r="CD2" s="137"/>
      <c r="CE2" s="37"/>
      <c r="CF2" s="37"/>
      <c r="CG2" s="37"/>
    </row>
    <row r="3" spans="1:85" s="138" customFormat="1" ht="15" customHeight="1">
      <c r="A3" s="47" t="s">
        <v>27</v>
      </c>
      <c r="B3" s="29"/>
      <c r="C3" s="46" t="s">
        <v>387</v>
      </c>
      <c r="D3" s="48"/>
      <c r="E3" s="48"/>
      <c r="F3" s="48"/>
      <c r="G3" s="29"/>
      <c r="H3" s="29"/>
      <c r="I3" s="29"/>
      <c r="J3" s="29"/>
      <c r="K3" s="29"/>
      <c r="L3" s="29"/>
      <c r="M3" s="29"/>
      <c r="N3" s="29"/>
      <c r="O3" s="29"/>
      <c r="P3" s="29"/>
      <c r="Q3" s="137"/>
      <c r="R3" s="30"/>
      <c r="S3" s="30"/>
      <c r="T3" s="30"/>
      <c r="U3" s="30"/>
      <c r="V3" s="30"/>
      <c r="W3" s="30"/>
      <c r="X3" s="39"/>
      <c r="Y3" s="30"/>
      <c r="Z3" s="30"/>
      <c r="AA3" s="31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3"/>
      <c r="BI3" s="34"/>
      <c r="BJ3" s="35"/>
      <c r="BK3" s="34"/>
      <c r="BL3" s="41"/>
      <c r="BM3" s="36"/>
      <c r="BN3" s="37"/>
      <c r="BO3" s="34"/>
      <c r="BP3" s="34"/>
      <c r="BQ3" s="34"/>
      <c r="BR3" s="205"/>
      <c r="BS3" s="34"/>
      <c r="BT3" s="37"/>
      <c r="BU3" s="35"/>
      <c r="BV3" s="37"/>
      <c r="BW3" s="37"/>
      <c r="BX3" s="34"/>
      <c r="BY3" s="37"/>
      <c r="BZ3" s="37"/>
      <c r="CA3" s="37"/>
      <c r="CB3" s="37"/>
      <c r="CC3" s="37"/>
      <c r="CD3" s="137"/>
      <c r="CE3" s="37"/>
      <c r="CF3" s="37"/>
      <c r="CG3" s="37"/>
    </row>
    <row r="4" spans="1:85" s="138" customFormat="1" ht="15" customHeight="1">
      <c r="A4" s="43" t="s">
        <v>29</v>
      </c>
      <c r="B4" s="45"/>
      <c r="C4" s="46"/>
      <c r="D4" s="29"/>
      <c r="E4" s="29"/>
      <c r="F4" s="29"/>
      <c r="G4" s="29"/>
      <c r="H4" s="29"/>
      <c r="I4" s="29"/>
      <c r="J4" s="44"/>
      <c r="K4" s="44"/>
      <c r="L4" s="44"/>
      <c r="M4" s="44"/>
      <c r="N4" s="44"/>
      <c r="O4" s="44"/>
      <c r="P4" s="44"/>
      <c r="Q4" s="137"/>
      <c r="R4" s="49"/>
      <c r="S4" s="49"/>
      <c r="T4" s="49"/>
      <c r="U4" s="49"/>
      <c r="V4" s="49"/>
      <c r="W4" s="49"/>
      <c r="X4" s="39"/>
      <c r="Y4" s="49"/>
      <c r="Z4" s="49"/>
      <c r="AA4" s="31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50"/>
      <c r="BI4" s="34"/>
      <c r="BJ4" s="35"/>
      <c r="BK4" s="34"/>
      <c r="BL4" s="41"/>
      <c r="BM4" s="36"/>
      <c r="BN4" s="37"/>
      <c r="BO4" s="34"/>
      <c r="BP4" s="34"/>
      <c r="BQ4" s="34"/>
      <c r="BR4" s="205"/>
      <c r="BS4" s="34"/>
      <c r="BT4" s="37"/>
      <c r="BU4" s="35"/>
      <c r="BV4" s="37"/>
      <c r="BW4" s="37"/>
      <c r="BX4" s="34"/>
      <c r="BY4" s="37"/>
      <c r="BZ4" s="37"/>
      <c r="CA4" s="37"/>
      <c r="CB4" s="37"/>
      <c r="CC4" s="37"/>
      <c r="CD4" s="137"/>
      <c r="CE4" s="37"/>
      <c r="CF4" s="37"/>
      <c r="CG4" s="37"/>
    </row>
    <row r="5" spans="1:85" s="138" customFormat="1" ht="15" customHeight="1">
      <c r="A5" s="43" t="s">
        <v>30</v>
      </c>
      <c r="B5" s="45"/>
      <c r="C5" s="139">
        <v>1</v>
      </c>
      <c r="D5" s="29"/>
      <c r="E5" s="29"/>
      <c r="F5" s="29"/>
      <c r="G5" s="29"/>
      <c r="H5" s="29"/>
      <c r="I5" s="29"/>
      <c r="J5" s="44"/>
      <c r="K5" s="44"/>
      <c r="L5" s="44"/>
      <c r="M5" s="44"/>
      <c r="N5" s="44"/>
      <c r="O5" s="44"/>
      <c r="P5" s="44"/>
      <c r="Q5" s="137"/>
      <c r="R5" s="49"/>
      <c r="S5" s="49"/>
      <c r="T5" s="49"/>
      <c r="U5" s="49"/>
      <c r="V5" s="49"/>
      <c r="W5" s="49"/>
      <c r="X5" s="39"/>
      <c r="Y5" s="49"/>
      <c r="Z5" s="49"/>
      <c r="AA5" s="31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50"/>
      <c r="BI5" s="34"/>
      <c r="BJ5" s="35"/>
      <c r="BK5" s="34"/>
      <c r="BL5" s="41"/>
      <c r="BM5" s="36"/>
      <c r="BN5" s="37"/>
      <c r="BO5" s="34"/>
      <c r="BP5" s="34"/>
      <c r="BQ5" s="34"/>
      <c r="BR5" s="205"/>
      <c r="BS5" s="34"/>
      <c r="BT5" s="37"/>
      <c r="BU5" s="35"/>
      <c r="BV5" s="37"/>
      <c r="BW5" s="37"/>
      <c r="BX5" s="34"/>
      <c r="BY5" s="37"/>
      <c r="BZ5" s="37"/>
      <c r="CA5" s="37"/>
      <c r="CB5" s="37"/>
      <c r="CC5" s="37"/>
      <c r="CD5" s="137"/>
      <c r="CE5" s="37"/>
      <c r="CF5" s="37"/>
      <c r="CG5" s="37"/>
    </row>
    <row r="6" spans="1:85" s="138" customFormat="1" ht="15" customHeight="1">
      <c r="A6" s="43"/>
      <c r="B6" s="45"/>
      <c r="C6" s="139"/>
      <c r="D6" s="29"/>
      <c r="E6" s="29"/>
      <c r="F6" s="29"/>
      <c r="G6" s="29"/>
      <c r="H6" s="29"/>
      <c r="I6" s="29"/>
      <c r="J6" s="44"/>
      <c r="K6" s="44"/>
      <c r="L6" s="44"/>
      <c r="M6" s="44"/>
      <c r="N6" s="44"/>
      <c r="O6" s="44"/>
      <c r="P6" s="44"/>
      <c r="Q6" s="137"/>
      <c r="R6" s="49"/>
      <c r="S6" s="49"/>
      <c r="T6" s="49"/>
      <c r="U6" s="49"/>
      <c r="V6" s="49"/>
      <c r="W6" s="49"/>
      <c r="X6" s="39"/>
      <c r="Y6" s="49"/>
      <c r="Z6" s="49"/>
      <c r="AA6" s="31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50"/>
      <c r="BI6" s="34"/>
      <c r="BJ6" s="35"/>
      <c r="BK6" s="34"/>
      <c r="BL6" s="41"/>
      <c r="BM6" s="36"/>
      <c r="BN6" s="37"/>
      <c r="BO6" s="34"/>
      <c r="BP6" s="34"/>
      <c r="BQ6" s="34"/>
      <c r="BR6" s="205"/>
      <c r="BS6" s="34"/>
      <c r="BT6" s="37"/>
      <c r="BU6" s="35"/>
      <c r="BV6" s="37"/>
      <c r="BW6" s="37"/>
      <c r="BX6" s="34"/>
      <c r="BY6" s="37"/>
      <c r="BZ6" s="37"/>
      <c r="CA6" s="37"/>
      <c r="CB6" s="37"/>
      <c r="CC6" s="37"/>
      <c r="CD6" s="137"/>
      <c r="CE6" s="37"/>
      <c r="CF6" s="37"/>
      <c r="CG6" s="37"/>
    </row>
    <row r="7" spans="1:85" s="138" customFormat="1" ht="15" customHeight="1" thickBot="1">
      <c r="A7" s="43"/>
      <c r="B7" s="45"/>
      <c r="C7" s="139"/>
      <c r="D7" s="29"/>
      <c r="E7" s="29"/>
      <c r="F7" s="29"/>
      <c r="G7" s="29"/>
      <c r="H7" s="29"/>
      <c r="I7" s="29"/>
      <c r="J7" s="44"/>
      <c r="K7" s="44"/>
      <c r="L7" s="44"/>
      <c r="M7" s="44"/>
      <c r="N7" s="44"/>
      <c r="O7" s="44"/>
      <c r="P7" s="44"/>
      <c r="Q7" s="137"/>
      <c r="R7" s="49"/>
      <c r="S7" s="49"/>
      <c r="T7" s="49"/>
      <c r="U7" s="49"/>
      <c r="V7" s="49"/>
      <c r="W7" s="49"/>
      <c r="X7" s="39"/>
      <c r="Y7" s="49"/>
      <c r="Z7" s="49"/>
      <c r="AA7" s="31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50"/>
      <c r="BI7" s="34"/>
      <c r="BJ7" s="35"/>
      <c r="BK7" s="34"/>
      <c r="BL7" s="41"/>
      <c r="BM7" s="36"/>
      <c r="BN7" s="37"/>
      <c r="BO7" s="34"/>
      <c r="BP7" s="34"/>
      <c r="BQ7" s="34"/>
      <c r="BR7" s="205"/>
      <c r="BS7" s="34"/>
      <c r="BT7" s="37"/>
      <c r="BU7" s="35"/>
      <c r="BV7" s="37"/>
      <c r="BW7" s="37"/>
      <c r="BX7" s="34"/>
      <c r="BY7" s="37"/>
      <c r="BZ7" s="37"/>
      <c r="CA7" s="37"/>
      <c r="CB7" s="37"/>
      <c r="CC7" s="37"/>
      <c r="CD7" s="137"/>
      <c r="CE7" s="37"/>
      <c r="CF7" s="37"/>
      <c r="CG7" s="37"/>
    </row>
    <row r="8" spans="1:85" s="138" customFormat="1" ht="15" customHeight="1" thickBot="1">
      <c r="A8" s="140" t="s">
        <v>31</v>
      </c>
      <c r="B8" s="141"/>
      <c r="C8" s="142">
        <v>0.66</v>
      </c>
      <c r="D8" s="29"/>
      <c r="E8" s="29"/>
      <c r="F8" s="29"/>
      <c r="G8" s="29"/>
      <c r="H8" s="29"/>
      <c r="I8" s="29"/>
      <c r="J8" s="44"/>
      <c r="K8" s="44"/>
      <c r="L8" s="44"/>
      <c r="M8" s="44"/>
      <c r="N8" s="44"/>
      <c r="O8" s="44"/>
      <c r="P8" s="44"/>
      <c r="Q8" s="137"/>
      <c r="R8" s="49"/>
      <c r="S8" s="49"/>
      <c r="T8" s="49"/>
      <c r="U8" s="49"/>
      <c r="V8" s="49"/>
      <c r="W8" s="49"/>
      <c r="X8" s="39"/>
      <c r="Y8" s="49"/>
      <c r="Z8" s="49"/>
      <c r="AA8" s="31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50"/>
      <c r="BI8" s="34"/>
      <c r="BJ8" s="35"/>
      <c r="BK8" s="34"/>
      <c r="BL8" s="41"/>
      <c r="BM8" s="36"/>
      <c r="BN8" s="37"/>
      <c r="BO8" s="34"/>
      <c r="BP8" s="34"/>
      <c r="BQ8" s="34"/>
      <c r="BR8" s="205"/>
      <c r="BS8" s="34"/>
      <c r="BT8" s="37"/>
      <c r="BU8" s="35"/>
      <c r="BV8" s="37"/>
      <c r="BW8" s="37"/>
      <c r="BX8" s="34"/>
      <c r="BY8" s="37"/>
      <c r="BZ8" s="37"/>
      <c r="CA8" s="37"/>
      <c r="CB8" s="37"/>
      <c r="CC8" s="37"/>
      <c r="CD8" s="137"/>
      <c r="CE8" s="37"/>
      <c r="CF8" s="37"/>
      <c r="CG8" s="37"/>
    </row>
    <row r="9" spans="1:85" s="138" customFormat="1" ht="15" customHeight="1">
      <c r="A9" s="137"/>
      <c r="B9" s="45"/>
      <c r="C9" s="49"/>
      <c r="D9" s="29"/>
      <c r="E9" s="29"/>
      <c r="F9" s="29"/>
      <c r="G9" s="29"/>
      <c r="H9" s="29"/>
      <c r="I9" s="29"/>
      <c r="J9" s="44"/>
      <c r="K9" s="44"/>
      <c r="L9" s="44"/>
      <c r="M9" s="44"/>
      <c r="N9" s="44"/>
      <c r="O9" s="44"/>
      <c r="P9" s="44"/>
      <c r="Q9" s="137"/>
      <c r="R9" s="143"/>
      <c r="S9" s="143"/>
      <c r="T9" s="143"/>
      <c r="U9" s="143"/>
      <c r="V9" s="143"/>
      <c r="W9" s="143"/>
      <c r="X9" s="144"/>
      <c r="Y9" s="49"/>
      <c r="Z9" s="49"/>
      <c r="AA9" s="31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50"/>
      <c r="BI9" s="34"/>
      <c r="BJ9" s="35"/>
      <c r="BK9" s="34"/>
      <c r="BL9" s="41"/>
      <c r="BM9" s="36"/>
      <c r="BN9" s="37"/>
      <c r="BO9" s="34"/>
      <c r="BP9" s="34"/>
      <c r="BQ9" s="34"/>
      <c r="BR9" s="205"/>
      <c r="BS9" s="34"/>
      <c r="BT9" s="37"/>
      <c r="BU9" s="35"/>
      <c r="BV9" s="37"/>
      <c r="BW9" s="37"/>
      <c r="BX9" s="34"/>
      <c r="BY9" s="37"/>
      <c r="BZ9" s="37"/>
      <c r="CA9" s="37"/>
      <c r="CB9" s="37"/>
      <c r="CC9" s="37"/>
      <c r="CD9" s="137"/>
      <c r="CE9" s="37"/>
      <c r="CF9" s="37"/>
      <c r="CG9" s="37"/>
    </row>
    <row r="10" spans="1:85" s="138" customFormat="1" ht="15" customHeight="1">
      <c r="A10" s="137" t="s">
        <v>388</v>
      </c>
      <c r="B10" s="45"/>
      <c r="C10" s="49">
        <v>0</v>
      </c>
      <c r="D10" s="29"/>
      <c r="E10" s="29"/>
      <c r="F10" s="29"/>
      <c r="G10" s="29"/>
      <c r="H10" s="29"/>
      <c r="I10" s="29"/>
      <c r="J10" s="44"/>
      <c r="K10" s="44"/>
      <c r="L10" s="44"/>
      <c r="M10" s="44"/>
      <c r="N10" s="44"/>
      <c r="O10" s="44"/>
      <c r="P10" s="44"/>
      <c r="Q10" s="137"/>
      <c r="R10" s="143"/>
      <c r="S10" s="143"/>
      <c r="T10" s="143"/>
      <c r="U10" s="143"/>
      <c r="V10" s="143"/>
      <c r="W10" s="143"/>
      <c r="X10" s="144"/>
      <c r="Y10" s="49"/>
      <c r="Z10" s="49"/>
      <c r="AA10" s="31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50"/>
      <c r="BI10" s="34"/>
      <c r="BJ10" s="35"/>
      <c r="BK10" s="34"/>
      <c r="BL10" s="41"/>
      <c r="BM10" s="36"/>
      <c r="BN10" s="37"/>
      <c r="BO10" s="34"/>
      <c r="BP10" s="34"/>
      <c r="BQ10" s="34"/>
      <c r="BR10" s="205"/>
      <c r="BS10" s="34"/>
      <c r="BT10" s="37"/>
      <c r="BU10" s="35"/>
      <c r="BV10" s="37"/>
      <c r="BW10" s="37"/>
      <c r="BX10" s="34"/>
      <c r="BY10" s="37"/>
      <c r="BZ10" s="37"/>
      <c r="CA10" s="37"/>
      <c r="CB10" s="37"/>
      <c r="CC10" s="37"/>
      <c r="CD10" s="137"/>
      <c r="CE10" s="37"/>
      <c r="CF10" s="37"/>
      <c r="CG10" s="37"/>
    </row>
    <row r="11" spans="1:85" s="138" customFormat="1" ht="15" customHeight="1">
      <c r="A11" s="137" t="s">
        <v>32</v>
      </c>
      <c r="B11" s="45"/>
      <c r="C11" s="49">
        <v>0.66</v>
      </c>
      <c r="D11" s="29"/>
      <c r="E11" s="29"/>
      <c r="F11" s="29"/>
      <c r="G11" s="29"/>
      <c r="H11" s="29"/>
      <c r="I11" s="29"/>
      <c r="J11" s="44"/>
      <c r="K11" s="44"/>
      <c r="L11" s="44"/>
      <c r="M11" s="44"/>
      <c r="N11" s="44"/>
      <c r="O11" s="44"/>
      <c r="P11" s="44"/>
      <c r="Q11" s="137"/>
      <c r="R11" s="145"/>
      <c r="S11" s="145"/>
      <c r="T11" s="145"/>
      <c r="U11" s="145"/>
      <c r="V11" s="145"/>
      <c r="W11" s="145"/>
      <c r="X11" s="144"/>
      <c r="Y11" s="49"/>
      <c r="Z11" s="49"/>
      <c r="AA11" s="31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50"/>
      <c r="BI11" s="34"/>
      <c r="BJ11" s="35"/>
      <c r="BK11" s="34"/>
      <c r="BL11" s="41"/>
      <c r="BM11" s="36"/>
      <c r="BN11" s="37"/>
      <c r="BO11" s="34"/>
      <c r="BP11" s="34"/>
      <c r="BQ11" s="34"/>
      <c r="BR11" s="205"/>
      <c r="BS11" s="34"/>
      <c r="BT11" s="37"/>
      <c r="BU11" s="35"/>
      <c r="BV11" s="37"/>
      <c r="BW11" s="37"/>
      <c r="BX11" s="34"/>
      <c r="BY11" s="37"/>
      <c r="BZ11" s="37"/>
      <c r="CA11" s="37"/>
      <c r="CB11" s="37"/>
      <c r="CC11" s="37"/>
      <c r="CD11" s="137"/>
      <c r="CE11" s="37"/>
      <c r="CF11" s="37"/>
      <c r="CG11" s="37"/>
    </row>
    <row r="12" spans="1:85" s="138" customFormat="1" ht="15" customHeight="1">
      <c r="A12" s="137" t="s">
        <v>33</v>
      </c>
      <c r="B12" s="45"/>
      <c r="C12" s="49">
        <v>0</v>
      </c>
      <c r="D12" s="29"/>
      <c r="E12" s="29"/>
      <c r="F12" s="29"/>
      <c r="G12" s="29"/>
      <c r="H12" s="29"/>
      <c r="I12" s="29"/>
      <c r="J12" s="44"/>
      <c r="K12" s="44"/>
      <c r="L12" s="44"/>
      <c r="M12" s="44"/>
      <c r="N12" s="44"/>
      <c r="O12" s="44"/>
      <c r="P12" s="44"/>
      <c r="Q12" s="137"/>
      <c r="R12" s="145"/>
      <c r="S12" s="145"/>
      <c r="T12" s="145"/>
      <c r="U12" s="145"/>
      <c r="V12" s="145"/>
      <c r="W12" s="145"/>
      <c r="X12" s="144"/>
      <c r="Y12" s="49"/>
      <c r="Z12" s="49"/>
      <c r="AA12" s="31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50"/>
      <c r="BI12" s="34"/>
      <c r="BJ12" s="35"/>
      <c r="BK12" s="34"/>
      <c r="BL12" s="41"/>
      <c r="BM12" s="36"/>
      <c r="BN12" s="37"/>
      <c r="BO12" s="34"/>
      <c r="BP12" s="34"/>
      <c r="BQ12" s="34"/>
      <c r="BR12" s="205"/>
      <c r="BS12" s="34"/>
      <c r="BT12" s="37"/>
      <c r="BU12" s="35"/>
      <c r="BV12" s="37"/>
      <c r="BW12" s="37"/>
      <c r="BX12" s="34"/>
      <c r="BY12" s="37"/>
      <c r="BZ12" s="37"/>
      <c r="CA12" s="37"/>
      <c r="CB12" s="37"/>
      <c r="CC12" s="37"/>
      <c r="CD12" s="137"/>
      <c r="CE12" s="37"/>
      <c r="CF12" s="37"/>
      <c r="CG12" s="37"/>
    </row>
    <row r="13" spans="1:85" s="138" customFormat="1" ht="15" customHeight="1">
      <c r="A13" s="137" t="s">
        <v>34</v>
      </c>
      <c r="B13" s="45"/>
      <c r="C13" s="49">
        <v>0</v>
      </c>
      <c r="D13" s="29"/>
      <c r="E13" s="29"/>
      <c r="F13" s="29"/>
      <c r="G13" s="29"/>
      <c r="H13" s="29"/>
      <c r="I13" s="29"/>
      <c r="J13" s="44"/>
      <c r="K13" s="44"/>
      <c r="L13" s="44"/>
      <c r="M13" s="44"/>
      <c r="N13" s="44"/>
      <c r="O13" s="44"/>
      <c r="P13" s="44"/>
      <c r="Q13" s="137"/>
      <c r="R13" s="143"/>
      <c r="S13" s="143"/>
      <c r="T13" s="143"/>
      <c r="U13" s="143"/>
      <c r="V13" s="143"/>
      <c r="W13" s="143"/>
      <c r="X13" s="144"/>
      <c r="Y13" s="49"/>
      <c r="Z13" s="49"/>
      <c r="AA13" s="31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50"/>
      <c r="BI13" s="34"/>
      <c r="BJ13" s="35"/>
      <c r="BK13" s="34"/>
      <c r="BL13" s="41"/>
      <c r="BM13" s="36"/>
      <c r="BN13" s="37"/>
      <c r="BO13" s="34"/>
      <c r="BP13" s="34"/>
      <c r="BQ13" s="34"/>
      <c r="BR13" s="205"/>
      <c r="BS13" s="34"/>
      <c r="BT13" s="37"/>
      <c r="BU13" s="35"/>
      <c r="BV13" s="37"/>
      <c r="BW13" s="37"/>
      <c r="BX13" s="34"/>
      <c r="BY13" s="37"/>
      <c r="BZ13" s="37"/>
      <c r="CA13" s="37"/>
      <c r="CB13" s="37"/>
      <c r="CC13" s="37"/>
      <c r="CD13" s="137"/>
      <c r="CE13" s="37"/>
      <c r="CF13" s="37"/>
      <c r="CG13" s="37"/>
    </row>
    <row r="14" spans="1:85" s="138" customFormat="1" ht="15" customHeight="1">
      <c r="A14" s="137" t="s">
        <v>35</v>
      </c>
      <c r="B14" s="45"/>
      <c r="C14" s="49">
        <v>0</v>
      </c>
      <c r="D14" s="29"/>
      <c r="E14" s="29"/>
      <c r="F14" s="29"/>
      <c r="G14" s="29"/>
      <c r="H14" s="29"/>
      <c r="I14" s="29"/>
      <c r="J14" s="44"/>
      <c r="K14" s="44"/>
      <c r="L14" s="44"/>
      <c r="M14" s="44"/>
      <c r="N14" s="44"/>
      <c r="O14" s="44"/>
      <c r="P14" s="44"/>
      <c r="Q14" s="137"/>
      <c r="R14" s="49"/>
      <c r="S14" s="49"/>
      <c r="T14" s="49"/>
      <c r="U14" s="49"/>
      <c r="V14" s="49"/>
      <c r="W14" s="49"/>
      <c r="X14" s="39"/>
      <c r="Y14" s="49"/>
      <c r="Z14" s="49"/>
      <c r="AA14" s="31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50"/>
      <c r="BI14" s="34"/>
      <c r="BJ14" s="35"/>
      <c r="BK14" s="34"/>
      <c r="BL14" s="41"/>
      <c r="BM14" s="36"/>
      <c r="BN14" s="37"/>
      <c r="BO14" s="34"/>
      <c r="BP14" s="34"/>
      <c r="BQ14" s="34"/>
      <c r="BR14" s="205"/>
      <c r="BS14" s="34"/>
      <c r="BT14" s="37"/>
      <c r="BU14" s="35"/>
      <c r="BV14" s="37"/>
      <c r="BW14" s="37"/>
      <c r="BX14" s="34"/>
      <c r="BY14" s="37"/>
      <c r="BZ14" s="37"/>
      <c r="CA14" s="37"/>
      <c r="CB14" s="37"/>
      <c r="CC14" s="37"/>
      <c r="CD14" s="137"/>
      <c r="CE14" s="37"/>
      <c r="CF14" s="37"/>
      <c r="CG14" s="37"/>
    </row>
    <row r="15" spans="1:85" s="138" customFormat="1" ht="15" customHeight="1">
      <c r="A15" s="137" t="s">
        <v>36</v>
      </c>
      <c r="B15" s="49"/>
      <c r="C15" s="49">
        <v>0</v>
      </c>
      <c r="D15" s="29"/>
      <c r="E15" s="29"/>
      <c r="F15" s="29"/>
      <c r="G15" s="29"/>
      <c r="H15" s="29"/>
      <c r="I15" s="29"/>
      <c r="J15" s="44"/>
      <c r="K15" s="44"/>
      <c r="L15" s="44"/>
      <c r="M15" s="44"/>
      <c r="N15" s="44"/>
      <c r="O15" s="44"/>
      <c r="P15" s="44"/>
      <c r="Q15" s="137"/>
      <c r="R15" s="49"/>
      <c r="S15" s="49"/>
      <c r="T15" s="49"/>
      <c r="U15" s="49"/>
      <c r="V15" s="49"/>
      <c r="W15" s="49"/>
      <c r="X15" s="39"/>
      <c r="Y15" s="49"/>
      <c r="Z15" s="49"/>
      <c r="AA15" s="31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50"/>
      <c r="BI15" s="34"/>
      <c r="BJ15" s="35"/>
      <c r="BK15" s="34"/>
      <c r="BL15" s="41"/>
      <c r="BM15" s="36"/>
      <c r="BN15" s="37"/>
      <c r="BO15" s="34"/>
      <c r="BP15" s="34"/>
      <c r="BQ15" s="34"/>
      <c r="BR15" s="205"/>
      <c r="BS15" s="34"/>
      <c r="BT15" s="37"/>
      <c r="BU15" s="35"/>
      <c r="BV15" s="37"/>
      <c r="BW15" s="37"/>
      <c r="BX15" s="34"/>
      <c r="BY15" s="37"/>
      <c r="BZ15" s="37"/>
      <c r="CA15" s="37"/>
      <c r="CB15" s="37"/>
      <c r="CC15" s="37"/>
      <c r="CD15" s="137"/>
      <c r="CE15" s="37"/>
      <c r="CF15" s="37"/>
      <c r="CG15" s="37"/>
    </row>
    <row r="16" spans="1:85" s="138" customFormat="1" ht="15" customHeight="1">
      <c r="A16" s="137" t="s">
        <v>37</v>
      </c>
      <c r="B16" s="49"/>
      <c r="C16" s="49">
        <v>0</v>
      </c>
      <c r="D16" s="29"/>
      <c r="E16" s="29"/>
      <c r="F16" s="29"/>
      <c r="G16" s="29"/>
      <c r="H16" s="29"/>
      <c r="I16" s="29"/>
      <c r="J16" s="44"/>
      <c r="K16" s="44"/>
      <c r="L16" s="44"/>
      <c r="M16" s="44"/>
      <c r="N16" s="44"/>
      <c r="O16" s="44"/>
      <c r="P16" s="44"/>
      <c r="Q16" s="137"/>
      <c r="R16" s="49"/>
      <c r="S16" s="49"/>
      <c r="T16" s="49"/>
      <c r="U16" s="49"/>
      <c r="V16" s="49"/>
      <c r="W16" s="49"/>
      <c r="X16" s="39"/>
      <c r="Y16" s="49"/>
      <c r="Z16" s="49"/>
      <c r="AA16" s="31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50"/>
      <c r="BI16" s="34"/>
      <c r="BJ16" s="35"/>
      <c r="BK16" s="34"/>
      <c r="BL16" s="41"/>
      <c r="BM16" s="36"/>
      <c r="BN16" s="37"/>
      <c r="BO16" s="34"/>
      <c r="BP16" s="34"/>
      <c r="BQ16" s="34"/>
      <c r="BR16" s="205"/>
      <c r="BS16" s="34"/>
      <c r="BT16" s="37"/>
      <c r="BU16" s="35"/>
      <c r="BV16" s="37"/>
      <c r="BW16" s="37"/>
      <c r="BX16" s="34"/>
      <c r="BY16" s="37"/>
      <c r="BZ16" s="37"/>
      <c r="CA16" s="37"/>
      <c r="CB16" s="37"/>
      <c r="CC16" s="37"/>
      <c r="CD16" s="137"/>
      <c r="CE16" s="37"/>
      <c r="CF16" s="37"/>
      <c r="CG16" s="37"/>
    </row>
    <row r="17" spans="1:86" s="138" customFormat="1" ht="15" customHeight="1">
      <c r="A17" s="137" t="s">
        <v>38</v>
      </c>
      <c r="B17" s="49"/>
      <c r="C17" s="49">
        <v>0</v>
      </c>
      <c r="D17" s="29"/>
      <c r="E17" s="29"/>
      <c r="F17" s="29"/>
      <c r="G17" s="29"/>
      <c r="H17" s="29"/>
      <c r="I17" s="29"/>
      <c r="J17" s="44"/>
      <c r="K17" s="44"/>
      <c r="L17" s="44"/>
      <c r="M17" s="44"/>
      <c r="N17" s="44"/>
      <c r="O17" s="44"/>
      <c r="P17" s="44"/>
      <c r="Q17" s="137"/>
      <c r="R17" s="49"/>
      <c r="S17" s="49"/>
      <c r="T17" s="49"/>
      <c r="U17" s="49"/>
      <c r="V17" s="49"/>
      <c r="W17" s="49"/>
      <c r="X17" s="39"/>
      <c r="Y17" s="49"/>
      <c r="Z17" s="49"/>
      <c r="AA17" s="31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50"/>
      <c r="BI17" s="34"/>
      <c r="BJ17" s="35"/>
      <c r="BK17" s="34"/>
      <c r="BL17" s="41"/>
      <c r="BM17" s="36"/>
      <c r="BN17" s="37"/>
      <c r="BO17" s="34"/>
      <c r="BP17" s="34"/>
      <c r="BQ17" s="34"/>
      <c r="BR17" s="205"/>
      <c r="BS17" s="34"/>
      <c r="BT17" s="37"/>
      <c r="BU17" s="35"/>
      <c r="BV17" s="37"/>
      <c r="BW17" s="37"/>
      <c r="BX17" s="34"/>
      <c r="BY17" s="37"/>
      <c r="BZ17" s="37"/>
      <c r="CA17" s="37"/>
      <c r="CB17" s="37"/>
      <c r="CC17" s="37"/>
      <c r="CD17" s="137"/>
      <c r="CE17" s="37"/>
      <c r="CF17" s="37"/>
      <c r="CG17" s="37"/>
    </row>
    <row r="18" spans="1:86" s="138" customFormat="1" ht="15" customHeight="1">
      <c r="A18" s="137" t="s">
        <v>39</v>
      </c>
      <c r="B18" s="49"/>
      <c r="C18" s="49">
        <v>0</v>
      </c>
      <c r="D18" s="29"/>
      <c r="E18" s="29"/>
      <c r="F18" s="29"/>
      <c r="G18" s="29"/>
      <c r="H18" s="29"/>
      <c r="I18" s="29"/>
      <c r="J18" s="44"/>
      <c r="K18" s="44"/>
      <c r="L18" s="44"/>
      <c r="M18" s="44"/>
      <c r="N18" s="44"/>
      <c r="O18" s="44"/>
      <c r="P18" s="44"/>
      <c r="Q18" s="137"/>
      <c r="R18" s="49"/>
      <c r="S18" s="49"/>
      <c r="T18" s="49"/>
      <c r="U18" s="49"/>
      <c r="V18" s="49"/>
      <c r="W18" s="49"/>
      <c r="X18" s="39"/>
      <c r="Y18" s="49"/>
      <c r="Z18" s="49"/>
      <c r="AA18" s="31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50"/>
      <c r="BI18" s="34"/>
      <c r="BJ18" s="35"/>
      <c r="BK18" s="34"/>
      <c r="BL18" s="41"/>
      <c r="BM18" s="36"/>
      <c r="BN18" s="37"/>
      <c r="BO18" s="34"/>
      <c r="BP18" s="34"/>
      <c r="BQ18" s="34"/>
      <c r="BR18" s="205"/>
      <c r="BS18" s="34"/>
      <c r="BT18" s="37"/>
      <c r="BU18" s="35"/>
      <c r="BV18" s="37"/>
      <c r="BW18" s="37"/>
      <c r="BX18" s="34"/>
      <c r="BY18" s="37"/>
      <c r="BZ18" s="37"/>
      <c r="CA18" s="37"/>
      <c r="CB18" s="37"/>
      <c r="CC18" s="37"/>
      <c r="CD18" s="137"/>
      <c r="CE18" s="37"/>
      <c r="CF18" s="37"/>
      <c r="CG18" s="37"/>
    </row>
    <row r="19" spans="1:86" s="138" customFormat="1" ht="15" customHeight="1">
      <c r="A19" s="137" t="s">
        <v>40</v>
      </c>
      <c r="B19" s="49"/>
      <c r="C19" s="49">
        <v>0</v>
      </c>
      <c r="D19" s="29"/>
      <c r="E19" s="29"/>
      <c r="F19" s="29"/>
      <c r="G19" s="29"/>
      <c r="H19" s="29"/>
      <c r="I19" s="29"/>
      <c r="J19" s="44"/>
      <c r="K19" s="44"/>
      <c r="L19" s="44"/>
      <c r="M19" s="44"/>
      <c r="N19" s="44"/>
      <c r="O19" s="44"/>
      <c r="P19" s="44"/>
      <c r="Q19" s="137"/>
      <c r="R19" s="49"/>
      <c r="S19" s="49"/>
      <c r="T19" s="49"/>
      <c r="U19" s="49"/>
      <c r="V19" s="49"/>
      <c r="W19" s="49"/>
      <c r="X19" s="39"/>
      <c r="Y19" s="49"/>
      <c r="Z19" s="49"/>
      <c r="AA19" s="31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50"/>
      <c r="BI19" s="34"/>
      <c r="BJ19" s="35"/>
      <c r="BK19" s="34"/>
      <c r="BL19" s="41"/>
      <c r="BM19" s="36"/>
      <c r="BN19" s="37"/>
      <c r="BO19" s="34"/>
      <c r="BP19" s="34"/>
      <c r="BQ19" s="34"/>
      <c r="BR19" s="205"/>
      <c r="BS19" s="34"/>
      <c r="BT19" s="37"/>
      <c r="BU19" s="35"/>
      <c r="BV19" s="37"/>
      <c r="BW19" s="37"/>
      <c r="BX19" s="34"/>
      <c r="BY19" s="37"/>
      <c r="BZ19" s="37"/>
      <c r="CA19" s="37"/>
      <c r="CB19" s="37"/>
      <c r="CC19" s="37"/>
      <c r="CD19" s="137"/>
      <c r="CE19" s="37"/>
      <c r="CF19" s="37"/>
      <c r="CG19" s="37"/>
    </row>
    <row r="20" spans="1:86" s="138" customFormat="1" ht="15" customHeight="1">
      <c r="A20" s="137" t="s">
        <v>41</v>
      </c>
      <c r="B20" s="49"/>
      <c r="C20" s="49">
        <v>0</v>
      </c>
      <c r="D20" s="29"/>
      <c r="E20" s="29"/>
      <c r="F20" s="29"/>
      <c r="G20" s="29"/>
      <c r="H20" s="29"/>
      <c r="I20" s="29"/>
      <c r="J20" s="44"/>
      <c r="K20" s="44"/>
      <c r="L20" s="44"/>
      <c r="M20" s="44"/>
      <c r="N20" s="44"/>
      <c r="O20" s="44"/>
      <c r="P20" s="44"/>
      <c r="Q20" s="137"/>
      <c r="R20" s="49"/>
      <c r="S20" s="49"/>
      <c r="T20" s="49"/>
      <c r="U20" s="49"/>
      <c r="V20" s="49"/>
      <c r="W20" s="49"/>
      <c r="X20" s="39"/>
      <c r="Y20" s="49"/>
      <c r="Z20" s="49"/>
      <c r="AA20" s="31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50"/>
      <c r="BI20" s="34"/>
      <c r="BJ20" s="35"/>
      <c r="BK20" s="34"/>
      <c r="BL20" s="41"/>
      <c r="BM20" s="36"/>
      <c r="BN20" s="37"/>
      <c r="BO20" s="34"/>
      <c r="BP20" s="34"/>
      <c r="BQ20" s="34"/>
      <c r="BR20" s="205"/>
      <c r="BS20" s="34"/>
      <c r="BT20" s="37"/>
      <c r="BU20" s="35"/>
      <c r="BV20" s="37"/>
      <c r="BW20" s="37"/>
      <c r="BX20" s="34"/>
      <c r="BY20" s="37"/>
      <c r="BZ20" s="37"/>
      <c r="CA20" s="37"/>
      <c r="CB20" s="37"/>
      <c r="CC20" s="37"/>
      <c r="CD20" s="137"/>
      <c r="CE20" s="37"/>
      <c r="CF20" s="37"/>
      <c r="CG20" s="37"/>
    </row>
    <row r="21" spans="1:86" s="138" customFormat="1" ht="15" customHeight="1">
      <c r="A21" s="137" t="s">
        <v>42</v>
      </c>
      <c r="B21" s="49"/>
      <c r="C21" s="49">
        <v>0</v>
      </c>
      <c r="D21" s="29"/>
      <c r="E21" s="29"/>
      <c r="F21" s="29"/>
      <c r="G21" s="29"/>
      <c r="H21" s="29"/>
      <c r="I21" s="29"/>
      <c r="J21" s="44"/>
      <c r="K21" s="44"/>
      <c r="L21" s="44"/>
      <c r="M21" s="44"/>
      <c r="N21" s="44"/>
      <c r="O21" s="44"/>
      <c r="P21" s="44"/>
      <c r="Q21" s="137"/>
      <c r="R21" s="49"/>
      <c r="S21" s="49"/>
      <c r="T21" s="49"/>
      <c r="U21" s="49"/>
      <c r="V21" s="49"/>
      <c r="W21" s="49"/>
      <c r="X21" s="39"/>
      <c r="Y21" s="49"/>
      <c r="Z21" s="49"/>
      <c r="AA21" s="31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50"/>
      <c r="BI21" s="34"/>
      <c r="BJ21" s="35"/>
      <c r="BK21" s="34"/>
      <c r="BL21" s="41"/>
      <c r="BM21" s="36"/>
      <c r="BN21" s="37"/>
      <c r="BO21" s="34"/>
      <c r="BP21" s="34"/>
      <c r="BQ21" s="34"/>
      <c r="BR21" s="205"/>
      <c r="BS21" s="34"/>
      <c r="BT21" s="37"/>
      <c r="BU21" s="35"/>
      <c r="BV21" s="37"/>
      <c r="BW21" s="37"/>
      <c r="BX21" s="34"/>
      <c r="BY21" s="37"/>
      <c r="BZ21" s="37"/>
      <c r="CA21" s="37"/>
      <c r="CB21" s="37"/>
      <c r="CC21" s="37"/>
      <c r="CD21" s="137"/>
      <c r="CE21" s="37"/>
      <c r="CF21" s="37"/>
      <c r="CG21" s="37"/>
    </row>
    <row r="22" spans="1:86" s="138" customFormat="1" ht="15" customHeight="1">
      <c r="A22" s="137" t="s">
        <v>389</v>
      </c>
      <c r="B22" s="49"/>
      <c r="C22" s="49">
        <v>0</v>
      </c>
      <c r="D22" s="29"/>
      <c r="E22" s="29"/>
      <c r="F22" s="29"/>
      <c r="G22" s="29"/>
      <c r="H22" s="29"/>
      <c r="I22" s="29"/>
      <c r="J22" s="44"/>
      <c r="K22" s="44"/>
      <c r="L22" s="44"/>
      <c r="M22" s="44"/>
      <c r="N22" s="44"/>
      <c r="O22" s="44"/>
      <c r="P22" s="44"/>
      <c r="Q22" s="137"/>
      <c r="R22" s="49"/>
      <c r="S22" s="49"/>
      <c r="T22" s="49"/>
      <c r="U22" s="49"/>
      <c r="V22" s="49"/>
      <c r="W22" s="49"/>
      <c r="X22" s="39"/>
      <c r="Y22" s="49"/>
      <c r="Z22" s="49"/>
      <c r="AA22" s="31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50"/>
      <c r="BI22" s="34"/>
      <c r="BJ22" s="35"/>
      <c r="BK22" s="34"/>
      <c r="BL22" s="41"/>
      <c r="BM22" s="36"/>
      <c r="BN22" s="37"/>
      <c r="BO22" s="34"/>
      <c r="BP22" s="34"/>
      <c r="BQ22" s="34"/>
      <c r="BR22" s="205"/>
      <c r="BS22" s="34"/>
      <c r="BT22" s="37"/>
      <c r="BU22" s="35"/>
      <c r="BV22" s="37"/>
      <c r="BW22" s="37"/>
      <c r="BX22" s="34"/>
      <c r="BY22" s="37"/>
      <c r="BZ22" s="37"/>
      <c r="CA22" s="37"/>
      <c r="CB22" s="37"/>
      <c r="CC22" s="37"/>
      <c r="CD22" s="137"/>
      <c r="CE22" s="37"/>
      <c r="CF22" s="37"/>
      <c r="CG22" s="37"/>
    </row>
    <row r="23" spans="1:86" s="138" customFormat="1" ht="15" customHeight="1">
      <c r="A23" s="137" t="s">
        <v>390</v>
      </c>
      <c r="B23" s="49"/>
      <c r="C23" s="49">
        <v>0</v>
      </c>
      <c r="D23" s="29"/>
      <c r="E23" s="29"/>
      <c r="F23" s="29"/>
      <c r="G23" s="29"/>
      <c r="H23" s="29"/>
      <c r="I23" s="29"/>
      <c r="J23" s="44"/>
      <c r="K23" s="44"/>
      <c r="L23" s="44"/>
      <c r="M23" s="44"/>
      <c r="N23" s="44"/>
      <c r="O23" s="44"/>
      <c r="P23" s="44"/>
      <c r="Q23" s="137"/>
      <c r="R23" s="49"/>
      <c r="S23" s="49"/>
      <c r="T23" s="49"/>
      <c r="U23" s="49"/>
      <c r="V23" s="49"/>
      <c r="W23" s="49"/>
      <c r="X23" s="39"/>
      <c r="Y23" s="49"/>
      <c r="Z23" s="49"/>
      <c r="AA23" s="31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50"/>
      <c r="BI23" s="34"/>
      <c r="BJ23" s="35"/>
      <c r="BK23" s="34"/>
      <c r="BL23" s="41"/>
      <c r="BM23" s="36"/>
      <c r="BN23" s="37"/>
      <c r="BO23" s="34"/>
      <c r="BP23" s="34"/>
      <c r="BQ23" s="34"/>
      <c r="BR23" s="205"/>
      <c r="BS23" s="34"/>
      <c r="BT23" s="37"/>
      <c r="BU23" s="35"/>
      <c r="BV23" s="37"/>
      <c r="BW23" s="37"/>
      <c r="BX23" s="34"/>
      <c r="BY23" s="37"/>
      <c r="BZ23" s="37"/>
      <c r="CA23" s="37"/>
      <c r="CB23" s="37"/>
      <c r="CC23" s="37"/>
      <c r="CD23" s="137"/>
      <c r="CE23" s="37"/>
      <c r="CF23" s="37"/>
      <c r="CG23" s="37"/>
    </row>
    <row r="24" spans="1:86" s="138" customFormat="1" ht="15" customHeight="1">
      <c r="A24" s="43"/>
      <c r="B24" s="45"/>
      <c r="C24" s="139"/>
      <c r="D24" s="29"/>
      <c r="E24" s="29"/>
      <c r="F24" s="29"/>
      <c r="G24" s="29"/>
      <c r="H24" s="29"/>
      <c r="I24" s="29"/>
      <c r="J24" s="44"/>
      <c r="K24" s="44"/>
      <c r="L24" s="44"/>
      <c r="M24" s="44"/>
      <c r="N24" s="44"/>
      <c r="O24" s="44"/>
      <c r="P24" s="44"/>
      <c r="Q24" s="137"/>
      <c r="R24" s="49"/>
      <c r="S24" s="49"/>
      <c r="T24" s="49"/>
      <c r="U24" s="49"/>
      <c r="V24" s="49"/>
      <c r="W24" s="49"/>
      <c r="X24" s="39"/>
      <c r="Y24" s="49"/>
      <c r="Z24" s="49"/>
      <c r="AA24" s="31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50"/>
      <c r="BI24" s="34"/>
      <c r="BJ24" s="35"/>
      <c r="BK24" s="34"/>
      <c r="BL24" s="41"/>
      <c r="BM24" s="36"/>
      <c r="BN24" s="37"/>
      <c r="BO24" s="34"/>
      <c r="BP24" s="34"/>
      <c r="BQ24" s="34"/>
      <c r="BR24" s="205"/>
      <c r="BS24" s="34"/>
      <c r="BT24" s="37"/>
      <c r="BU24" s="35"/>
      <c r="BV24" s="37"/>
      <c r="BW24" s="37"/>
      <c r="BX24" s="34"/>
      <c r="BY24" s="37"/>
      <c r="BZ24" s="37"/>
      <c r="CA24" s="37"/>
      <c r="CB24" s="37"/>
      <c r="CC24" s="37"/>
      <c r="CD24" s="137"/>
      <c r="CE24" s="37"/>
      <c r="CF24" s="37"/>
      <c r="CG24" s="37"/>
    </row>
    <row r="25" spans="1:86" s="138" customFormat="1" ht="15" customHeight="1" thickBot="1">
      <c r="A25" s="29"/>
      <c r="B25" s="29"/>
      <c r="C25" s="31"/>
      <c r="D25" s="29"/>
      <c r="E25" s="29"/>
      <c r="F25" s="29"/>
      <c r="G25" s="29"/>
      <c r="H25" s="29"/>
      <c r="I25" s="29"/>
      <c r="J25" s="44"/>
      <c r="K25" s="44"/>
      <c r="L25" s="44"/>
      <c r="M25" s="44"/>
      <c r="N25" s="44"/>
      <c r="O25" s="44"/>
      <c r="P25" s="44"/>
      <c r="Q25" s="49"/>
      <c r="R25" s="49"/>
      <c r="S25" s="49"/>
      <c r="T25" s="49"/>
      <c r="U25" s="49"/>
      <c r="V25" s="49"/>
      <c r="W25" s="49"/>
      <c r="X25" s="39"/>
      <c r="Y25" s="49"/>
      <c r="Z25" s="49"/>
      <c r="AA25" s="31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3"/>
      <c r="BI25" s="34"/>
      <c r="BJ25" s="35"/>
      <c r="BK25" s="34"/>
      <c r="BL25" s="41"/>
      <c r="BM25" s="36"/>
      <c r="BN25" s="37"/>
      <c r="BO25" s="34"/>
      <c r="BP25" s="34"/>
      <c r="BQ25" s="34"/>
      <c r="BR25" s="205"/>
      <c r="BS25" s="34"/>
      <c r="BT25" s="37"/>
      <c r="BU25" s="35"/>
      <c r="BV25" s="37"/>
      <c r="BW25" s="37"/>
      <c r="BX25" s="34"/>
      <c r="BY25" s="37"/>
      <c r="BZ25" s="37"/>
      <c r="CA25" s="37"/>
      <c r="CB25" s="37"/>
      <c r="CC25" s="37"/>
      <c r="CD25" s="137"/>
      <c r="CE25" s="37"/>
      <c r="CF25" s="37"/>
      <c r="CG25" s="37"/>
    </row>
    <row r="26" spans="1:86" s="138" customFormat="1" ht="30" customHeight="1" thickBot="1">
      <c r="A26" s="146" t="s">
        <v>43</v>
      </c>
      <c r="B26" s="147" t="s">
        <v>44</v>
      </c>
      <c r="C26" s="148" t="s">
        <v>45</v>
      </c>
      <c r="D26" s="149" t="s">
        <v>46</v>
      </c>
      <c r="E26" s="149" t="s">
        <v>47</v>
      </c>
      <c r="F26" s="149" t="s">
        <v>48</v>
      </c>
      <c r="G26" s="149" t="s">
        <v>49</v>
      </c>
      <c r="H26" s="150" t="s">
        <v>50</v>
      </c>
      <c r="I26" s="150" t="s">
        <v>51</v>
      </c>
      <c r="J26" s="151" t="s">
        <v>52</v>
      </c>
      <c r="K26" s="151" t="s">
        <v>53</v>
      </c>
      <c r="L26" s="151" t="s">
        <v>54</v>
      </c>
      <c r="M26" s="151" t="s">
        <v>55</v>
      </c>
      <c r="N26" s="151" t="s">
        <v>56</v>
      </c>
      <c r="O26" s="151" t="s">
        <v>57</v>
      </c>
      <c r="P26" s="150" t="s">
        <v>58</v>
      </c>
      <c r="Q26" s="149" t="s">
        <v>59</v>
      </c>
      <c r="R26" s="152" t="s">
        <v>60</v>
      </c>
      <c r="S26" s="152" t="s">
        <v>61</v>
      </c>
      <c r="T26" s="152" t="s">
        <v>62</v>
      </c>
      <c r="U26" s="152" t="s">
        <v>63</v>
      </c>
      <c r="V26" s="152" t="s">
        <v>64</v>
      </c>
      <c r="W26" s="152" t="s">
        <v>65</v>
      </c>
      <c r="X26" s="153" t="s">
        <v>66</v>
      </c>
      <c r="Y26" s="154" t="s">
        <v>67</v>
      </c>
      <c r="Z26" s="150" t="s">
        <v>68</v>
      </c>
      <c r="AA26" s="150" t="s">
        <v>69</v>
      </c>
      <c r="AB26" s="154" t="s">
        <v>70</v>
      </c>
      <c r="AC26" s="154"/>
      <c r="AD26" s="154" t="s">
        <v>52</v>
      </c>
      <c r="AE26" s="154" t="s">
        <v>71</v>
      </c>
      <c r="AF26" s="154" t="s">
        <v>72</v>
      </c>
      <c r="AG26" s="154" t="s">
        <v>73</v>
      </c>
      <c r="AH26" s="154" t="s">
        <v>74</v>
      </c>
      <c r="AI26" s="155" t="s">
        <v>75</v>
      </c>
      <c r="AJ26" s="154" t="s">
        <v>76</v>
      </c>
      <c r="AK26" s="159" t="s">
        <v>77</v>
      </c>
      <c r="AL26" s="392" t="s">
        <v>391</v>
      </c>
      <c r="AM26" s="159" t="s">
        <v>79</v>
      </c>
      <c r="AN26" s="159" t="s">
        <v>79</v>
      </c>
      <c r="AO26" s="159" t="s">
        <v>80</v>
      </c>
      <c r="AP26" s="159" t="s">
        <v>80</v>
      </c>
      <c r="AQ26" s="159" t="s">
        <v>81</v>
      </c>
      <c r="AR26" s="159" t="s">
        <v>81</v>
      </c>
      <c r="AS26" s="159" t="s">
        <v>82</v>
      </c>
      <c r="AT26" s="159" t="s">
        <v>82</v>
      </c>
      <c r="AU26" s="159" t="s">
        <v>83</v>
      </c>
      <c r="AV26" s="159" t="s">
        <v>83</v>
      </c>
      <c r="AW26" s="159" t="s">
        <v>84</v>
      </c>
      <c r="AX26" s="159" t="s">
        <v>84</v>
      </c>
      <c r="AY26" s="159" t="s">
        <v>85</v>
      </c>
      <c r="AZ26" s="159" t="s">
        <v>85</v>
      </c>
      <c r="BA26" s="159" t="s">
        <v>146</v>
      </c>
      <c r="BB26" s="159" t="s">
        <v>146</v>
      </c>
      <c r="BC26" s="159" t="s">
        <v>147</v>
      </c>
      <c r="BD26" s="159" t="s">
        <v>147</v>
      </c>
      <c r="BE26" s="159" t="s">
        <v>148</v>
      </c>
      <c r="BF26" s="159" t="s">
        <v>148</v>
      </c>
      <c r="BG26" s="159" t="s">
        <v>88</v>
      </c>
      <c r="BH26" s="157" t="s">
        <v>89</v>
      </c>
      <c r="BI26" s="158" t="s">
        <v>90</v>
      </c>
      <c r="BJ26" s="159" t="s">
        <v>91</v>
      </c>
      <c r="BK26" s="160" t="s">
        <v>92</v>
      </c>
      <c r="BL26" s="161" t="s">
        <v>93</v>
      </c>
      <c r="BM26" s="162" t="s">
        <v>94</v>
      </c>
      <c r="BN26" s="163" t="s">
        <v>95</v>
      </c>
      <c r="BO26" s="162" t="s">
        <v>96</v>
      </c>
      <c r="BP26" s="162" t="s">
        <v>97</v>
      </c>
      <c r="BQ26" s="162" t="s">
        <v>98</v>
      </c>
      <c r="BR26" s="206" t="s">
        <v>99</v>
      </c>
      <c r="BS26" s="162" t="s">
        <v>100</v>
      </c>
      <c r="BT26" s="162" t="s">
        <v>8</v>
      </c>
      <c r="BU26" s="154" t="s">
        <v>101</v>
      </c>
      <c r="BV26" s="151" t="s">
        <v>102</v>
      </c>
      <c r="BW26" s="150" t="s">
        <v>103</v>
      </c>
      <c r="BX26" s="162" t="s">
        <v>104</v>
      </c>
      <c r="BY26" s="162" t="s">
        <v>105</v>
      </c>
      <c r="BZ26" s="150" t="s">
        <v>106</v>
      </c>
      <c r="CA26" s="150"/>
      <c r="CB26" s="150"/>
      <c r="CC26" s="154" t="s">
        <v>107</v>
      </c>
      <c r="CD26" s="150" t="s">
        <v>108</v>
      </c>
      <c r="CE26" s="154" t="s">
        <v>109</v>
      </c>
      <c r="CF26" s="164" t="s">
        <v>151</v>
      </c>
      <c r="CG26" s="165"/>
    </row>
    <row r="27" spans="1:86" s="138" customFormat="1" ht="15" customHeight="1">
      <c r="A27" s="48" t="s">
        <v>209</v>
      </c>
      <c r="B27" s="29" t="s">
        <v>111</v>
      </c>
      <c r="C27" s="168">
        <v>45261.333333333336</v>
      </c>
      <c r="D27" s="48" t="s">
        <v>112</v>
      </c>
      <c r="E27" s="29" t="s">
        <v>113</v>
      </c>
      <c r="F27" s="48" t="s">
        <v>114</v>
      </c>
      <c r="G27" s="48" t="s">
        <v>210</v>
      </c>
      <c r="H27" s="48" t="s">
        <v>116</v>
      </c>
      <c r="I27" s="48" t="s">
        <v>117</v>
      </c>
      <c r="J27" s="170" t="s">
        <v>116</v>
      </c>
      <c r="K27" s="170" t="b">
        <v>0</v>
      </c>
      <c r="L27" s="170" t="s">
        <v>116</v>
      </c>
      <c r="M27" s="170" t="s">
        <v>116</v>
      </c>
      <c r="N27" s="170" t="s">
        <v>118</v>
      </c>
      <c r="O27" s="170" t="s">
        <v>119</v>
      </c>
      <c r="P27" s="48" t="s">
        <v>120</v>
      </c>
      <c r="Q27" s="48" t="s">
        <v>121</v>
      </c>
      <c r="R27" s="170" t="s">
        <v>116</v>
      </c>
      <c r="S27" s="170" t="s">
        <v>116</v>
      </c>
      <c r="T27" s="170" t="s">
        <v>116</v>
      </c>
      <c r="U27" s="170" t="s">
        <v>116</v>
      </c>
      <c r="V27" s="170" t="s">
        <v>116</v>
      </c>
      <c r="W27" s="170" t="s">
        <v>116</v>
      </c>
      <c r="X27" s="173" t="s">
        <v>211</v>
      </c>
      <c r="Y27" s="167">
        <v>56.49</v>
      </c>
      <c r="Z27" s="48" t="s">
        <v>123</v>
      </c>
      <c r="AA27" s="48">
        <v>1</v>
      </c>
      <c r="AB27" s="174">
        <v>0</v>
      </c>
      <c r="AC27" s="174"/>
      <c r="AD27" s="174">
        <v>0</v>
      </c>
      <c r="AE27" s="174">
        <v>0</v>
      </c>
      <c r="AF27" s="174">
        <v>0</v>
      </c>
      <c r="AG27" s="174">
        <v>0</v>
      </c>
      <c r="AH27" s="174">
        <v>0</v>
      </c>
      <c r="AI27" s="174">
        <v>0.28000000000000003</v>
      </c>
      <c r="AJ27" s="174">
        <v>0</v>
      </c>
      <c r="AK27" s="174">
        <v>0</v>
      </c>
      <c r="AL27" s="174">
        <v>0</v>
      </c>
      <c r="AM27" s="174">
        <v>0</v>
      </c>
      <c r="AN27" s="174">
        <v>0</v>
      </c>
      <c r="AO27" s="174">
        <v>0</v>
      </c>
      <c r="AP27" s="174">
        <v>0</v>
      </c>
      <c r="AQ27" s="174">
        <v>0</v>
      </c>
      <c r="AR27" s="174">
        <v>0</v>
      </c>
      <c r="AS27" s="174">
        <v>0</v>
      </c>
      <c r="AT27" s="174">
        <v>0</v>
      </c>
      <c r="AU27" s="174">
        <v>0</v>
      </c>
      <c r="AV27" s="174">
        <v>0</v>
      </c>
      <c r="AW27" s="174">
        <v>0</v>
      </c>
      <c r="AX27" s="174">
        <v>0</v>
      </c>
      <c r="AY27" s="174">
        <v>0</v>
      </c>
      <c r="AZ27" s="174">
        <v>0</v>
      </c>
      <c r="BA27" s="174">
        <v>0</v>
      </c>
      <c r="BB27" s="174">
        <v>0</v>
      </c>
      <c r="BC27" s="174">
        <v>0</v>
      </c>
      <c r="BD27" s="174">
        <v>0</v>
      </c>
      <c r="BE27" s="174">
        <v>0</v>
      </c>
      <c r="BF27" s="174">
        <v>0</v>
      </c>
      <c r="BG27" s="174"/>
      <c r="BH27" s="175" t="s">
        <v>393</v>
      </c>
      <c r="BI27" s="166">
        <v>46004</v>
      </c>
      <c r="BJ27" s="167">
        <v>43.48</v>
      </c>
      <c r="BK27" s="168"/>
      <c r="BL27" s="56"/>
      <c r="BM27" s="168" t="s">
        <v>119</v>
      </c>
      <c r="BN27" s="169" t="s">
        <v>386</v>
      </c>
      <c r="BO27" s="168"/>
      <c r="BP27" s="168"/>
      <c r="BQ27" s="168"/>
      <c r="BR27" s="207"/>
      <c r="BS27" s="168"/>
      <c r="BT27" s="168"/>
      <c r="BU27" s="167"/>
      <c r="BV27" s="170"/>
      <c r="BW27" s="48"/>
      <c r="BX27" s="168"/>
      <c r="BY27" s="168"/>
      <c r="BZ27" s="48"/>
      <c r="CA27" s="48"/>
      <c r="CB27" s="48"/>
      <c r="CC27" s="167"/>
      <c r="CD27" s="137"/>
      <c r="CE27" s="171"/>
      <c r="CF27" s="172" t="s">
        <v>157</v>
      </c>
      <c r="CG27" s="165"/>
    </row>
    <row r="28" spans="1:86" s="138" customFormat="1" ht="15" customHeight="1">
      <c r="A28" s="48" t="s">
        <v>213</v>
      </c>
      <c r="B28" s="29" t="s">
        <v>111</v>
      </c>
      <c r="C28" s="168">
        <v>44927</v>
      </c>
      <c r="D28" s="48" t="s">
        <v>112</v>
      </c>
      <c r="E28" s="29" t="s">
        <v>113</v>
      </c>
      <c r="F28" s="48" t="s">
        <v>114</v>
      </c>
      <c r="G28" s="48" t="s">
        <v>153</v>
      </c>
      <c r="H28" s="48" t="s">
        <v>116</v>
      </c>
      <c r="I28" s="48" t="s">
        <v>214</v>
      </c>
      <c r="J28" s="170" t="s">
        <v>116</v>
      </c>
      <c r="K28" s="170" t="b">
        <v>0</v>
      </c>
      <c r="L28" s="170" t="s">
        <v>116</v>
      </c>
      <c r="M28" s="170" t="s">
        <v>116</v>
      </c>
      <c r="N28" s="170" t="s">
        <v>118</v>
      </c>
      <c r="O28" s="170" t="s">
        <v>119</v>
      </c>
      <c r="P28" s="48" t="s">
        <v>120</v>
      </c>
      <c r="Q28" s="48" t="s">
        <v>121</v>
      </c>
      <c r="R28" s="170" t="s">
        <v>138</v>
      </c>
      <c r="S28" s="170" t="s">
        <v>116</v>
      </c>
      <c r="T28" s="170" t="s">
        <v>116</v>
      </c>
      <c r="U28" s="170" t="s">
        <v>116</v>
      </c>
      <c r="V28" s="170" t="s">
        <v>116</v>
      </c>
      <c r="W28" s="170" t="s">
        <v>116</v>
      </c>
      <c r="X28" s="173" t="s">
        <v>215</v>
      </c>
      <c r="Y28" s="167">
        <v>170.35</v>
      </c>
      <c r="Z28" s="48" t="s">
        <v>123</v>
      </c>
      <c r="AA28" s="48">
        <v>1</v>
      </c>
      <c r="AB28" s="174">
        <v>0</v>
      </c>
      <c r="AC28" s="174"/>
      <c r="AD28" s="174">
        <v>0</v>
      </c>
      <c r="AE28" s="174">
        <v>0</v>
      </c>
      <c r="AF28" s="174">
        <v>0</v>
      </c>
      <c r="AG28" s="174">
        <v>0</v>
      </c>
      <c r="AH28" s="174">
        <v>0</v>
      </c>
      <c r="AI28" s="174">
        <v>0.38</v>
      </c>
      <c r="AJ28" s="174">
        <v>0</v>
      </c>
      <c r="AK28" s="174">
        <v>0</v>
      </c>
      <c r="AL28" s="174">
        <v>0</v>
      </c>
      <c r="AM28" s="174">
        <v>0</v>
      </c>
      <c r="AN28" s="174">
        <v>0</v>
      </c>
      <c r="AO28" s="174">
        <v>0</v>
      </c>
      <c r="AP28" s="174">
        <v>0</v>
      </c>
      <c r="AQ28" s="174">
        <v>0</v>
      </c>
      <c r="AR28" s="174">
        <v>0</v>
      </c>
      <c r="AS28" s="174">
        <v>0</v>
      </c>
      <c r="AT28" s="174">
        <v>0</v>
      </c>
      <c r="AU28" s="174">
        <v>0</v>
      </c>
      <c r="AV28" s="174">
        <v>0</v>
      </c>
      <c r="AW28" s="174">
        <v>0</v>
      </c>
      <c r="AX28" s="174">
        <v>0</v>
      </c>
      <c r="AY28" s="174">
        <v>0</v>
      </c>
      <c r="AZ28" s="174">
        <v>0</v>
      </c>
      <c r="BA28" s="174">
        <v>0</v>
      </c>
      <c r="BB28" s="174">
        <v>0</v>
      </c>
      <c r="BC28" s="174">
        <v>0</v>
      </c>
      <c r="BD28" s="174">
        <v>0</v>
      </c>
      <c r="BE28" s="174">
        <v>0</v>
      </c>
      <c r="BF28" s="174">
        <v>0</v>
      </c>
      <c r="BG28" s="174"/>
      <c r="BH28" s="175" t="s">
        <v>394</v>
      </c>
      <c r="BI28" s="166">
        <v>46004</v>
      </c>
      <c r="BJ28" s="167">
        <v>43.48</v>
      </c>
      <c r="BK28" s="168"/>
      <c r="BL28" s="56"/>
      <c r="BM28" s="168" t="s">
        <v>119</v>
      </c>
      <c r="BN28" s="169" t="s">
        <v>386</v>
      </c>
      <c r="BO28" s="168"/>
      <c r="BP28" s="168"/>
      <c r="BQ28" s="168"/>
      <c r="BR28" s="207"/>
      <c r="BS28" s="168"/>
      <c r="BT28" s="168"/>
      <c r="BU28" s="167"/>
      <c r="BV28" s="170"/>
      <c r="BW28" s="48"/>
      <c r="BX28" s="168"/>
      <c r="BY28" s="168"/>
      <c r="BZ28" s="48"/>
      <c r="CA28" s="48"/>
      <c r="CB28" s="48"/>
      <c r="CC28" s="167"/>
      <c r="CD28" s="137"/>
      <c r="CE28" s="171"/>
      <c r="CF28" s="172" t="s">
        <v>157</v>
      </c>
      <c r="CG28" s="165"/>
    </row>
    <row r="29" spans="1:86" s="138" customFormat="1" ht="15" customHeight="1">
      <c r="A29" s="48"/>
      <c r="B29" s="29"/>
      <c r="C29" s="168"/>
      <c r="D29" s="48"/>
      <c r="E29" s="29"/>
      <c r="F29" s="48"/>
      <c r="G29" s="48"/>
      <c r="H29" s="48"/>
      <c r="I29" s="48"/>
      <c r="J29" s="170"/>
      <c r="K29" s="170"/>
      <c r="L29" s="170"/>
      <c r="M29" s="170"/>
      <c r="N29" s="170"/>
      <c r="O29" s="170"/>
      <c r="P29" s="48"/>
      <c r="Q29" s="48"/>
      <c r="R29" s="170"/>
      <c r="S29" s="170"/>
      <c r="T29" s="170"/>
      <c r="U29" s="170"/>
      <c r="V29" s="170"/>
      <c r="W29" s="170"/>
      <c r="X29" s="173"/>
      <c r="Y29" s="167"/>
      <c r="Z29" s="48"/>
      <c r="AA29" s="48"/>
      <c r="AB29" s="174"/>
      <c r="AC29" s="174"/>
      <c r="AD29" s="174"/>
      <c r="AE29" s="174"/>
      <c r="AF29" s="174"/>
      <c r="AG29" s="174"/>
      <c r="AH29" s="174"/>
      <c r="AI29" s="174"/>
      <c r="AJ29" s="174"/>
      <c r="AK29" s="174"/>
      <c r="AL29" s="174"/>
      <c r="AM29" s="174"/>
      <c r="AN29" s="174"/>
      <c r="AO29" s="174"/>
      <c r="AP29" s="174"/>
      <c r="AQ29" s="174"/>
      <c r="AR29" s="174"/>
      <c r="AS29" s="174"/>
      <c r="AT29" s="174"/>
      <c r="AU29" s="174"/>
      <c r="AV29" s="174"/>
      <c r="AW29" s="174"/>
      <c r="AX29" s="174"/>
      <c r="AY29" s="174"/>
      <c r="AZ29" s="174"/>
      <c r="BA29" s="174"/>
      <c r="BB29" s="174"/>
      <c r="BC29" s="174"/>
      <c r="BD29" s="174"/>
      <c r="BE29" s="174"/>
      <c r="BF29" s="174"/>
      <c r="BG29" s="174"/>
      <c r="BH29" s="175"/>
      <c r="BI29" s="166"/>
      <c r="BJ29" s="167"/>
      <c r="BK29" s="168"/>
      <c r="BL29" s="56"/>
      <c r="BM29" s="168"/>
      <c r="BN29" s="169"/>
      <c r="BO29" s="168"/>
      <c r="BP29" s="168"/>
      <c r="BQ29" s="168"/>
      <c r="BR29" s="207"/>
      <c r="BS29" s="168"/>
      <c r="BT29" s="168"/>
      <c r="BU29" s="167"/>
      <c r="BV29" s="170"/>
      <c r="BW29" s="48"/>
      <c r="BX29" s="168"/>
      <c r="BY29" s="168"/>
      <c r="BZ29" s="48"/>
      <c r="CA29" s="48"/>
      <c r="CB29" s="48"/>
      <c r="CC29" s="167"/>
      <c r="CD29" s="137"/>
      <c r="CE29" s="171"/>
      <c r="CF29" s="172"/>
      <c r="CG29" s="165"/>
    </row>
    <row r="30" spans="1:86" s="138" customFormat="1" ht="15" customHeight="1">
      <c r="A30" s="29"/>
      <c r="B30" s="29"/>
      <c r="C30" s="31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176"/>
      <c r="R30" s="176"/>
      <c r="S30" s="176"/>
      <c r="T30" s="176"/>
      <c r="U30" s="176"/>
      <c r="V30" s="176"/>
      <c r="W30" s="176"/>
      <c r="X30" s="177" t="s">
        <v>140</v>
      </c>
      <c r="Y30" s="178"/>
      <c r="Z30" s="179"/>
      <c r="AA30" s="179">
        <f t="shared" ref="AA30:AH30" si="0">SUM(AA27:AA28)</f>
        <v>2</v>
      </c>
      <c r="AB30" s="180">
        <f t="shared" si="0"/>
        <v>0</v>
      </c>
      <c r="AC30" s="180">
        <f t="shared" si="0"/>
        <v>0</v>
      </c>
      <c r="AD30" s="180">
        <f t="shared" si="0"/>
        <v>0</v>
      </c>
      <c r="AE30" s="180">
        <f t="shared" si="0"/>
        <v>0</v>
      </c>
      <c r="AF30" s="180">
        <f t="shared" si="0"/>
        <v>0</v>
      </c>
      <c r="AG30" s="180">
        <f t="shared" si="0"/>
        <v>0</v>
      </c>
      <c r="AH30" s="180">
        <f t="shared" si="0"/>
        <v>0</v>
      </c>
      <c r="AI30" s="180">
        <f t="shared" ref="AI30:BG30" si="1">SUM(AI27:AI29)</f>
        <v>0.66</v>
      </c>
      <c r="AJ30" s="180">
        <f t="shared" si="1"/>
        <v>0</v>
      </c>
      <c r="AK30" s="180">
        <f t="shared" si="1"/>
        <v>0</v>
      </c>
      <c r="AL30" s="180">
        <f t="shared" si="1"/>
        <v>0</v>
      </c>
      <c r="AM30" s="180">
        <f t="shared" si="1"/>
        <v>0</v>
      </c>
      <c r="AN30" s="180">
        <f t="shared" si="1"/>
        <v>0</v>
      </c>
      <c r="AO30" s="180">
        <f t="shared" si="1"/>
        <v>0</v>
      </c>
      <c r="AP30" s="180">
        <f t="shared" si="1"/>
        <v>0</v>
      </c>
      <c r="AQ30" s="180">
        <f t="shared" si="1"/>
        <v>0</v>
      </c>
      <c r="AR30" s="180">
        <f t="shared" si="1"/>
        <v>0</v>
      </c>
      <c r="AS30" s="180">
        <f t="shared" si="1"/>
        <v>0</v>
      </c>
      <c r="AT30" s="180">
        <f t="shared" si="1"/>
        <v>0</v>
      </c>
      <c r="AU30" s="180">
        <f t="shared" si="1"/>
        <v>0</v>
      </c>
      <c r="AV30" s="180">
        <f t="shared" si="1"/>
        <v>0</v>
      </c>
      <c r="AW30" s="180">
        <f t="shared" si="1"/>
        <v>0</v>
      </c>
      <c r="AX30" s="180">
        <f t="shared" si="1"/>
        <v>0</v>
      </c>
      <c r="AY30" s="180">
        <f t="shared" si="1"/>
        <v>0</v>
      </c>
      <c r="AZ30" s="180">
        <f t="shared" si="1"/>
        <v>0</v>
      </c>
      <c r="BA30" s="180">
        <f t="shared" si="1"/>
        <v>0</v>
      </c>
      <c r="BB30" s="180">
        <f t="shared" si="1"/>
        <v>0</v>
      </c>
      <c r="BC30" s="180">
        <f t="shared" si="1"/>
        <v>0</v>
      </c>
      <c r="BD30" s="180">
        <f t="shared" si="1"/>
        <v>0</v>
      </c>
      <c r="BE30" s="180">
        <f t="shared" si="1"/>
        <v>0</v>
      </c>
      <c r="BF30" s="180">
        <f t="shared" si="1"/>
        <v>0</v>
      </c>
      <c r="BG30" s="180">
        <f t="shared" si="1"/>
        <v>0</v>
      </c>
      <c r="BH30" s="181"/>
      <c r="BI30" s="31"/>
      <c r="BJ30" s="182"/>
      <c r="BK30" s="31"/>
      <c r="BL30" s="56"/>
      <c r="BM30" s="29"/>
      <c r="BN30" s="183"/>
      <c r="BO30" s="31"/>
      <c r="BP30" s="31"/>
      <c r="BQ30" s="31"/>
      <c r="BR30" s="208"/>
      <c r="BS30" s="31"/>
      <c r="BT30" s="183"/>
      <c r="BU30" s="182"/>
      <c r="BV30" s="183"/>
      <c r="BW30" s="183"/>
      <c r="BX30" s="31"/>
      <c r="BY30" s="183"/>
      <c r="BZ30" s="183"/>
      <c r="CA30" s="183"/>
      <c r="CB30" s="183"/>
      <c r="CC30" s="184"/>
      <c r="CD30" s="137"/>
      <c r="CE30" s="183"/>
      <c r="CF30" s="183"/>
      <c r="CG30" s="183"/>
      <c r="CH30" s="183"/>
    </row>
    <row r="31" spans="1:86" s="138" customFormat="1" ht="15" customHeight="1">
      <c r="A31" s="48"/>
      <c r="B31" s="29"/>
      <c r="C31" s="168"/>
      <c r="D31" s="48"/>
      <c r="E31" s="29"/>
      <c r="F31" s="48"/>
      <c r="G31" s="48"/>
      <c r="H31" s="48"/>
      <c r="I31" s="48"/>
      <c r="J31" s="170"/>
      <c r="K31" s="170"/>
      <c r="L31" s="170"/>
      <c r="M31" s="170"/>
      <c r="N31" s="170"/>
      <c r="O31" s="170"/>
      <c r="P31" s="48"/>
      <c r="Q31" s="48"/>
      <c r="R31" s="170"/>
      <c r="S31" s="170"/>
      <c r="T31" s="170"/>
      <c r="U31" s="170"/>
      <c r="V31" s="170"/>
      <c r="W31" s="170"/>
      <c r="X31" s="173"/>
      <c r="Y31" s="167"/>
      <c r="Z31" s="48"/>
      <c r="AA31" s="48"/>
      <c r="AB31" s="174"/>
      <c r="AC31" s="174"/>
      <c r="AD31" s="174"/>
      <c r="AE31" s="174"/>
      <c r="AF31" s="174"/>
      <c r="AG31" s="174"/>
      <c r="AH31" s="174"/>
      <c r="AI31" s="174"/>
      <c r="AJ31" s="174"/>
      <c r="AK31" s="174"/>
      <c r="AL31" s="174"/>
      <c r="AM31" s="174"/>
      <c r="AN31" s="174"/>
      <c r="AO31" s="174"/>
      <c r="AP31" s="174"/>
      <c r="AQ31" s="174"/>
      <c r="AR31" s="174"/>
      <c r="AS31" s="174"/>
      <c r="AT31" s="174"/>
      <c r="AU31" s="174"/>
      <c r="AV31" s="174"/>
      <c r="AW31" s="174"/>
      <c r="AX31" s="174"/>
      <c r="AY31" s="174"/>
      <c r="AZ31" s="174"/>
      <c r="BA31" s="174"/>
      <c r="BB31" s="174"/>
      <c r="BC31" s="174"/>
      <c r="BD31" s="174"/>
      <c r="BE31" s="174"/>
      <c r="BF31" s="174"/>
      <c r="BG31" s="174"/>
      <c r="BH31" s="175"/>
      <c r="BI31" s="166"/>
      <c r="BJ31" s="167"/>
      <c r="BK31" s="168"/>
      <c r="BL31" s="56"/>
      <c r="BM31" s="168"/>
      <c r="BN31" s="169"/>
      <c r="BO31" s="168"/>
      <c r="BP31" s="168"/>
      <c r="BQ31" s="168"/>
      <c r="BR31" s="207"/>
      <c r="BS31" s="168"/>
      <c r="BT31" s="168"/>
      <c r="BU31" s="167"/>
      <c r="BV31" s="170"/>
      <c r="BW31" s="48"/>
      <c r="BX31" s="168"/>
      <c r="BY31" s="168"/>
      <c r="BZ31" s="48"/>
      <c r="CA31" s="48"/>
      <c r="CB31" s="48"/>
      <c r="CC31" s="167"/>
      <c r="CD31" s="137"/>
      <c r="CE31" s="171"/>
      <c r="CF31" s="172"/>
      <c r="CG31" s="165"/>
    </row>
    <row r="32" spans="1:86" s="138" customFormat="1" ht="15" customHeight="1">
      <c r="A32" s="48"/>
      <c r="B32" s="29"/>
      <c r="C32" s="168"/>
      <c r="D32" s="48"/>
      <c r="E32" s="29"/>
      <c r="F32" s="48"/>
      <c r="G32" s="48"/>
      <c r="H32" s="48"/>
      <c r="I32" s="48"/>
      <c r="J32" s="170"/>
      <c r="K32" s="170"/>
      <c r="L32" s="170"/>
      <c r="M32" s="170"/>
      <c r="N32" s="170"/>
      <c r="O32" s="170"/>
      <c r="P32" s="48"/>
      <c r="Q32" s="48"/>
      <c r="R32" s="170"/>
      <c r="S32" s="170"/>
      <c r="T32" s="170"/>
      <c r="U32" s="170"/>
      <c r="V32" s="170"/>
      <c r="W32" s="170"/>
      <c r="X32" s="173"/>
      <c r="Y32" s="167"/>
      <c r="Z32" s="48"/>
      <c r="AA32" s="48"/>
      <c r="AB32" s="174"/>
      <c r="AC32" s="174"/>
      <c r="AD32" s="174"/>
      <c r="AE32" s="174"/>
      <c r="AF32" s="174"/>
      <c r="AG32" s="174"/>
      <c r="AH32" s="174"/>
      <c r="AI32" s="174"/>
      <c r="AJ32" s="174"/>
      <c r="AK32" s="174"/>
      <c r="AL32" s="174"/>
      <c r="AM32" s="174"/>
      <c r="AN32" s="174"/>
      <c r="AO32" s="174"/>
      <c r="AP32" s="174"/>
      <c r="AQ32" s="174"/>
      <c r="AR32" s="174"/>
      <c r="AS32" s="174"/>
      <c r="AT32" s="174"/>
      <c r="AU32" s="174"/>
      <c r="AV32" s="174"/>
      <c r="AW32" s="174"/>
      <c r="AX32" s="174"/>
      <c r="AY32" s="174"/>
      <c r="AZ32" s="174"/>
      <c r="BA32" s="174"/>
      <c r="BB32" s="174"/>
      <c r="BC32" s="174"/>
      <c r="BD32" s="174"/>
      <c r="BE32" s="174"/>
      <c r="BF32" s="174"/>
      <c r="BG32" s="174"/>
      <c r="BH32" s="175"/>
      <c r="BI32" s="166"/>
      <c r="BJ32" s="167"/>
      <c r="BK32" s="168"/>
      <c r="BL32" s="56"/>
      <c r="BM32" s="168"/>
      <c r="BN32" s="169"/>
      <c r="BO32" s="168"/>
      <c r="BP32" s="168"/>
      <c r="BQ32" s="168"/>
      <c r="BR32" s="207"/>
      <c r="BS32" s="168"/>
      <c r="BT32" s="168"/>
      <c r="BU32" s="167"/>
      <c r="BV32" s="170"/>
      <c r="BW32" s="48"/>
      <c r="BX32" s="168"/>
      <c r="BY32" s="168"/>
      <c r="BZ32" s="48"/>
      <c r="CA32" s="48"/>
      <c r="CB32" s="48"/>
      <c r="CC32" s="167"/>
      <c r="CD32" s="137"/>
      <c r="CE32" s="171"/>
      <c r="CF32" s="172"/>
      <c r="CG32" s="165"/>
    </row>
    <row r="33" spans="1:85" s="138" customFormat="1" ht="15" customHeight="1">
      <c r="A33" s="48"/>
      <c r="B33" s="29"/>
      <c r="C33" s="168"/>
      <c r="D33" s="48"/>
      <c r="E33" s="29"/>
      <c r="F33" s="48"/>
      <c r="G33" s="48"/>
      <c r="H33" s="48"/>
      <c r="I33" s="48"/>
      <c r="J33" s="170"/>
      <c r="K33" s="170"/>
      <c r="L33" s="170"/>
      <c r="M33" s="170"/>
      <c r="N33" s="170"/>
      <c r="O33" s="170"/>
      <c r="P33" s="48"/>
      <c r="Q33" s="48"/>
      <c r="R33" s="170"/>
      <c r="S33" s="170"/>
      <c r="T33" s="170"/>
      <c r="U33" s="170"/>
      <c r="V33" s="170"/>
      <c r="W33" s="170"/>
      <c r="X33" s="173"/>
      <c r="Y33" s="167"/>
      <c r="Z33" s="48"/>
      <c r="AA33" s="48"/>
      <c r="AB33" s="174"/>
      <c r="AC33" s="174"/>
      <c r="AD33" s="174"/>
      <c r="AE33" s="174"/>
      <c r="AF33" s="174"/>
      <c r="AG33" s="174"/>
      <c r="AH33" s="174"/>
      <c r="AI33" s="174"/>
      <c r="AJ33" s="174"/>
      <c r="AK33" s="174"/>
      <c r="AL33" s="174"/>
      <c r="AM33" s="174"/>
      <c r="AN33" s="174"/>
      <c r="AO33" s="174"/>
      <c r="AP33" s="174"/>
      <c r="AQ33" s="174"/>
      <c r="AR33" s="174"/>
      <c r="AS33" s="174"/>
      <c r="AT33" s="174"/>
      <c r="AU33" s="174"/>
      <c r="AV33" s="174"/>
      <c r="AW33" s="174"/>
      <c r="AX33" s="174"/>
      <c r="AY33" s="174"/>
      <c r="AZ33" s="174"/>
      <c r="BA33" s="174"/>
      <c r="BB33" s="174"/>
      <c r="BC33" s="174"/>
      <c r="BD33" s="174"/>
      <c r="BE33" s="174"/>
      <c r="BF33" s="174"/>
      <c r="BG33" s="174"/>
      <c r="BH33" s="175"/>
      <c r="BI33" s="166"/>
      <c r="BJ33" s="167"/>
      <c r="BK33" s="168"/>
      <c r="BL33" s="56"/>
      <c r="BM33" s="168"/>
      <c r="BN33" s="169"/>
      <c r="BO33" s="168"/>
      <c r="BP33" s="168"/>
      <c r="BQ33" s="168"/>
      <c r="BR33" s="207"/>
      <c r="BS33" s="168"/>
      <c r="BT33" s="168"/>
      <c r="BU33" s="167"/>
      <c r="BV33" s="170"/>
      <c r="BW33" s="48"/>
      <c r="BX33" s="168"/>
      <c r="BY33" s="168"/>
      <c r="BZ33" s="48"/>
      <c r="CA33" s="48"/>
      <c r="CB33" s="48"/>
      <c r="CC33" s="167"/>
      <c r="CD33" s="137"/>
      <c r="CE33" s="171"/>
      <c r="CF33" s="172"/>
      <c r="CG33" s="165"/>
    </row>
    <row r="34" spans="1:85" s="138" customFormat="1" ht="15" customHeight="1">
      <c r="A34" s="48"/>
      <c r="B34" s="29"/>
      <c r="C34" s="168"/>
      <c r="D34" s="48"/>
      <c r="E34" s="29"/>
      <c r="F34" s="48"/>
      <c r="G34" s="48"/>
      <c r="H34" s="48"/>
      <c r="I34" s="48"/>
      <c r="J34" s="170"/>
      <c r="K34" s="170"/>
      <c r="L34" s="170"/>
      <c r="M34" s="170"/>
      <c r="N34" s="170"/>
      <c r="O34" s="170"/>
      <c r="P34" s="48"/>
      <c r="Q34" s="48"/>
      <c r="R34" s="170"/>
      <c r="S34" s="170"/>
      <c r="T34" s="170"/>
      <c r="U34" s="170"/>
      <c r="V34" s="170"/>
      <c r="W34" s="170"/>
      <c r="X34" s="173"/>
      <c r="Y34" s="167"/>
      <c r="Z34" s="48"/>
      <c r="AA34" s="48"/>
      <c r="AB34" s="174"/>
      <c r="AC34" s="174"/>
      <c r="AD34" s="174"/>
      <c r="AE34" s="174"/>
      <c r="AF34" s="174"/>
      <c r="AG34" s="174"/>
      <c r="AH34" s="174"/>
      <c r="AI34" s="174"/>
      <c r="AJ34" s="174"/>
      <c r="AK34" s="174"/>
      <c r="AL34" s="174"/>
      <c r="AM34" s="174"/>
      <c r="AN34" s="174"/>
      <c r="AO34" s="174"/>
      <c r="AP34" s="174"/>
      <c r="AQ34" s="174"/>
      <c r="AR34" s="174"/>
      <c r="AS34" s="174"/>
      <c r="AT34" s="174"/>
      <c r="AU34" s="174"/>
      <c r="AV34" s="174"/>
      <c r="AW34" s="174"/>
      <c r="AX34" s="174"/>
      <c r="AY34" s="174"/>
      <c r="AZ34" s="174"/>
      <c r="BA34" s="174"/>
      <c r="BB34" s="174"/>
      <c r="BC34" s="174"/>
      <c r="BD34" s="174"/>
      <c r="BE34" s="174"/>
      <c r="BF34" s="174"/>
      <c r="BG34" s="174"/>
      <c r="BH34" s="175"/>
      <c r="BI34" s="166"/>
      <c r="BJ34" s="167"/>
      <c r="BK34" s="168"/>
      <c r="BL34" s="56"/>
      <c r="BM34" s="168"/>
      <c r="BN34" s="169"/>
      <c r="BO34" s="168"/>
      <c r="BP34" s="168"/>
      <c r="BQ34" s="168"/>
      <c r="BR34" s="207"/>
      <c r="BS34" s="168"/>
      <c r="BT34" s="168"/>
      <c r="BU34" s="167"/>
      <c r="BV34" s="170"/>
      <c r="BW34" s="48"/>
      <c r="BX34" s="168"/>
      <c r="BY34" s="168"/>
      <c r="BZ34" s="48"/>
      <c r="CA34" s="48"/>
      <c r="CB34" s="48"/>
      <c r="CC34" s="167"/>
      <c r="CD34" s="137"/>
      <c r="CE34" s="171"/>
      <c r="CF34" s="172"/>
      <c r="CG34" s="165"/>
    </row>
    <row r="35" spans="1:85" s="138" customFormat="1" ht="15" customHeight="1">
      <c r="A35" s="48"/>
      <c r="B35" s="29"/>
      <c r="C35" s="168"/>
      <c r="D35" s="48"/>
      <c r="E35" s="29"/>
      <c r="F35" s="48"/>
      <c r="G35" s="48"/>
      <c r="H35" s="48"/>
      <c r="I35" s="48"/>
      <c r="J35" s="170"/>
      <c r="K35" s="170"/>
      <c r="L35" s="170"/>
      <c r="M35" s="170"/>
      <c r="N35" s="170"/>
      <c r="O35" s="170"/>
      <c r="P35" s="48"/>
      <c r="Q35" s="48"/>
      <c r="R35" s="170"/>
      <c r="S35" s="170"/>
      <c r="T35" s="170"/>
      <c r="U35" s="170"/>
      <c r="V35" s="170"/>
      <c r="W35" s="170"/>
      <c r="X35" s="173"/>
      <c r="Y35" s="167"/>
      <c r="Z35" s="48"/>
      <c r="AA35" s="48"/>
      <c r="AB35" s="174"/>
      <c r="AC35" s="174"/>
      <c r="AD35" s="174"/>
      <c r="AE35" s="174"/>
      <c r="AF35" s="174"/>
      <c r="AG35" s="174"/>
      <c r="AH35" s="174"/>
      <c r="AI35" s="174"/>
      <c r="AJ35" s="174"/>
      <c r="AK35" s="174"/>
      <c r="AL35" s="174"/>
      <c r="AM35" s="174"/>
      <c r="AN35" s="174"/>
      <c r="AO35" s="174"/>
      <c r="AP35" s="174"/>
      <c r="AQ35" s="174"/>
      <c r="AR35" s="174"/>
      <c r="AS35" s="174"/>
      <c r="AT35" s="174"/>
      <c r="AU35" s="174"/>
      <c r="AV35" s="174"/>
      <c r="AW35" s="174"/>
      <c r="AX35" s="174"/>
      <c r="AY35" s="174"/>
      <c r="AZ35" s="174"/>
      <c r="BA35" s="174"/>
      <c r="BB35" s="174"/>
      <c r="BC35" s="174"/>
      <c r="BD35" s="174"/>
      <c r="BE35" s="174"/>
      <c r="BF35" s="174"/>
      <c r="BG35" s="174"/>
      <c r="BH35" s="175"/>
      <c r="BI35" s="166"/>
      <c r="BJ35" s="167"/>
      <c r="BK35" s="168"/>
      <c r="BL35" s="56"/>
      <c r="BM35" s="168"/>
      <c r="BN35" s="169"/>
      <c r="BO35" s="168"/>
      <c r="BP35" s="168"/>
      <c r="BQ35" s="168"/>
      <c r="BR35" s="207"/>
      <c r="BS35" s="168"/>
      <c r="BT35" s="168"/>
      <c r="BU35" s="167"/>
      <c r="BV35" s="170"/>
      <c r="BW35" s="48"/>
      <c r="BX35" s="168"/>
      <c r="BY35" s="168"/>
      <c r="BZ35" s="48"/>
      <c r="CA35" s="48"/>
      <c r="CB35" s="48"/>
      <c r="CC35" s="167"/>
      <c r="CD35" s="137"/>
      <c r="CE35" s="171"/>
      <c r="CF35" s="172"/>
      <c r="CG35" s="165"/>
    </row>
    <row r="36" spans="1:85" s="138" customFormat="1" ht="15.6">
      <c r="C36" s="185"/>
      <c r="X36" s="186"/>
      <c r="BL36" s="187"/>
    </row>
    <row r="37" spans="1:85" s="138" customFormat="1" ht="15.6">
      <c r="C37" s="185"/>
      <c r="X37" s="186"/>
      <c r="BL37" s="187"/>
    </row>
    <row r="38" spans="1:85" s="138" customFormat="1" ht="15.6">
      <c r="C38" s="185"/>
      <c r="X38" s="186"/>
      <c r="BL38" s="187"/>
    </row>
    <row r="39" spans="1:85" s="138" customFormat="1" ht="15.6">
      <c r="C39" s="185"/>
      <c r="X39" s="186"/>
      <c r="BL39" s="187"/>
    </row>
  </sheetData>
  <autoFilter ref="A26:CH26" xr:uid="{0B3BE0A8-94D9-4943-B51D-CC52050FCF99}"/>
  <printOptions horizontalCentered="1"/>
  <pageMargins left="0.5" right="0.5" top="0.5" bottom="0.5" header="0.3" footer="0.3"/>
  <pageSetup scale="25" fitToHeight="0" orientation="landscape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A81B7-D237-462A-9710-C61129B6CE88}">
  <sheetPr>
    <tabColor theme="2" tint="-0.249977111117893"/>
    <pageSetUpPr fitToPage="1"/>
  </sheetPr>
  <dimension ref="A1:CH46"/>
  <sheetViews>
    <sheetView topLeftCell="A4" zoomScale="80" zoomScaleNormal="80" workbookViewId="0">
      <selection activeCell="A27" sqref="A27:XFD33"/>
    </sheetView>
  </sheetViews>
  <sheetFormatPr defaultColWidth="8.85546875" defaultRowHeight="14.45"/>
  <cols>
    <col min="1" max="1" width="29.140625" style="136" customWidth="1"/>
    <col min="2" max="2" width="7.28515625" style="136" hidden="1" customWidth="1"/>
    <col min="3" max="3" width="16.42578125" style="188" bestFit="1" customWidth="1"/>
    <col min="4" max="4" width="6.7109375" style="136" bestFit="1" customWidth="1"/>
    <col min="5" max="5" width="21" style="136" bestFit="1" customWidth="1"/>
    <col min="6" max="6" width="11.28515625" style="136" bestFit="1" customWidth="1"/>
    <col min="7" max="7" width="12.7109375" style="136" bestFit="1" customWidth="1"/>
    <col min="8" max="15" width="0.85546875" style="136" hidden="1" customWidth="1"/>
    <col min="16" max="16" width="3.42578125" style="136" hidden="1" customWidth="1"/>
    <col min="17" max="17" width="22.140625" style="136" customWidth="1"/>
    <col min="18" max="21" width="2.85546875" style="136" hidden="1" customWidth="1"/>
    <col min="22" max="22" width="19.85546875" style="136" hidden="1" customWidth="1"/>
    <col min="23" max="23" width="1.42578125" style="136" hidden="1" customWidth="1"/>
    <col min="24" max="24" width="22.140625" style="189" customWidth="1"/>
    <col min="25" max="25" width="5.140625" style="136" hidden="1" customWidth="1"/>
    <col min="26" max="26" width="19" style="136" hidden="1" customWidth="1"/>
    <col min="27" max="27" width="14.140625" style="136" hidden="1" customWidth="1"/>
    <col min="28" max="28" width="7.42578125" style="136" hidden="1" customWidth="1"/>
    <col min="29" max="29" width="1.7109375" style="136" hidden="1" customWidth="1"/>
    <col min="30" max="30" width="7.42578125" style="136" hidden="1" customWidth="1"/>
    <col min="31" max="34" width="1" style="136" hidden="1" customWidth="1"/>
    <col min="35" max="35" width="9.42578125" style="136" hidden="1" customWidth="1"/>
    <col min="36" max="36" width="10.28515625" style="136" customWidth="1"/>
    <col min="37" max="37" width="18.140625" style="136" customWidth="1"/>
    <col min="38" max="38" width="10.42578125" style="136" hidden="1" customWidth="1"/>
    <col min="39" max="40" width="1.42578125" style="136" hidden="1" customWidth="1"/>
    <col min="41" max="58" width="2.7109375" style="136" hidden="1" customWidth="1"/>
    <col min="59" max="59" width="10.140625" style="136" bestFit="1" customWidth="1"/>
    <col min="60" max="60" width="19.7109375" style="136" bestFit="1" customWidth="1"/>
    <col min="61" max="61" width="9.42578125" style="136" bestFit="1" customWidth="1"/>
    <col min="62" max="62" width="12.42578125" style="136" bestFit="1" customWidth="1"/>
    <col min="63" max="63" width="17.140625" style="136" bestFit="1" customWidth="1"/>
    <col min="64" max="64" width="32.28515625" style="190" bestFit="1" customWidth="1"/>
    <col min="65" max="65" width="18" style="136" bestFit="1" customWidth="1"/>
    <col min="66" max="66" width="8.85546875" style="136"/>
    <col min="67" max="67" width="0.5703125" style="136" customWidth="1"/>
    <col min="68" max="68" width="10.7109375" style="136" bestFit="1" customWidth="1"/>
    <col min="69" max="69" width="1" style="136" customWidth="1"/>
    <col min="70" max="70" width="19.5703125" style="136" bestFit="1" customWidth="1"/>
    <col min="71" max="74" width="0.7109375" style="136" customWidth="1"/>
    <col min="75" max="80" width="0.5703125" style="136" customWidth="1"/>
    <col min="81" max="81" width="13.7109375" style="136" bestFit="1" customWidth="1"/>
    <col min="82" max="82" width="14.7109375" style="136" bestFit="1" customWidth="1"/>
    <col min="83" max="83" width="8.85546875" style="136"/>
    <col min="84" max="84" width="17.140625" style="136" bestFit="1" customWidth="1"/>
    <col min="85" max="16384" width="8.85546875" style="136"/>
  </cols>
  <sheetData>
    <row r="1" spans="1:85" ht="25.9">
      <c r="A1" s="132" t="s">
        <v>25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3"/>
      <c r="R1" s="132"/>
      <c r="S1" s="132"/>
      <c r="T1" s="132"/>
      <c r="U1" s="132"/>
      <c r="V1" s="132"/>
      <c r="W1" s="132"/>
      <c r="X1" s="134"/>
      <c r="Y1" s="6"/>
      <c r="Z1" s="6"/>
      <c r="AA1" s="2"/>
      <c r="AB1" s="26"/>
      <c r="AC1" s="26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7"/>
      <c r="BI1" s="3"/>
      <c r="BJ1" s="8"/>
      <c r="BK1" s="3"/>
      <c r="BL1" s="40"/>
      <c r="BM1" s="28"/>
      <c r="BN1" s="5"/>
      <c r="BO1" s="3"/>
      <c r="BP1" s="3"/>
      <c r="BQ1" s="3"/>
      <c r="BR1" s="200"/>
      <c r="BS1" s="3"/>
      <c r="BT1" s="5"/>
      <c r="BU1" s="8"/>
      <c r="BV1" s="5"/>
      <c r="BW1" s="5"/>
      <c r="BX1" s="3"/>
      <c r="BY1" s="5"/>
      <c r="BZ1" s="5"/>
      <c r="CA1" s="5"/>
      <c r="CB1" s="5"/>
      <c r="CC1" s="5"/>
      <c r="CD1" s="135"/>
      <c r="CE1" s="5"/>
      <c r="CF1" s="5"/>
      <c r="CG1" s="5"/>
    </row>
    <row r="2" spans="1:85" s="138" customFormat="1" ht="15" customHeight="1">
      <c r="A2" s="43" t="s">
        <v>26</v>
      </c>
      <c r="B2" s="44"/>
      <c r="C2" s="46" t="s">
        <v>224</v>
      </c>
      <c r="D2" s="44"/>
      <c r="E2" s="44"/>
      <c r="F2" s="44"/>
      <c r="G2" s="29"/>
      <c r="H2" s="29"/>
      <c r="I2" s="29"/>
      <c r="J2" s="29"/>
      <c r="K2" s="29"/>
      <c r="L2" s="29"/>
      <c r="M2" s="29"/>
      <c r="N2" s="29"/>
      <c r="O2" s="29"/>
      <c r="P2" s="29"/>
      <c r="Q2" s="137"/>
      <c r="R2" s="30"/>
      <c r="S2" s="30"/>
      <c r="T2" s="30"/>
      <c r="U2" s="30"/>
      <c r="V2" s="30"/>
      <c r="W2" s="30"/>
      <c r="X2" s="39"/>
      <c r="Y2" s="30"/>
      <c r="Z2" s="30"/>
      <c r="AA2" s="31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3"/>
      <c r="BI2" s="34"/>
      <c r="BJ2" s="35"/>
      <c r="BK2" s="34"/>
      <c r="BL2" s="41"/>
      <c r="BM2" s="36"/>
      <c r="BN2" s="37"/>
      <c r="BO2" s="34"/>
      <c r="BP2" s="34"/>
      <c r="BQ2" s="34"/>
      <c r="BR2" s="205"/>
      <c r="BS2" s="34"/>
      <c r="BT2" s="37"/>
      <c r="BU2" s="35"/>
      <c r="BV2" s="37"/>
      <c r="BW2" s="37"/>
      <c r="BX2" s="34"/>
      <c r="BY2" s="37"/>
      <c r="BZ2" s="37"/>
      <c r="CA2" s="37"/>
      <c r="CB2" s="37"/>
      <c r="CC2" s="37"/>
      <c r="CD2" s="137"/>
      <c r="CE2" s="37"/>
      <c r="CF2" s="37"/>
      <c r="CG2" s="37"/>
    </row>
    <row r="3" spans="1:85" s="138" customFormat="1" ht="15" customHeight="1">
      <c r="A3" s="47" t="s">
        <v>27</v>
      </c>
      <c r="B3" s="29"/>
      <c r="C3" s="46" t="s">
        <v>387</v>
      </c>
      <c r="D3" s="48"/>
      <c r="E3" s="48"/>
      <c r="F3" s="48"/>
      <c r="G3" s="29"/>
      <c r="H3" s="29"/>
      <c r="I3" s="29"/>
      <c r="J3" s="29"/>
      <c r="K3" s="29"/>
      <c r="L3" s="29"/>
      <c r="M3" s="29"/>
      <c r="N3" s="29"/>
      <c r="O3" s="29"/>
      <c r="P3" s="29"/>
      <c r="Q3" s="137"/>
      <c r="R3" s="30"/>
      <c r="S3" s="30"/>
      <c r="T3" s="30"/>
      <c r="U3" s="30"/>
      <c r="V3" s="30"/>
      <c r="W3" s="30"/>
      <c r="X3" s="39"/>
      <c r="Y3" s="30"/>
      <c r="Z3" s="30"/>
      <c r="AA3" s="31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3"/>
      <c r="BI3" s="34"/>
      <c r="BJ3" s="35"/>
      <c r="BK3" s="34"/>
      <c r="BL3" s="41"/>
      <c r="BM3" s="36"/>
      <c r="BN3" s="37"/>
      <c r="BO3" s="34"/>
      <c r="BP3" s="34"/>
      <c r="BQ3" s="34"/>
      <c r="BR3" s="205"/>
      <c r="BS3" s="34"/>
      <c r="BT3" s="37"/>
      <c r="BU3" s="35"/>
      <c r="BV3" s="37"/>
      <c r="BW3" s="37"/>
      <c r="BX3" s="34"/>
      <c r="BY3" s="37"/>
      <c r="BZ3" s="37"/>
      <c r="CA3" s="37"/>
      <c r="CB3" s="37"/>
      <c r="CC3" s="37"/>
      <c r="CD3" s="137"/>
      <c r="CE3" s="37"/>
      <c r="CF3" s="37"/>
      <c r="CG3" s="37"/>
    </row>
    <row r="4" spans="1:85" s="138" customFormat="1" ht="15" customHeight="1">
      <c r="A4" s="43" t="s">
        <v>29</v>
      </c>
      <c r="B4" s="45"/>
      <c r="C4" s="46"/>
      <c r="D4" s="29"/>
      <c r="E4" s="29"/>
      <c r="F4" s="29"/>
      <c r="G4" s="29"/>
      <c r="H4" s="29"/>
      <c r="I4" s="29"/>
      <c r="J4" s="44"/>
      <c r="K4" s="44"/>
      <c r="L4" s="44"/>
      <c r="M4" s="44"/>
      <c r="N4" s="44"/>
      <c r="O4" s="44"/>
      <c r="P4" s="44"/>
      <c r="Q4" s="137"/>
      <c r="R4" s="49"/>
      <c r="S4" s="49"/>
      <c r="T4" s="49"/>
      <c r="U4" s="49"/>
      <c r="V4" s="49"/>
      <c r="W4" s="49"/>
      <c r="X4" s="39"/>
      <c r="Y4" s="49"/>
      <c r="Z4" s="49"/>
      <c r="AA4" s="31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50"/>
      <c r="BI4" s="34"/>
      <c r="BJ4" s="35"/>
      <c r="BK4" s="34"/>
      <c r="BL4" s="41"/>
      <c r="BM4" s="36"/>
      <c r="BN4" s="37"/>
      <c r="BO4" s="34"/>
      <c r="BP4" s="34"/>
      <c r="BQ4" s="34"/>
      <c r="BR4" s="205"/>
      <c r="BS4" s="34"/>
      <c r="BT4" s="37"/>
      <c r="BU4" s="35"/>
      <c r="BV4" s="37"/>
      <c r="BW4" s="37"/>
      <c r="BX4" s="34"/>
      <c r="BY4" s="37"/>
      <c r="BZ4" s="37"/>
      <c r="CA4" s="37"/>
      <c r="CB4" s="37"/>
      <c r="CC4" s="37"/>
      <c r="CD4" s="137"/>
      <c r="CE4" s="37"/>
      <c r="CF4" s="37"/>
      <c r="CG4" s="37"/>
    </row>
    <row r="5" spans="1:85" s="138" customFormat="1" ht="15" customHeight="1">
      <c r="A5" s="43" t="s">
        <v>30</v>
      </c>
      <c r="B5" s="45"/>
      <c r="C5" s="139">
        <v>1</v>
      </c>
      <c r="D5" s="29"/>
      <c r="E5" s="29"/>
      <c r="F5" s="29"/>
      <c r="G5" s="29"/>
      <c r="H5" s="29"/>
      <c r="I5" s="29"/>
      <c r="J5" s="44"/>
      <c r="K5" s="44"/>
      <c r="L5" s="44"/>
      <c r="M5" s="44"/>
      <c r="N5" s="44"/>
      <c r="O5" s="44"/>
      <c r="P5" s="44"/>
      <c r="Q5" s="137"/>
      <c r="R5" s="49"/>
      <c r="S5" s="49"/>
      <c r="T5" s="49"/>
      <c r="U5" s="49"/>
      <c r="V5" s="49"/>
      <c r="W5" s="49"/>
      <c r="X5" s="39"/>
      <c r="Y5" s="49"/>
      <c r="Z5" s="49"/>
      <c r="AA5" s="31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50"/>
      <c r="BI5" s="34"/>
      <c r="BJ5" s="35"/>
      <c r="BK5" s="34"/>
      <c r="BL5" s="41"/>
      <c r="BM5" s="36"/>
      <c r="BN5" s="37"/>
      <c r="BO5" s="34"/>
      <c r="BP5" s="34"/>
      <c r="BQ5" s="34"/>
      <c r="BR5" s="205"/>
      <c r="BS5" s="34"/>
      <c r="BT5" s="37"/>
      <c r="BU5" s="35"/>
      <c r="BV5" s="37"/>
      <c r="BW5" s="37"/>
      <c r="BX5" s="34"/>
      <c r="BY5" s="37"/>
      <c r="BZ5" s="37"/>
      <c r="CA5" s="37"/>
      <c r="CB5" s="37"/>
      <c r="CC5" s="37"/>
      <c r="CD5" s="137"/>
      <c r="CE5" s="37"/>
      <c r="CF5" s="37"/>
      <c r="CG5" s="37"/>
    </row>
    <row r="6" spans="1:85" s="138" customFormat="1" ht="15" customHeight="1">
      <c r="A6" s="43"/>
      <c r="B6" s="45"/>
      <c r="C6" s="139"/>
      <c r="D6" s="29"/>
      <c r="E6" s="29"/>
      <c r="F6" s="29"/>
      <c r="G6" s="29"/>
      <c r="H6" s="29"/>
      <c r="I6" s="29"/>
      <c r="J6" s="44"/>
      <c r="K6" s="44"/>
      <c r="L6" s="44"/>
      <c r="M6" s="44"/>
      <c r="N6" s="44"/>
      <c r="O6" s="44"/>
      <c r="P6" s="44"/>
      <c r="Q6" s="137"/>
      <c r="R6" s="49"/>
      <c r="S6" s="49"/>
      <c r="T6" s="49"/>
      <c r="U6" s="49"/>
      <c r="V6" s="49"/>
      <c r="W6" s="49"/>
      <c r="X6" s="39"/>
      <c r="Y6" s="49"/>
      <c r="Z6" s="49"/>
      <c r="AA6" s="31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50"/>
      <c r="BI6" s="34"/>
      <c r="BJ6" s="35"/>
      <c r="BK6" s="34"/>
      <c r="BL6" s="41"/>
      <c r="BM6" s="36"/>
      <c r="BN6" s="37"/>
      <c r="BO6" s="34"/>
      <c r="BP6" s="34"/>
      <c r="BQ6" s="34"/>
      <c r="BR6" s="205"/>
      <c r="BS6" s="34"/>
      <c r="BT6" s="37"/>
      <c r="BU6" s="35"/>
      <c r="BV6" s="37"/>
      <c r="BW6" s="37"/>
      <c r="BX6" s="34"/>
      <c r="BY6" s="37"/>
      <c r="BZ6" s="37"/>
      <c r="CA6" s="37"/>
      <c r="CB6" s="37"/>
      <c r="CC6" s="37"/>
      <c r="CD6" s="137"/>
      <c r="CE6" s="37"/>
      <c r="CF6" s="37"/>
      <c r="CG6" s="37"/>
    </row>
    <row r="7" spans="1:85" s="138" customFormat="1" ht="15" customHeight="1" thickBot="1">
      <c r="A7" s="43"/>
      <c r="B7" s="45"/>
      <c r="C7" s="139"/>
      <c r="D7" s="29"/>
      <c r="E7" s="29"/>
      <c r="F7" s="29"/>
      <c r="G7" s="29"/>
      <c r="H7" s="29"/>
      <c r="I7" s="29"/>
      <c r="J7" s="44"/>
      <c r="K7" s="44"/>
      <c r="L7" s="44"/>
      <c r="M7" s="44"/>
      <c r="N7" s="44"/>
      <c r="O7" s="44"/>
      <c r="P7" s="44"/>
      <c r="Q7" s="137"/>
      <c r="R7" s="49"/>
      <c r="S7" s="49"/>
      <c r="T7" s="49"/>
      <c r="U7" s="49"/>
      <c r="V7" s="49"/>
      <c r="W7" s="49"/>
      <c r="X7" s="39"/>
      <c r="Y7" s="49"/>
      <c r="Z7" s="49"/>
      <c r="AA7" s="31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50"/>
      <c r="BI7" s="34"/>
      <c r="BJ7" s="35"/>
      <c r="BK7" s="34"/>
      <c r="BL7" s="41"/>
      <c r="BM7" s="36"/>
      <c r="BN7" s="37"/>
      <c r="BO7" s="34"/>
      <c r="BP7" s="34"/>
      <c r="BQ7" s="34"/>
      <c r="BR7" s="205"/>
      <c r="BS7" s="34"/>
      <c r="BT7" s="37"/>
      <c r="BU7" s="35"/>
      <c r="BV7" s="37"/>
      <c r="BW7" s="37"/>
      <c r="BX7" s="34"/>
      <c r="BY7" s="37"/>
      <c r="BZ7" s="37"/>
      <c r="CA7" s="37"/>
      <c r="CB7" s="37"/>
      <c r="CC7" s="37"/>
      <c r="CD7" s="137"/>
      <c r="CE7" s="37"/>
      <c r="CF7" s="37"/>
      <c r="CG7" s="37"/>
    </row>
    <row r="8" spans="1:85" s="138" customFormat="1" ht="15" customHeight="1" thickBot="1">
      <c r="A8" s="140" t="s">
        <v>31</v>
      </c>
      <c r="B8" s="141"/>
      <c r="C8" s="142">
        <v>165.62</v>
      </c>
      <c r="D8" s="29"/>
      <c r="E8" s="29"/>
      <c r="F8" s="29"/>
      <c r="G8" s="29"/>
      <c r="H8" s="29"/>
      <c r="I8" s="29"/>
      <c r="J8" s="44"/>
      <c r="K8" s="44"/>
      <c r="L8" s="44"/>
      <c r="M8" s="44"/>
      <c r="N8" s="44"/>
      <c r="O8" s="44"/>
      <c r="P8" s="44"/>
      <c r="Q8" s="137"/>
      <c r="R8" s="49"/>
      <c r="S8" s="49"/>
      <c r="T8" s="49"/>
      <c r="U8" s="49"/>
      <c r="V8" s="49"/>
      <c r="W8" s="49"/>
      <c r="X8" s="39"/>
      <c r="Y8" s="49"/>
      <c r="Z8" s="49"/>
      <c r="AA8" s="31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50"/>
      <c r="BI8" s="34"/>
      <c r="BJ8" s="35"/>
      <c r="BK8" s="34"/>
      <c r="BL8" s="41"/>
      <c r="BM8" s="36"/>
      <c r="BN8" s="37"/>
      <c r="BO8" s="34"/>
      <c r="BP8" s="34"/>
      <c r="BQ8" s="34"/>
      <c r="BR8" s="205"/>
      <c r="BS8" s="34"/>
      <c r="BT8" s="37"/>
      <c r="BU8" s="35"/>
      <c r="BV8" s="37"/>
      <c r="BW8" s="37"/>
      <c r="BX8" s="34"/>
      <c r="BY8" s="37"/>
      <c r="BZ8" s="37"/>
      <c r="CA8" s="37"/>
      <c r="CB8" s="37"/>
      <c r="CC8" s="37"/>
      <c r="CD8" s="137"/>
      <c r="CE8" s="37"/>
      <c r="CF8" s="37"/>
      <c r="CG8" s="37"/>
    </row>
    <row r="9" spans="1:85" s="138" customFormat="1" ht="15" customHeight="1">
      <c r="A9" s="137"/>
      <c r="B9" s="45"/>
      <c r="C9" s="49"/>
      <c r="D9" s="29"/>
      <c r="E9" s="29"/>
      <c r="F9" s="29"/>
      <c r="G9" s="29"/>
      <c r="H9" s="29"/>
      <c r="I9" s="29"/>
      <c r="J9" s="44"/>
      <c r="K9" s="44"/>
      <c r="L9" s="44"/>
      <c r="M9" s="44"/>
      <c r="N9" s="44"/>
      <c r="O9" s="44"/>
      <c r="P9" s="44"/>
      <c r="Q9" s="137"/>
      <c r="R9" s="143"/>
      <c r="S9" s="143"/>
      <c r="T9" s="143"/>
      <c r="U9" s="143"/>
      <c r="V9" s="143"/>
      <c r="W9" s="143"/>
      <c r="X9" s="144"/>
      <c r="Y9" s="49"/>
      <c r="Z9" s="49"/>
      <c r="AA9" s="31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50"/>
      <c r="BI9" s="34"/>
      <c r="BJ9" s="35"/>
      <c r="BK9" s="34"/>
      <c r="BL9" s="41"/>
      <c r="BM9" s="36"/>
      <c r="BN9" s="37"/>
      <c r="BO9" s="34"/>
      <c r="BP9" s="34"/>
      <c r="BQ9" s="34"/>
      <c r="BR9" s="205"/>
      <c r="BS9" s="34"/>
      <c r="BT9" s="37"/>
      <c r="BU9" s="35"/>
      <c r="BV9" s="37"/>
      <c r="BW9" s="37"/>
      <c r="BX9" s="34"/>
      <c r="BY9" s="37"/>
      <c r="BZ9" s="37"/>
      <c r="CA9" s="37"/>
      <c r="CB9" s="37"/>
      <c r="CC9" s="37"/>
      <c r="CD9" s="137"/>
      <c r="CE9" s="37"/>
      <c r="CF9" s="37"/>
      <c r="CG9" s="37"/>
    </row>
    <row r="10" spans="1:85" s="138" customFormat="1" ht="15" customHeight="1">
      <c r="A10" s="137" t="s">
        <v>388</v>
      </c>
      <c r="B10" s="45"/>
      <c r="C10" s="49">
        <v>0</v>
      </c>
      <c r="D10" s="29"/>
      <c r="E10" s="29"/>
      <c r="F10" s="29"/>
      <c r="G10" s="29"/>
      <c r="H10" s="29"/>
      <c r="I10" s="29"/>
      <c r="J10" s="44"/>
      <c r="K10" s="44"/>
      <c r="L10" s="44"/>
      <c r="M10" s="44"/>
      <c r="N10" s="44"/>
      <c r="O10" s="44"/>
      <c r="P10" s="44"/>
      <c r="Q10" s="137"/>
      <c r="R10" s="143"/>
      <c r="S10" s="143"/>
      <c r="T10" s="143"/>
      <c r="U10" s="143"/>
      <c r="V10" s="143"/>
      <c r="W10" s="143"/>
      <c r="X10" s="144"/>
      <c r="Y10" s="49"/>
      <c r="Z10" s="49"/>
      <c r="AA10" s="31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50"/>
      <c r="BI10" s="34"/>
      <c r="BJ10" s="35"/>
      <c r="BK10" s="34"/>
      <c r="BL10" s="41"/>
      <c r="BM10" s="36"/>
      <c r="BN10" s="37"/>
      <c r="BO10" s="34"/>
      <c r="BP10" s="34"/>
      <c r="BQ10" s="34"/>
      <c r="BR10" s="205"/>
      <c r="BS10" s="34"/>
      <c r="BT10" s="37"/>
      <c r="BU10" s="35"/>
      <c r="BV10" s="37"/>
      <c r="BW10" s="37"/>
      <c r="BX10" s="34"/>
      <c r="BY10" s="37"/>
      <c r="BZ10" s="37"/>
      <c r="CA10" s="37"/>
      <c r="CB10" s="37"/>
      <c r="CC10" s="37"/>
      <c r="CD10" s="137"/>
      <c r="CE10" s="37"/>
      <c r="CF10" s="37"/>
      <c r="CG10" s="37"/>
    </row>
    <row r="11" spans="1:85" s="138" customFormat="1" ht="15" customHeight="1">
      <c r="A11" s="137" t="s">
        <v>32</v>
      </c>
      <c r="B11" s="45"/>
      <c r="C11" s="49">
        <v>0</v>
      </c>
      <c r="D11" s="29"/>
      <c r="E11" s="29"/>
      <c r="F11" s="29"/>
      <c r="G11" s="29"/>
      <c r="H11" s="29"/>
      <c r="I11" s="29"/>
      <c r="J11" s="44"/>
      <c r="K11" s="44"/>
      <c r="L11" s="44"/>
      <c r="M11" s="44"/>
      <c r="N11" s="44"/>
      <c r="O11" s="44"/>
      <c r="P11" s="44"/>
      <c r="Q11" s="137"/>
      <c r="R11" s="145"/>
      <c r="S11" s="145"/>
      <c r="T11" s="145"/>
      <c r="U11" s="145"/>
      <c r="V11" s="145"/>
      <c r="W11" s="145"/>
      <c r="X11" s="144"/>
      <c r="Y11" s="49"/>
      <c r="Z11" s="49"/>
      <c r="AA11" s="31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50"/>
      <c r="BI11" s="34"/>
      <c r="BJ11" s="35"/>
      <c r="BK11" s="34"/>
      <c r="BL11" s="41"/>
      <c r="BM11" s="36"/>
      <c r="BN11" s="37"/>
      <c r="BO11" s="34"/>
      <c r="BP11" s="34"/>
      <c r="BQ11" s="34"/>
      <c r="BR11" s="205"/>
      <c r="BS11" s="34"/>
      <c r="BT11" s="37"/>
      <c r="BU11" s="35"/>
      <c r="BV11" s="37"/>
      <c r="BW11" s="37"/>
      <c r="BX11" s="34"/>
      <c r="BY11" s="37"/>
      <c r="BZ11" s="37"/>
      <c r="CA11" s="37"/>
      <c r="CB11" s="37"/>
      <c r="CC11" s="37"/>
      <c r="CD11" s="137"/>
      <c r="CE11" s="37"/>
      <c r="CF11" s="37"/>
      <c r="CG11" s="37"/>
    </row>
    <row r="12" spans="1:85" s="138" customFormat="1" ht="15" customHeight="1">
      <c r="A12" s="137" t="s">
        <v>33</v>
      </c>
      <c r="B12" s="45"/>
      <c r="C12" s="49">
        <v>17.829999999999998</v>
      </c>
      <c r="D12" s="29"/>
      <c r="E12" s="29"/>
      <c r="F12" s="29"/>
      <c r="G12" s="29"/>
      <c r="H12" s="29"/>
      <c r="I12" s="29"/>
      <c r="J12" s="44"/>
      <c r="K12" s="44"/>
      <c r="L12" s="44"/>
      <c r="M12" s="44"/>
      <c r="N12" s="44"/>
      <c r="O12" s="44"/>
      <c r="P12" s="44"/>
      <c r="Q12" s="137"/>
      <c r="R12" s="145"/>
      <c r="S12" s="145"/>
      <c r="T12" s="145"/>
      <c r="U12" s="145"/>
      <c r="V12" s="145"/>
      <c r="W12" s="145"/>
      <c r="X12" s="144"/>
      <c r="Y12" s="49"/>
      <c r="Z12" s="49"/>
      <c r="AA12" s="31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50"/>
      <c r="BI12" s="34"/>
      <c r="BJ12" s="35"/>
      <c r="BK12" s="34"/>
      <c r="BL12" s="41"/>
      <c r="BM12" s="36"/>
      <c r="BN12" s="37"/>
      <c r="BO12" s="34"/>
      <c r="BP12" s="34"/>
      <c r="BQ12" s="34"/>
      <c r="BR12" s="205"/>
      <c r="BS12" s="34"/>
      <c r="BT12" s="37"/>
      <c r="BU12" s="35"/>
      <c r="BV12" s="37"/>
      <c r="BW12" s="37"/>
      <c r="BX12" s="34"/>
      <c r="BY12" s="37"/>
      <c r="BZ12" s="37"/>
      <c r="CA12" s="37"/>
      <c r="CB12" s="37"/>
      <c r="CC12" s="37"/>
      <c r="CD12" s="137"/>
      <c r="CE12" s="37"/>
      <c r="CF12" s="37"/>
      <c r="CG12" s="37"/>
    </row>
    <row r="13" spans="1:85" s="138" customFormat="1" ht="15" customHeight="1">
      <c r="A13" s="137" t="s">
        <v>34</v>
      </c>
      <c r="B13" s="45"/>
      <c r="C13" s="49">
        <v>147.79000000000002</v>
      </c>
      <c r="D13" s="29"/>
      <c r="E13" s="29"/>
      <c r="F13" s="29"/>
      <c r="G13" s="29"/>
      <c r="H13" s="29"/>
      <c r="I13" s="29"/>
      <c r="J13" s="44"/>
      <c r="K13" s="44"/>
      <c r="L13" s="44"/>
      <c r="M13" s="44"/>
      <c r="N13" s="44"/>
      <c r="O13" s="44"/>
      <c r="P13" s="44"/>
      <c r="Q13" s="137"/>
      <c r="R13" s="143"/>
      <c r="S13" s="143"/>
      <c r="T13" s="143"/>
      <c r="U13" s="143"/>
      <c r="V13" s="143"/>
      <c r="W13" s="143"/>
      <c r="X13" s="144"/>
      <c r="Y13" s="49"/>
      <c r="Z13" s="49"/>
      <c r="AA13" s="31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50"/>
      <c r="BI13" s="34"/>
      <c r="BJ13" s="35"/>
      <c r="BK13" s="34"/>
      <c r="BL13" s="41"/>
      <c r="BM13" s="36"/>
      <c r="BN13" s="37"/>
      <c r="BO13" s="34"/>
      <c r="BP13" s="34"/>
      <c r="BQ13" s="34"/>
      <c r="BR13" s="205"/>
      <c r="BS13" s="34"/>
      <c r="BT13" s="37"/>
      <c r="BU13" s="35"/>
      <c r="BV13" s="37"/>
      <c r="BW13" s="37"/>
      <c r="BX13" s="34"/>
      <c r="BY13" s="37"/>
      <c r="BZ13" s="37"/>
      <c r="CA13" s="37"/>
      <c r="CB13" s="37"/>
      <c r="CC13" s="37"/>
      <c r="CD13" s="137"/>
      <c r="CE13" s="37"/>
      <c r="CF13" s="37"/>
      <c r="CG13" s="37"/>
    </row>
    <row r="14" spans="1:85" s="138" customFormat="1" ht="15" customHeight="1">
      <c r="A14" s="137" t="s">
        <v>35</v>
      </c>
      <c r="B14" s="45"/>
      <c r="C14" s="49">
        <v>0</v>
      </c>
      <c r="D14" s="29"/>
      <c r="E14" s="29"/>
      <c r="F14" s="29"/>
      <c r="G14" s="29"/>
      <c r="H14" s="29"/>
      <c r="I14" s="29"/>
      <c r="J14" s="44"/>
      <c r="K14" s="44"/>
      <c r="L14" s="44"/>
      <c r="M14" s="44"/>
      <c r="N14" s="44"/>
      <c r="O14" s="44"/>
      <c r="P14" s="44"/>
      <c r="Q14" s="137"/>
      <c r="R14" s="49"/>
      <c r="S14" s="49"/>
      <c r="T14" s="49"/>
      <c r="U14" s="49"/>
      <c r="V14" s="49"/>
      <c r="W14" s="49"/>
      <c r="X14" s="39"/>
      <c r="Y14" s="49"/>
      <c r="Z14" s="49"/>
      <c r="AA14" s="31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50"/>
      <c r="BI14" s="34"/>
      <c r="BJ14" s="35"/>
      <c r="BK14" s="34"/>
      <c r="BL14" s="41"/>
      <c r="BM14" s="36"/>
      <c r="BN14" s="37"/>
      <c r="BO14" s="34"/>
      <c r="BP14" s="34"/>
      <c r="BQ14" s="34"/>
      <c r="BR14" s="205"/>
      <c r="BS14" s="34"/>
      <c r="BT14" s="37"/>
      <c r="BU14" s="35"/>
      <c r="BV14" s="37"/>
      <c r="BW14" s="37"/>
      <c r="BX14" s="34"/>
      <c r="BY14" s="37"/>
      <c r="BZ14" s="37"/>
      <c r="CA14" s="37"/>
      <c r="CB14" s="37"/>
      <c r="CC14" s="37"/>
      <c r="CD14" s="137"/>
      <c r="CE14" s="37"/>
      <c r="CF14" s="37"/>
      <c r="CG14" s="37"/>
    </row>
    <row r="15" spans="1:85" s="138" customFormat="1" ht="15" customHeight="1">
      <c r="A15" s="137" t="s">
        <v>36</v>
      </c>
      <c r="B15" s="49"/>
      <c r="C15" s="49">
        <v>0</v>
      </c>
      <c r="D15" s="29"/>
      <c r="E15" s="29"/>
      <c r="F15" s="29"/>
      <c r="G15" s="29"/>
      <c r="H15" s="29"/>
      <c r="I15" s="29"/>
      <c r="J15" s="44"/>
      <c r="K15" s="44"/>
      <c r="L15" s="44"/>
      <c r="M15" s="44"/>
      <c r="N15" s="44"/>
      <c r="O15" s="44"/>
      <c r="P15" s="44"/>
      <c r="Q15" s="137"/>
      <c r="R15" s="49"/>
      <c r="S15" s="49"/>
      <c r="T15" s="49"/>
      <c r="U15" s="49"/>
      <c r="V15" s="49"/>
      <c r="W15" s="49"/>
      <c r="X15" s="39"/>
      <c r="Y15" s="49"/>
      <c r="Z15" s="49"/>
      <c r="AA15" s="31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50"/>
      <c r="BI15" s="34"/>
      <c r="BJ15" s="35"/>
      <c r="BK15" s="34"/>
      <c r="BL15" s="41"/>
      <c r="BM15" s="36"/>
      <c r="BN15" s="37"/>
      <c r="BO15" s="34"/>
      <c r="BP15" s="34"/>
      <c r="BQ15" s="34"/>
      <c r="BR15" s="205"/>
      <c r="BS15" s="34"/>
      <c r="BT15" s="37"/>
      <c r="BU15" s="35"/>
      <c r="BV15" s="37"/>
      <c r="BW15" s="37"/>
      <c r="BX15" s="34"/>
      <c r="BY15" s="37"/>
      <c r="BZ15" s="37"/>
      <c r="CA15" s="37"/>
      <c r="CB15" s="37"/>
      <c r="CC15" s="37"/>
      <c r="CD15" s="137"/>
      <c r="CE15" s="37"/>
      <c r="CF15" s="37"/>
      <c r="CG15" s="37"/>
    </row>
    <row r="16" spans="1:85" s="138" customFormat="1" ht="15" customHeight="1">
      <c r="A16" s="137" t="s">
        <v>37</v>
      </c>
      <c r="B16" s="49"/>
      <c r="C16" s="49">
        <v>0</v>
      </c>
      <c r="D16" s="29"/>
      <c r="E16" s="29"/>
      <c r="F16" s="29"/>
      <c r="G16" s="29"/>
      <c r="H16" s="29"/>
      <c r="I16" s="29"/>
      <c r="J16" s="44"/>
      <c r="K16" s="44"/>
      <c r="L16" s="44"/>
      <c r="M16" s="44"/>
      <c r="N16" s="44"/>
      <c r="O16" s="44"/>
      <c r="P16" s="44"/>
      <c r="Q16" s="137"/>
      <c r="R16" s="49"/>
      <c r="S16" s="49"/>
      <c r="T16" s="49"/>
      <c r="U16" s="49"/>
      <c r="V16" s="49"/>
      <c r="W16" s="49"/>
      <c r="X16" s="39"/>
      <c r="Y16" s="49"/>
      <c r="Z16" s="49"/>
      <c r="AA16" s="31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50"/>
      <c r="BI16" s="34"/>
      <c r="BJ16" s="35"/>
      <c r="BK16" s="34"/>
      <c r="BL16" s="41"/>
      <c r="BM16" s="36"/>
      <c r="BN16" s="37"/>
      <c r="BO16" s="34"/>
      <c r="BP16" s="34"/>
      <c r="BQ16" s="34"/>
      <c r="BR16" s="205"/>
      <c r="BS16" s="34"/>
      <c r="BT16" s="37"/>
      <c r="BU16" s="35"/>
      <c r="BV16" s="37"/>
      <c r="BW16" s="37"/>
      <c r="BX16" s="34"/>
      <c r="BY16" s="37"/>
      <c r="BZ16" s="37"/>
      <c r="CA16" s="37"/>
      <c r="CB16" s="37"/>
      <c r="CC16" s="37"/>
      <c r="CD16" s="137"/>
      <c r="CE16" s="37"/>
      <c r="CF16" s="37"/>
      <c r="CG16" s="37"/>
    </row>
    <row r="17" spans="1:85" s="138" customFormat="1" ht="15" customHeight="1">
      <c r="A17" s="137" t="s">
        <v>38</v>
      </c>
      <c r="B17" s="49"/>
      <c r="C17" s="49">
        <v>0</v>
      </c>
      <c r="D17" s="29"/>
      <c r="E17" s="29"/>
      <c r="F17" s="29"/>
      <c r="G17" s="29"/>
      <c r="H17" s="29"/>
      <c r="I17" s="29"/>
      <c r="J17" s="44"/>
      <c r="K17" s="44"/>
      <c r="L17" s="44"/>
      <c r="M17" s="44"/>
      <c r="N17" s="44"/>
      <c r="O17" s="44"/>
      <c r="P17" s="44"/>
      <c r="Q17" s="137"/>
      <c r="R17" s="49"/>
      <c r="S17" s="49"/>
      <c r="T17" s="49"/>
      <c r="U17" s="49"/>
      <c r="V17" s="49"/>
      <c r="W17" s="49"/>
      <c r="X17" s="39"/>
      <c r="Y17" s="49"/>
      <c r="Z17" s="49"/>
      <c r="AA17" s="31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50"/>
      <c r="BI17" s="34"/>
      <c r="BJ17" s="35"/>
      <c r="BK17" s="34"/>
      <c r="BL17" s="41"/>
      <c r="BM17" s="36"/>
      <c r="BN17" s="37"/>
      <c r="BO17" s="34"/>
      <c r="BP17" s="34"/>
      <c r="BQ17" s="34"/>
      <c r="BR17" s="205"/>
      <c r="BS17" s="34"/>
      <c r="BT17" s="37"/>
      <c r="BU17" s="35"/>
      <c r="BV17" s="37"/>
      <c r="BW17" s="37"/>
      <c r="BX17" s="34"/>
      <c r="BY17" s="37"/>
      <c r="BZ17" s="37"/>
      <c r="CA17" s="37"/>
      <c r="CB17" s="37"/>
      <c r="CC17" s="37"/>
      <c r="CD17" s="137"/>
      <c r="CE17" s="37"/>
      <c r="CF17" s="37"/>
      <c r="CG17" s="37"/>
    </row>
    <row r="18" spans="1:85" s="138" customFormat="1" ht="15" customHeight="1">
      <c r="A18" s="137" t="s">
        <v>39</v>
      </c>
      <c r="B18" s="49"/>
      <c r="C18" s="49">
        <v>0</v>
      </c>
      <c r="D18" s="29"/>
      <c r="E18" s="29"/>
      <c r="F18" s="29"/>
      <c r="G18" s="29"/>
      <c r="H18" s="29"/>
      <c r="I18" s="29"/>
      <c r="J18" s="44"/>
      <c r="K18" s="44"/>
      <c r="L18" s="44"/>
      <c r="M18" s="44"/>
      <c r="N18" s="44"/>
      <c r="O18" s="44"/>
      <c r="P18" s="44"/>
      <c r="Q18" s="137"/>
      <c r="R18" s="49"/>
      <c r="S18" s="49"/>
      <c r="T18" s="49"/>
      <c r="U18" s="49"/>
      <c r="V18" s="49"/>
      <c r="W18" s="49"/>
      <c r="X18" s="39"/>
      <c r="Y18" s="49"/>
      <c r="Z18" s="49"/>
      <c r="AA18" s="31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50"/>
      <c r="BI18" s="34"/>
      <c r="BJ18" s="35"/>
      <c r="BK18" s="34"/>
      <c r="BL18" s="41"/>
      <c r="BM18" s="36"/>
      <c r="BN18" s="37"/>
      <c r="BO18" s="34"/>
      <c r="BP18" s="34"/>
      <c r="BQ18" s="34"/>
      <c r="BR18" s="205"/>
      <c r="BS18" s="34"/>
      <c r="BT18" s="37"/>
      <c r="BU18" s="35"/>
      <c r="BV18" s="37"/>
      <c r="BW18" s="37"/>
      <c r="BX18" s="34"/>
      <c r="BY18" s="37"/>
      <c r="BZ18" s="37"/>
      <c r="CA18" s="37"/>
      <c r="CB18" s="37"/>
      <c r="CC18" s="37"/>
      <c r="CD18" s="137"/>
      <c r="CE18" s="37"/>
      <c r="CF18" s="37"/>
      <c r="CG18" s="37"/>
    </row>
    <row r="19" spans="1:85" s="138" customFormat="1" ht="15" customHeight="1">
      <c r="A19" s="137" t="s">
        <v>40</v>
      </c>
      <c r="B19" s="49"/>
      <c r="C19" s="49">
        <v>0</v>
      </c>
      <c r="D19" s="29"/>
      <c r="E19" s="29"/>
      <c r="F19" s="29"/>
      <c r="G19" s="29"/>
      <c r="H19" s="29"/>
      <c r="I19" s="29"/>
      <c r="J19" s="44"/>
      <c r="K19" s="44"/>
      <c r="L19" s="44"/>
      <c r="M19" s="44"/>
      <c r="N19" s="44"/>
      <c r="O19" s="44"/>
      <c r="P19" s="44"/>
      <c r="Q19" s="137"/>
      <c r="R19" s="49"/>
      <c r="S19" s="49"/>
      <c r="T19" s="49"/>
      <c r="U19" s="49"/>
      <c r="V19" s="49"/>
      <c r="W19" s="49"/>
      <c r="X19" s="39"/>
      <c r="Y19" s="49"/>
      <c r="Z19" s="49"/>
      <c r="AA19" s="31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50"/>
      <c r="BI19" s="34"/>
      <c r="BJ19" s="35"/>
      <c r="BK19" s="34"/>
      <c r="BL19" s="41"/>
      <c r="BM19" s="36"/>
      <c r="BN19" s="37"/>
      <c r="BO19" s="34"/>
      <c r="BP19" s="34"/>
      <c r="BQ19" s="34"/>
      <c r="BR19" s="205"/>
      <c r="BS19" s="34"/>
      <c r="BT19" s="37"/>
      <c r="BU19" s="35"/>
      <c r="BV19" s="37"/>
      <c r="BW19" s="37"/>
      <c r="BX19" s="34"/>
      <c r="BY19" s="37"/>
      <c r="BZ19" s="37"/>
      <c r="CA19" s="37"/>
      <c r="CB19" s="37"/>
      <c r="CC19" s="37"/>
      <c r="CD19" s="137"/>
      <c r="CE19" s="37"/>
      <c r="CF19" s="37"/>
      <c r="CG19" s="37"/>
    </row>
    <row r="20" spans="1:85" s="138" customFormat="1" ht="15" customHeight="1">
      <c r="A20" s="137" t="s">
        <v>41</v>
      </c>
      <c r="B20" s="49"/>
      <c r="C20" s="49">
        <v>0</v>
      </c>
      <c r="D20" s="29"/>
      <c r="E20" s="29"/>
      <c r="F20" s="29"/>
      <c r="G20" s="29"/>
      <c r="H20" s="29"/>
      <c r="I20" s="29"/>
      <c r="J20" s="44"/>
      <c r="K20" s="44"/>
      <c r="L20" s="44"/>
      <c r="M20" s="44"/>
      <c r="N20" s="44"/>
      <c r="O20" s="44"/>
      <c r="P20" s="44"/>
      <c r="Q20" s="137"/>
      <c r="R20" s="49"/>
      <c r="S20" s="49"/>
      <c r="T20" s="49"/>
      <c r="U20" s="49"/>
      <c r="V20" s="49"/>
      <c r="W20" s="49"/>
      <c r="X20" s="39"/>
      <c r="Y20" s="49"/>
      <c r="Z20" s="49"/>
      <c r="AA20" s="31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50"/>
      <c r="BI20" s="34"/>
      <c r="BJ20" s="35"/>
      <c r="BK20" s="34"/>
      <c r="BL20" s="41"/>
      <c r="BM20" s="36"/>
      <c r="BN20" s="37"/>
      <c r="BO20" s="34"/>
      <c r="BP20" s="34"/>
      <c r="BQ20" s="34"/>
      <c r="BR20" s="205"/>
      <c r="BS20" s="34"/>
      <c r="BT20" s="37"/>
      <c r="BU20" s="35"/>
      <c r="BV20" s="37"/>
      <c r="BW20" s="37"/>
      <c r="BX20" s="34"/>
      <c r="BY20" s="37"/>
      <c r="BZ20" s="37"/>
      <c r="CA20" s="37"/>
      <c r="CB20" s="37"/>
      <c r="CC20" s="37"/>
      <c r="CD20" s="137"/>
      <c r="CE20" s="37"/>
      <c r="CF20" s="37"/>
      <c r="CG20" s="37"/>
    </row>
    <row r="21" spans="1:85" s="138" customFormat="1" ht="15" customHeight="1">
      <c r="A21" s="137" t="s">
        <v>42</v>
      </c>
      <c r="B21" s="49"/>
      <c r="C21" s="49">
        <v>0</v>
      </c>
      <c r="D21" s="29"/>
      <c r="E21" s="29"/>
      <c r="F21" s="29"/>
      <c r="G21" s="29"/>
      <c r="H21" s="29"/>
      <c r="I21" s="29"/>
      <c r="J21" s="44"/>
      <c r="K21" s="44"/>
      <c r="L21" s="44"/>
      <c r="M21" s="44"/>
      <c r="N21" s="44"/>
      <c r="O21" s="44"/>
      <c r="P21" s="44"/>
      <c r="Q21" s="137"/>
      <c r="R21" s="49"/>
      <c r="S21" s="49"/>
      <c r="T21" s="49"/>
      <c r="U21" s="49"/>
      <c r="V21" s="49"/>
      <c r="W21" s="49"/>
      <c r="X21" s="39"/>
      <c r="Y21" s="49"/>
      <c r="Z21" s="49"/>
      <c r="AA21" s="31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50"/>
      <c r="BI21" s="34"/>
      <c r="BJ21" s="35"/>
      <c r="BK21" s="34"/>
      <c r="BL21" s="41"/>
      <c r="BM21" s="36"/>
      <c r="BN21" s="37"/>
      <c r="BO21" s="34"/>
      <c r="BP21" s="34"/>
      <c r="BQ21" s="34"/>
      <c r="BR21" s="205"/>
      <c r="BS21" s="34"/>
      <c r="BT21" s="37"/>
      <c r="BU21" s="35"/>
      <c r="BV21" s="37"/>
      <c r="BW21" s="37"/>
      <c r="BX21" s="34"/>
      <c r="BY21" s="37"/>
      <c r="BZ21" s="37"/>
      <c r="CA21" s="37"/>
      <c r="CB21" s="37"/>
      <c r="CC21" s="37"/>
      <c r="CD21" s="137"/>
      <c r="CE21" s="37"/>
      <c r="CF21" s="37"/>
      <c r="CG21" s="37"/>
    </row>
    <row r="22" spans="1:85" s="138" customFormat="1" ht="15" customHeight="1">
      <c r="A22" s="137" t="s">
        <v>389</v>
      </c>
      <c r="B22" s="49"/>
      <c r="C22" s="49">
        <v>0</v>
      </c>
      <c r="D22" s="29"/>
      <c r="E22" s="29"/>
      <c r="F22" s="29"/>
      <c r="G22" s="29"/>
      <c r="H22" s="29"/>
      <c r="I22" s="29"/>
      <c r="J22" s="44"/>
      <c r="K22" s="44"/>
      <c r="L22" s="44"/>
      <c r="M22" s="44"/>
      <c r="N22" s="44"/>
      <c r="O22" s="44"/>
      <c r="P22" s="44"/>
      <c r="Q22" s="137"/>
      <c r="R22" s="49"/>
      <c r="S22" s="49"/>
      <c r="T22" s="49"/>
      <c r="U22" s="49"/>
      <c r="V22" s="49"/>
      <c r="W22" s="49"/>
      <c r="X22" s="39"/>
      <c r="Y22" s="49"/>
      <c r="Z22" s="49"/>
      <c r="AA22" s="31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50"/>
      <c r="BI22" s="34"/>
      <c r="BJ22" s="35"/>
      <c r="BK22" s="34"/>
      <c r="BL22" s="41"/>
      <c r="BM22" s="36"/>
      <c r="BN22" s="37"/>
      <c r="BO22" s="34"/>
      <c r="BP22" s="34"/>
      <c r="BQ22" s="34"/>
      <c r="BR22" s="205"/>
      <c r="BS22" s="34"/>
      <c r="BT22" s="37"/>
      <c r="BU22" s="35"/>
      <c r="BV22" s="37"/>
      <c r="BW22" s="37"/>
      <c r="BX22" s="34"/>
      <c r="BY22" s="37"/>
      <c r="BZ22" s="37"/>
      <c r="CA22" s="37"/>
      <c r="CB22" s="37"/>
      <c r="CC22" s="37"/>
      <c r="CD22" s="137"/>
      <c r="CE22" s="37"/>
      <c r="CF22" s="37"/>
      <c r="CG22" s="37"/>
    </row>
    <row r="23" spans="1:85" s="138" customFormat="1" ht="15" customHeight="1">
      <c r="A23" s="137" t="s">
        <v>390</v>
      </c>
      <c r="B23" s="49"/>
      <c r="C23" s="49">
        <v>0</v>
      </c>
      <c r="D23" s="29"/>
      <c r="E23" s="29"/>
      <c r="F23" s="29"/>
      <c r="G23" s="29"/>
      <c r="H23" s="29"/>
      <c r="I23" s="29"/>
      <c r="J23" s="44"/>
      <c r="K23" s="44"/>
      <c r="L23" s="44"/>
      <c r="M23" s="44"/>
      <c r="N23" s="44"/>
      <c r="O23" s="44"/>
      <c r="P23" s="44"/>
      <c r="Q23" s="137"/>
      <c r="R23" s="49"/>
      <c r="S23" s="49"/>
      <c r="T23" s="49"/>
      <c r="U23" s="49"/>
      <c r="V23" s="49"/>
      <c r="W23" s="49"/>
      <c r="X23" s="39"/>
      <c r="Y23" s="49"/>
      <c r="Z23" s="49"/>
      <c r="AA23" s="31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50"/>
      <c r="BI23" s="34"/>
      <c r="BJ23" s="35"/>
      <c r="BK23" s="34"/>
      <c r="BL23" s="41"/>
      <c r="BM23" s="36"/>
      <c r="BN23" s="37"/>
      <c r="BO23" s="34"/>
      <c r="BP23" s="34"/>
      <c r="BQ23" s="34"/>
      <c r="BR23" s="205"/>
      <c r="BS23" s="34"/>
      <c r="BT23" s="37"/>
      <c r="BU23" s="35"/>
      <c r="BV23" s="37"/>
      <c r="BW23" s="37"/>
      <c r="BX23" s="34"/>
      <c r="BY23" s="37"/>
      <c r="BZ23" s="37"/>
      <c r="CA23" s="37"/>
      <c r="CB23" s="37"/>
      <c r="CC23" s="37"/>
      <c r="CD23" s="137"/>
      <c r="CE23" s="37"/>
      <c r="CF23" s="37"/>
      <c r="CG23" s="37"/>
    </row>
    <row r="24" spans="1:85" s="138" customFormat="1" ht="15" customHeight="1">
      <c r="A24" s="43"/>
      <c r="B24" s="45"/>
      <c r="C24" s="139"/>
      <c r="D24" s="29"/>
      <c r="E24" s="29"/>
      <c r="F24" s="29"/>
      <c r="G24" s="29"/>
      <c r="H24" s="29"/>
      <c r="I24" s="29"/>
      <c r="J24" s="44"/>
      <c r="K24" s="44"/>
      <c r="L24" s="44"/>
      <c r="M24" s="44"/>
      <c r="N24" s="44"/>
      <c r="O24" s="44"/>
      <c r="P24" s="44"/>
      <c r="Q24" s="137"/>
      <c r="R24" s="49"/>
      <c r="S24" s="49"/>
      <c r="T24" s="49"/>
      <c r="U24" s="49"/>
      <c r="V24" s="49"/>
      <c r="W24" s="49"/>
      <c r="X24" s="39"/>
      <c r="Y24" s="49"/>
      <c r="Z24" s="49"/>
      <c r="AA24" s="31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50"/>
      <c r="BI24" s="34"/>
      <c r="BJ24" s="35"/>
      <c r="BK24" s="34"/>
      <c r="BL24" s="41"/>
      <c r="BM24" s="36"/>
      <c r="BN24" s="37"/>
      <c r="BO24" s="34"/>
      <c r="BP24" s="34"/>
      <c r="BQ24" s="34"/>
      <c r="BR24" s="205"/>
      <c r="BS24" s="34"/>
      <c r="BT24" s="37"/>
      <c r="BU24" s="35"/>
      <c r="BV24" s="37"/>
      <c r="BW24" s="37"/>
      <c r="BX24" s="34"/>
      <c r="BY24" s="37"/>
      <c r="BZ24" s="37"/>
      <c r="CA24" s="37"/>
      <c r="CB24" s="37"/>
      <c r="CC24" s="37"/>
      <c r="CD24" s="137"/>
      <c r="CE24" s="37"/>
      <c r="CF24" s="37"/>
      <c r="CG24" s="37"/>
    </row>
    <row r="25" spans="1:85" s="138" customFormat="1" ht="15" customHeight="1" thickBot="1">
      <c r="A25" s="29"/>
      <c r="B25" s="29"/>
      <c r="C25" s="31"/>
      <c r="D25" s="29"/>
      <c r="E25" s="29"/>
      <c r="F25" s="29"/>
      <c r="G25" s="29"/>
      <c r="H25" s="29"/>
      <c r="I25" s="29"/>
      <c r="J25" s="44"/>
      <c r="K25" s="44"/>
      <c r="L25" s="44"/>
      <c r="M25" s="44"/>
      <c r="N25" s="44"/>
      <c r="O25" s="44"/>
      <c r="P25" s="44"/>
      <c r="Q25" s="49"/>
      <c r="R25" s="49"/>
      <c r="S25" s="49"/>
      <c r="T25" s="49"/>
      <c r="U25" s="49"/>
      <c r="V25" s="49"/>
      <c r="W25" s="49"/>
      <c r="X25" s="39"/>
      <c r="Y25" s="49"/>
      <c r="Z25" s="49"/>
      <c r="AA25" s="31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3"/>
      <c r="BI25" s="34"/>
      <c r="BJ25" s="35"/>
      <c r="BK25" s="34"/>
      <c r="BL25" s="41"/>
      <c r="BM25" s="36"/>
      <c r="BN25" s="37"/>
      <c r="BO25" s="34"/>
      <c r="BP25" s="34"/>
      <c r="BQ25" s="34"/>
      <c r="BR25" s="205"/>
      <c r="BS25" s="34"/>
      <c r="BT25" s="37"/>
      <c r="BU25" s="35"/>
      <c r="BV25" s="37"/>
      <c r="BW25" s="37"/>
      <c r="BX25" s="34"/>
      <c r="BY25" s="37"/>
      <c r="BZ25" s="37"/>
      <c r="CA25" s="37"/>
      <c r="CB25" s="37"/>
      <c r="CC25" s="37"/>
      <c r="CD25" s="137"/>
      <c r="CE25" s="37"/>
      <c r="CF25" s="37"/>
      <c r="CG25" s="37"/>
    </row>
    <row r="26" spans="1:85" s="138" customFormat="1" ht="30" customHeight="1" thickBot="1">
      <c r="A26" s="146" t="s">
        <v>43</v>
      </c>
      <c r="B26" s="147" t="s">
        <v>44</v>
      </c>
      <c r="C26" s="148" t="s">
        <v>45</v>
      </c>
      <c r="D26" s="149" t="s">
        <v>46</v>
      </c>
      <c r="E26" s="149" t="s">
        <v>47</v>
      </c>
      <c r="F26" s="149" t="s">
        <v>48</v>
      </c>
      <c r="G26" s="149" t="s">
        <v>49</v>
      </c>
      <c r="H26" s="150" t="s">
        <v>50</v>
      </c>
      <c r="I26" s="150" t="s">
        <v>51</v>
      </c>
      <c r="J26" s="151" t="s">
        <v>52</v>
      </c>
      <c r="K26" s="151" t="s">
        <v>53</v>
      </c>
      <c r="L26" s="151" t="s">
        <v>54</v>
      </c>
      <c r="M26" s="151" t="s">
        <v>55</v>
      </c>
      <c r="N26" s="151" t="s">
        <v>56</v>
      </c>
      <c r="O26" s="151" t="s">
        <v>57</v>
      </c>
      <c r="P26" s="150" t="s">
        <v>58</v>
      </c>
      <c r="Q26" s="149" t="s">
        <v>59</v>
      </c>
      <c r="R26" s="152" t="s">
        <v>60</v>
      </c>
      <c r="S26" s="152" t="s">
        <v>61</v>
      </c>
      <c r="T26" s="152" t="s">
        <v>62</v>
      </c>
      <c r="U26" s="152" t="s">
        <v>63</v>
      </c>
      <c r="V26" s="152" t="s">
        <v>64</v>
      </c>
      <c r="W26" s="152" t="s">
        <v>65</v>
      </c>
      <c r="X26" s="153" t="s">
        <v>66</v>
      </c>
      <c r="Y26" s="154" t="s">
        <v>67</v>
      </c>
      <c r="Z26" s="150" t="s">
        <v>68</v>
      </c>
      <c r="AA26" s="150" t="s">
        <v>69</v>
      </c>
      <c r="AB26" s="154" t="s">
        <v>70</v>
      </c>
      <c r="AC26" s="154"/>
      <c r="AD26" s="154" t="s">
        <v>52</v>
      </c>
      <c r="AE26" s="154" t="s">
        <v>71</v>
      </c>
      <c r="AF26" s="154" t="s">
        <v>72</v>
      </c>
      <c r="AG26" s="154" t="s">
        <v>73</v>
      </c>
      <c r="AH26" s="154" t="s">
        <v>74</v>
      </c>
      <c r="AI26" s="154" t="s">
        <v>75</v>
      </c>
      <c r="AJ26" s="155" t="s">
        <v>76</v>
      </c>
      <c r="AK26" s="156" t="s">
        <v>77</v>
      </c>
      <c r="AL26" s="392" t="s">
        <v>391</v>
      </c>
      <c r="AM26" s="159" t="s">
        <v>79</v>
      </c>
      <c r="AN26" s="159" t="s">
        <v>79</v>
      </c>
      <c r="AO26" s="159" t="s">
        <v>80</v>
      </c>
      <c r="AP26" s="159" t="s">
        <v>80</v>
      </c>
      <c r="AQ26" s="159" t="s">
        <v>81</v>
      </c>
      <c r="AR26" s="159" t="s">
        <v>81</v>
      </c>
      <c r="AS26" s="159" t="s">
        <v>82</v>
      </c>
      <c r="AT26" s="159" t="s">
        <v>82</v>
      </c>
      <c r="AU26" s="159" t="s">
        <v>83</v>
      </c>
      <c r="AV26" s="159" t="s">
        <v>83</v>
      </c>
      <c r="AW26" s="159" t="s">
        <v>84</v>
      </c>
      <c r="AX26" s="159" t="s">
        <v>84</v>
      </c>
      <c r="AY26" s="159" t="s">
        <v>85</v>
      </c>
      <c r="AZ26" s="159" t="s">
        <v>85</v>
      </c>
      <c r="BA26" s="159" t="s">
        <v>146</v>
      </c>
      <c r="BB26" s="159" t="s">
        <v>146</v>
      </c>
      <c r="BC26" s="159" t="s">
        <v>147</v>
      </c>
      <c r="BD26" s="159" t="s">
        <v>147</v>
      </c>
      <c r="BE26" s="159" t="s">
        <v>148</v>
      </c>
      <c r="BF26" s="159" t="s">
        <v>148</v>
      </c>
      <c r="BG26" s="156" t="s">
        <v>88</v>
      </c>
      <c r="BH26" s="157" t="s">
        <v>89</v>
      </c>
      <c r="BI26" s="158" t="s">
        <v>90</v>
      </c>
      <c r="BJ26" s="159" t="s">
        <v>91</v>
      </c>
      <c r="BK26" s="160" t="s">
        <v>92</v>
      </c>
      <c r="BL26" s="161" t="s">
        <v>93</v>
      </c>
      <c r="BM26" s="162" t="s">
        <v>94</v>
      </c>
      <c r="BN26" s="163" t="s">
        <v>95</v>
      </c>
      <c r="BO26" s="162" t="s">
        <v>96</v>
      </c>
      <c r="BP26" s="162" t="s">
        <v>97</v>
      </c>
      <c r="BQ26" s="162" t="s">
        <v>98</v>
      </c>
      <c r="BR26" s="206" t="s">
        <v>99</v>
      </c>
      <c r="BS26" s="162" t="s">
        <v>100</v>
      </c>
      <c r="BT26" s="162" t="s">
        <v>8</v>
      </c>
      <c r="BU26" s="154" t="s">
        <v>101</v>
      </c>
      <c r="BV26" s="151" t="s">
        <v>102</v>
      </c>
      <c r="BW26" s="150" t="s">
        <v>103</v>
      </c>
      <c r="BX26" s="162" t="s">
        <v>104</v>
      </c>
      <c r="BY26" s="162" t="s">
        <v>105</v>
      </c>
      <c r="BZ26" s="150" t="s">
        <v>106</v>
      </c>
      <c r="CA26" s="150"/>
      <c r="CB26" s="150"/>
      <c r="CC26" s="154" t="s">
        <v>107</v>
      </c>
      <c r="CD26" s="150" t="s">
        <v>108</v>
      </c>
      <c r="CE26" s="154" t="s">
        <v>109</v>
      </c>
      <c r="CF26" s="164" t="s">
        <v>151</v>
      </c>
      <c r="CG26" s="165"/>
    </row>
    <row r="27" spans="1:85" s="138" customFormat="1" ht="15" customHeight="1">
      <c r="A27" s="48" t="s">
        <v>222</v>
      </c>
      <c r="B27" s="29" t="s">
        <v>111</v>
      </c>
      <c r="C27" s="168">
        <v>45505</v>
      </c>
      <c r="D27" s="48" t="s">
        <v>179</v>
      </c>
      <c r="E27" s="29" t="s">
        <v>113</v>
      </c>
      <c r="F27" s="48" t="s">
        <v>114</v>
      </c>
      <c r="G27" s="48" t="s">
        <v>153</v>
      </c>
      <c r="H27" s="48" t="s">
        <v>116</v>
      </c>
      <c r="I27" s="48" t="s">
        <v>223</v>
      </c>
      <c r="J27" s="170" t="s">
        <v>116</v>
      </c>
      <c r="K27" s="170" t="b">
        <v>0</v>
      </c>
      <c r="L27" s="170" t="s">
        <v>116</v>
      </c>
      <c r="M27" s="170" t="s">
        <v>116</v>
      </c>
      <c r="N27" s="170" t="s">
        <v>116</v>
      </c>
      <c r="O27" s="170" t="s">
        <v>118</v>
      </c>
      <c r="P27" s="48" t="s">
        <v>224</v>
      </c>
      <c r="Q27" s="48" t="s">
        <v>225</v>
      </c>
      <c r="R27" s="170" t="s">
        <v>116</v>
      </c>
      <c r="S27" s="170" t="s">
        <v>116</v>
      </c>
      <c r="T27" s="170" t="s">
        <v>116</v>
      </c>
      <c r="U27" s="170" t="s">
        <v>116</v>
      </c>
      <c r="V27" s="170" t="s">
        <v>116</v>
      </c>
      <c r="W27" s="170" t="s">
        <v>116</v>
      </c>
      <c r="X27" s="173" t="s">
        <v>226</v>
      </c>
      <c r="Y27" s="167">
        <v>114.82</v>
      </c>
      <c r="Z27" s="48" t="s">
        <v>123</v>
      </c>
      <c r="AA27" s="48">
        <v>1</v>
      </c>
      <c r="AB27" s="174">
        <v>0</v>
      </c>
      <c r="AC27" s="174"/>
      <c r="AD27" s="174">
        <v>0</v>
      </c>
      <c r="AE27" s="174">
        <v>0</v>
      </c>
      <c r="AF27" s="174">
        <v>0</v>
      </c>
      <c r="AG27" s="174">
        <v>0</v>
      </c>
      <c r="AH27" s="174">
        <v>0</v>
      </c>
      <c r="AI27" s="174">
        <v>0</v>
      </c>
      <c r="AJ27" s="174">
        <v>1.1499999999999999</v>
      </c>
      <c r="AK27" s="174">
        <v>27.56</v>
      </c>
      <c r="AL27" s="174">
        <v>0</v>
      </c>
      <c r="AM27" s="174">
        <v>0</v>
      </c>
      <c r="AN27" s="174">
        <v>0</v>
      </c>
      <c r="AO27" s="174">
        <v>0</v>
      </c>
      <c r="AP27" s="174">
        <v>0</v>
      </c>
      <c r="AQ27" s="174">
        <v>0</v>
      </c>
      <c r="AR27" s="174">
        <v>0</v>
      </c>
      <c r="AS27" s="174">
        <v>0</v>
      </c>
      <c r="AT27" s="174">
        <v>0</v>
      </c>
      <c r="AU27" s="174">
        <v>0</v>
      </c>
      <c r="AV27" s="174">
        <v>0</v>
      </c>
      <c r="AW27" s="174">
        <v>0</v>
      </c>
      <c r="AX27" s="174">
        <v>0</v>
      </c>
      <c r="AY27" s="174">
        <v>0</v>
      </c>
      <c r="AZ27" s="174">
        <v>0</v>
      </c>
      <c r="BA27" s="174">
        <v>0</v>
      </c>
      <c r="BB27" s="174">
        <v>0</v>
      </c>
      <c r="BC27" s="174">
        <v>0</v>
      </c>
      <c r="BD27" s="174">
        <v>0</v>
      </c>
      <c r="BE27" s="174">
        <v>0</v>
      </c>
      <c r="BF27" s="174">
        <v>0</v>
      </c>
      <c r="BG27" s="174">
        <f>SUM(AJ27,AK27)</f>
        <v>28.709999999999997</v>
      </c>
      <c r="BH27" s="175" t="s">
        <v>227</v>
      </c>
      <c r="BI27" s="166">
        <v>46011</v>
      </c>
      <c r="BJ27" s="167">
        <v>504.9</v>
      </c>
      <c r="BK27" s="168"/>
      <c r="BL27" s="56"/>
      <c r="BM27" s="168" t="s">
        <v>224</v>
      </c>
      <c r="BN27" s="169" t="s">
        <v>386</v>
      </c>
      <c r="BO27" s="168"/>
      <c r="BP27" s="168"/>
      <c r="BQ27" s="168"/>
      <c r="BR27" s="207"/>
      <c r="BS27" s="168"/>
      <c r="BT27" s="168"/>
      <c r="BU27" s="167"/>
      <c r="BV27" s="170"/>
      <c r="BW27" s="48"/>
      <c r="BX27" s="168"/>
      <c r="BY27" s="168"/>
      <c r="BZ27" s="48"/>
      <c r="CA27" s="48"/>
      <c r="CB27" s="48"/>
      <c r="CC27" s="167"/>
      <c r="CD27" s="137"/>
      <c r="CE27" s="171"/>
      <c r="CF27" s="172" t="s">
        <v>157</v>
      </c>
      <c r="CG27" s="165"/>
    </row>
    <row r="28" spans="1:85" s="138" customFormat="1" ht="15" customHeight="1">
      <c r="A28" s="48" t="s">
        <v>228</v>
      </c>
      <c r="B28" s="29" t="s">
        <v>111</v>
      </c>
      <c r="C28" s="168">
        <v>45658</v>
      </c>
      <c r="D28" s="48" t="s">
        <v>179</v>
      </c>
      <c r="E28" s="29" t="s">
        <v>113</v>
      </c>
      <c r="F28" s="48" t="s">
        <v>114</v>
      </c>
      <c r="G28" s="48" t="s">
        <v>229</v>
      </c>
      <c r="H28" s="48" t="s">
        <v>116</v>
      </c>
      <c r="I28" s="48" t="s">
        <v>214</v>
      </c>
      <c r="J28" s="170" t="s">
        <v>116</v>
      </c>
      <c r="K28" s="170" t="b">
        <v>0</v>
      </c>
      <c r="L28" s="170" t="s">
        <v>116</v>
      </c>
      <c r="M28" s="170" t="s">
        <v>116</v>
      </c>
      <c r="N28" s="170" t="s">
        <v>116</v>
      </c>
      <c r="O28" s="170" t="s">
        <v>118</v>
      </c>
      <c r="P28" s="48" t="s">
        <v>224</v>
      </c>
      <c r="Q28" s="48" t="s">
        <v>225</v>
      </c>
      <c r="R28" s="170" t="s">
        <v>116</v>
      </c>
      <c r="S28" s="170" t="s">
        <v>116</v>
      </c>
      <c r="T28" s="170" t="s">
        <v>116</v>
      </c>
      <c r="U28" s="170" t="s">
        <v>116</v>
      </c>
      <c r="V28" s="170" t="s">
        <v>116</v>
      </c>
      <c r="W28" s="170" t="s">
        <v>116</v>
      </c>
      <c r="X28" s="173" t="s">
        <v>230</v>
      </c>
      <c r="Y28" s="167">
        <v>105.92</v>
      </c>
      <c r="Z28" s="48" t="s">
        <v>123</v>
      </c>
      <c r="AA28" s="48">
        <v>1</v>
      </c>
      <c r="AB28" s="174">
        <v>0</v>
      </c>
      <c r="AC28" s="174"/>
      <c r="AD28" s="174">
        <v>0</v>
      </c>
      <c r="AE28" s="174">
        <v>0</v>
      </c>
      <c r="AF28" s="174">
        <v>0</v>
      </c>
      <c r="AG28" s="174">
        <v>0</v>
      </c>
      <c r="AH28" s="174">
        <v>0</v>
      </c>
      <c r="AI28" s="174">
        <v>0</v>
      </c>
      <c r="AJ28" s="174">
        <v>2.12</v>
      </c>
      <c r="AK28" s="174">
        <v>0</v>
      </c>
      <c r="AL28" s="174">
        <v>0</v>
      </c>
      <c r="AM28" s="174">
        <v>0</v>
      </c>
      <c r="AN28" s="174">
        <v>0</v>
      </c>
      <c r="AO28" s="174">
        <v>0</v>
      </c>
      <c r="AP28" s="174">
        <v>0</v>
      </c>
      <c r="AQ28" s="174">
        <v>0</v>
      </c>
      <c r="AR28" s="174">
        <v>0</v>
      </c>
      <c r="AS28" s="174">
        <v>0</v>
      </c>
      <c r="AT28" s="174">
        <v>0</v>
      </c>
      <c r="AU28" s="174">
        <v>0</v>
      </c>
      <c r="AV28" s="174">
        <v>0</v>
      </c>
      <c r="AW28" s="174">
        <v>0</v>
      </c>
      <c r="AX28" s="174">
        <v>0</v>
      </c>
      <c r="AY28" s="174">
        <v>0</v>
      </c>
      <c r="AZ28" s="174">
        <v>0</v>
      </c>
      <c r="BA28" s="174">
        <v>0</v>
      </c>
      <c r="BB28" s="174">
        <v>0</v>
      </c>
      <c r="BC28" s="174">
        <v>0</v>
      </c>
      <c r="BD28" s="174">
        <v>0</v>
      </c>
      <c r="BE28" s="174">
        <v>0</v>
      </c>
      <c r="BF28" s="174">
        <v>0</v>
      </c>
      <c r="BG28" s="174">
        <f t="shared" ref="BG28:BG35" si="0">SUM(AJ28,AK28)</f>
        <v>2.12</v>
      </c>
      <c r="BH28" s="175" t="s">
        <v>395</v>
      </c>
      <c r="BI28" s="166">
        <v>46022</v>
      </c>
      <c r="BJ28" s="167">
        <v>-95.24</v>
      </c>
      <c r="BK28" s="168"/>
      <c r="BL28" s="56"/>
      <c r="BM28" s="168" t="s">
        <v>224</v>
      </c>
      <c r="BN28" s="169" t="s">
        <v>386</v>
      </c>
      <c r="BO28" s="168"/>
      <c r="BP28" s="168"/>
      <c r="BQ28" s="168"/>
      <c r="BR28" s="207"/>
      <c r="BS28" s="168"/>
      <c r="BT28" s="168"/>
      <c r="BU28" s="167"/>
      <c r="BV28" s="170"/>
      <c r="BW28" s="48"/>
      <c r="BX28" s="168"/>
      <c r="BY28" s="168"/>
      <c r="BZ28" s="48"/>
      <c r="CA28" s="48"/>
      <c r="CB28" s="48"/>
      <c r="CC28" s="167"/>
      <c r="CD28" s="137"/>
      <c r="CE28" s="171"/>
      <c r="CF28" s="172" t="s">
        <v>166</v>
      </c>
      <c r="CG28" s="165"/>
    </row>
    <row r="29" spans="1:85" s="138" customFormat="1" ht="15" customHeight="1">
      <c r="A29" s="48" t="s">
        <v>233</v>
      </c>
      <c r="B29" s="29" t="s">
        <v>111</v>
      </c>
      <c r="C29" s="168">
        <v>45658</v>
      </c>
      <c r="D29" s="48" t="s">
        <v>179</v>
      </c>
      <c r="E29" s="29" t="s">
        <v>113</v>
      </c>
      <c r="F29" s="48" t="s">
        <v>114</v>
      </c>
      <c r="G29" s="48" t="s">
        <v>229</v>
      </c>
      <c r="H29" s="48" t="s">
        <v>116</v>
      </c>
      <c r="I29" s="48" t="s">
        <v>214</v>
      </c>
      <c r="J29" s="170" t="s">
        <v>116</v>
      </c>
      <c r="K29" s="170" t="b">
        <v>0</v>
      </c>
      <c r="L29" s="170" t="s">
        <v>116</v>
      </c>
      <c r="M29" s="170" t="s">
        <v>116</v>
      </c>
      <c r="N29" s="170" t="s">
        <v>116</v>
      </c>
      <c r="O29" s="170" t="s">
        <v>118</v>
      </c>
      <c r="P29" s="48" t="s">
        <v>224</v>
      </c>
      <c r="Q29" s="48" t="s">
        <v>225</v>
      </c>
      <c r="R29" s="170" t="s">
        <v>116</v>
      </c>
      <c r="S29" s="170" t="s">
        <v>116</v>
      </c>
      <c r="T29" s="170" t="s">
        <v>116</v>
      </c>
      <c r="U29" s="170" t="s">
        <v>116</v>
      </c>
      <c r="V29" s="170" t="s">
        <v>116</v>
      </c>
      <c r="W29" s="170" t="s">
        <v>116</v>
      </c>
      <c r="X29" s="173" t="s">
        <v>234</v>
      </c>
      <c r="Y29" s="167">
        <v>121.81</v>
      </c>
      <c r="Z29" s="48" t="s">
        <v>123</v>
      </c>
      <c r="AA29" s="48">
        <v>1</v>
      </c>
      <c r="AB29" s="174">
        <v>0</v>
      </c>
      <c r="AC29" s="174"/>
      <c r="AD29" s="174">
        <v>0</v>
      </c>
      <c r="AE29" s="174">
        <v>0</v>
      </c>
      <c r="AF29" s="174">
        <v>0</v>
      </c>
      <c r="AG29" s="174">
        <v>0</v>
      </c>
      <c r="AH29" s="174">
        <v>0</v>
      </c>
      <c r="AI29" s="174">
        <v>0</v>
      </c>
      <c r="AJ29" s="174">
        <v>2.44</v>
      </c>
      <c r="AK29" s="174">
        <v>0</v>
      </c>
      <c r="AL29" s="174">
        <v>0</v>
      </c>
      <c r="AM29" s="174">
        <v>0</v>
      </c>
      <c r="AN29" s="174">
        <v>0</v>
      </c>
      <c r="AO29" s="174">
        <v>0</v>
      </c>
      <c r="AP29" s="174">
        <v>0</v>
      </c>
      <c r="AQ29" s="174">
        <v>0</v>
      </c>
      <c r="AR29" s="174">
        <v>0</v>
      </c>
      <c r="AS29" s="174">
        <v>0</v>
      </c>
      <c r="AT29" s="174">
        <v>0</v>
      </c>
      <c r="AU29" s="174">
        <v>0</v>
      </c>
      <c r="AV29" s="174">
        <v>0</v>
      </c>
      <c r="AW29" s="174">
        <v>0</v>
      </c>
      <c r="AX29" s="174">
        <v>0</v>
      </c>
      <c r="AY29" s="174">
        <v>0</v>
      </c>
      <c r="AZ29" s="174">
        <v>0</v>
      </c>
      <c r="BA29" s="174">
        <v>0</v>
      </c>
      <c r="BB29" s="174">
        <v>0</v>
      </c>
      <c r="BC29" s="174">
        <v>0</v>
      </c>
      <c r="BD29" s="174">
        <v>0</v>
      </c>
      <c r="BE29" s="174">
        <v>0</v>
      </c>
      <c r="BF29" s="174">
        <v>0</v>
      </c>
      <c r="BG29" s="174">
        <f t="shared" si="0"/>
        <v>2.44</v>
      </c>
      <c r="BH29" s="175" t="s">
        <v>396</v>
      </c>
      <c r="BI29" s="166">
        <v>46022</v>
      </c>
      <c r="BJ29" s="167">
        <v>-95.24</v>
      </c>
      <c r="BK29" s="168"/>
      <c r="BL29" s="56"/>
      <c r="BM29" s="168" t="s">
        <v>224</v>
      </c>
      <c r="BN29" s="169" t="s">
        <v>386</v>
      </c>
      <c r="BO29" s="168"/>
      <c r="BP29" s="168"/>
      <c r="BQ29" s="168"/>
      <c r="BR29" s="207"/>
      <c r="BS29" s="168"/>
      <c r="BT29" s="168"/>
      <c r="BU29" s="167"/>
      <c r="BV29" s="170"/>
      <c r="BW29" s="48"/>
      <c r="BX29" s="168"/>
      <c r="BY29" s="168"/>
      <c r="BZ29" s="48"/>
      <c r="CA29" s="48"/>
      <c r="CB29" s="48"/>
      <c r="CC29" s="167"/>
      <c r="CD29" s="137"/>
      <c r="CE29" s="171"/>
      <c r="CF29" s="172" t="s">
        <v>166</v>
      </c>
      <c r="CG29" s="165"/>
    </row>
    <row r="30" spans="1:85" s="138" customFormat="1" ht="15" customHeight="1">
      <c r="A30" s="48" t="s">
        <v>236</v>
      </c>
      <c r="B30" s="29" t="s">
        <v>111</v>
      </c>
      <c r="C30" s="168">
        <v>45658</v>
      </c>
      <c r="D30" s="48" t="s">
        <v>179</v>
      </c>
      <c r="E30" s="29" t="s">
        <v>113</v>
      </c>
      <c r="F30" s="48" t="s">
        <v>114</v>
      </c>
      <c r="G30" s="48" t="s">
        <v>237</v>
      </c>
      <c r="H30" s="48" t="s">
        <v>116</v>
      </c>
      <c r="I30" s="48" t="s">
        <v>214</v>
      </c>
      <c r="J30" s="170" t="s">
        <v>116</v>
      </c>
      <c r="K30" s="170" t="b">
        <v>0</v>
      </c>
      <c r="L30" s="170" t="s">
        <v>116</v>
      </c>
      <c r="M30" s="170" t="s">
        <v>116</v>
      </c>
      <c r="N30" s="170" t="s">
        <v>116</v>
      </c>
      <c r="O30" s="170" t="s">
        <v>118</v>
      </c>
      <c r="P30" s="48" t="s">
        <v>224</v>
      </c>
      <c r="Q30" s="48" t="s">
        <v>225</v>
      </c>
      <c r="R30" s="170" t="s">
        <v>116</v>
      </c>
      <c r="S30" s="170" t="s">
        <v>116</v>
      </c>
      <c r="T30" s="170" t="s">
        <v>116</v>
      </c>
      <c r="U30" s="170" t="s">
        <v>116</v>
      </c>
      <c r="V30" s="170" t="s">
        <v>116</v>
      </c>
      <c r="W30" s="170" t="s">
        <v>116</v>
      </c>
      <c r="X30" s="173" t="s">
        <v>238</v>
      </c>
      <c r="Y30" s="167">
        <v>137.28</v>
      </c>
      <c r="Z30" s="48" t="s">
        <v>123</v>
      </c>
      <c r="AA30" s="48">
        <v>1</v>
      </c>
      <c r="AB30" s="174">
        <v>0</v>
      </c>
      <c r="AC30" s="174"/>
      <c r="AD30" s="174">
        <v>0</v>
      </c>
      <c r="AE30" s="174">
        <v>0</v>
      </c>
      <c r="AF30" s="174">
        <v>0</v>
      </c>
      <c r="AG30" s="174">
        <v>0</v>
      </c>
      <c r="AH30" s="174">
        <v>0</v>
      </c>
      <c r="AI30" s="174">
        <v>0</v>
      </c>
      <c r="AJ30" s="174">
        <v>1.37</v>
      </c>
      <c r="AK30" s="174">
        <v>0</v>
      </c>
      <c r="AL30" s="174">
        <v>0</v>
      </c>
      <c r="AM30" s="174">
        <v>0</v>
      </c>
      <c r="AN30" s="174">
        <v>0</v>
      </c>
      <c r="AO30" s="174">
        <v>0</v>
      </c>
      <c r="AP30" s="174">
        <v>0</v>
      </c>
      <c r="AQ30" s="174">
        <v>0</v>
      </c>
      <c r="AR30" s="174">
        <v>0</v>
      </c>
      <c r="AS30" s="174">
        <v>0</v>
      </c>
      <c r="AT30" s="174">
        <v>0</v>
      </c>
      <c r="AU30" s="174">
        <v>0</v>
      </c>
      <c r="AV30" s="174">
        <v>0</v>
      </c>
      <c r="AW30" s="174">
        <v>0</v>
      </c>
      <c r="AX30" s="174">
        <v>0</v>
      </c>
      <c r="AY30" s="174">
        <v>0</v>
      </c>
      <c r="AZ30" s="174">
        <v>0</v>
      </c>
      <c r="BA30" s="174">
        <v>0</v>
      </c>
      <c r="BB30" s="174">
        <v>0</v>
      </c>
      <c r="BC30" s="174">
        <v>0</v>
      </c>
      <c r="BD30" s="174">
        <v>0</v>
      </c>
      <c r="BE30" s="174">
        <v>0</v>
      </c>
      <c r="BF30" s="174">
        <v>0</v>
      </c>
      <c r="BG30" s="174">
        <f t="shared" si="0"/>
        <v>1.37</v>
      </c>
      <c r="BH30" s="175" t="s">
        <v>232</v>
      </c>
      <c r="BI30" s="166">
        <v>46011</v>
      </c>
      <c r="BJ30" s="167">
        <v>504.9</v>
      </c>
      <c r="BK30" s="168"/>
      <c r="BL30" s="56"/>
      <c r="BM30" s="168" t="s">
        <v>224</v>
      </c>
      <c r="BN30" s="169" t="s">
        <v>386</v>
      </c>
      <c r="BO30" s="168"/>
      <c r="BP30" s="168"/>
      <c r="BQ30" s="168"/>
      <c r="BR30" s="207"/>
      <c r="BS30" s="168"/>
      <c r="BT30" s="168"/>
      <c r="BU30" s="167"/>
      <c r="BV30" s="170"/>
      <c r="BW30" s="48"/>
      <c r="BX30" s="168"/>
      <c r="BY30" s="168"/>
      <c r="BZ30" s="48"/>
      <c r="CA30" s="48"/>
      <c r="CB30" s="48"/>
      <c r="CC30" s="167"/>
      <c r="CD30" s="137"/>
      <c r="CE30" s="171"/>
      <c r="CF30" s="172" t="s">
        <v>166</v>
      </c>
      <c r="CG30" s="165"/>
    </row>
    <row r="31" spans="1:85" s="138" customFormat="1" ht="15" customHeight="1">
      <c r="A31" s="48" t="s">
        <v>239</v>
      </c>
      <c r="B31" s="29" t="s">
        <v>111</v>
      </c>
      <c r="C31" s="168">
        <v>45658</v>
      </c>
      <c r="D31" s="48" t="s">
        <v>179</v>
      </c>
      <c r="E31" s="29" t="s">
        <v>113</v>
      </c>
      <c r="F31" s="48" t="s">
        <v>114</v>
      </c>
      <c r="G31" s="48" t="s">
        <v>237</v>
      </c>
      <c r="H31" s="48" t="s">
        <v>116</v>
      </c>
      <c r="I31" s="48" t="s">
        <v>214</v>
      </c>
      <c r="J31" s="170" t="s">
        <v>116</v>
      </c>
      <c r="K31" s="170" t="b">
        <v>0</v>
      </c>
      <c r="L31" s="170" t="s">
        <v>116</v>
      </c>
      <c r="M31" s="170" t="s">
        <v>116</v>
      </c>
      <c r="N31" s="170" t="s">
        <v>116</v>
      </c>
      <c r="O31" s="170" t="s">
        <v>118</v>
      </c>
      <c r="P31" s="48" t="s">
        <v>224</v>
      </c>
      <c r="Q31" s="48" t="s">
        <v>225</v>
      </c>
      <c r="R31" s="170" t="s">
        <v>116</v>
      </c>
      <c r="S31" s="170" t="s">
        <v>116</v>
      </c>
      <c r="T31" s="170" t="s">
        <v>116</v>
      </c>
      <c r="U31" s="170" t="s">
        <v>116</v>
      </c>
      <c r="V31" s="170" t="s">
        <v>116</v>
      </c>
      <c r="W31" s="170" t="s">
        <v>116</v>
      </c>
      <c r="X31" s="173" t="s">
        <v>240</v>
      </c>
      <c r="Y31" s="167">
        <v>161.03</v>
      </c>
      <c r="Z31" s="48" t="s">
        <v>123</v>
      </c>
      <c r="AA31" s="48">
        <v>1</v>
      </c>
      <c r="AB31" s="174">
        <v>0</v>
      </c>
      <c r="AC31" s="174"/>
      <c r="AD31" s="174">
        <v>0</v>
      </c>
      <c r="AE31" s="174">
        <v>0</v>
      </c>
      <c r="AF31" s="174">
        <v>0</v>
      </c>
      <c r="AG31" s="174">
        <v>0</v>
      </c>
      <c r="AH31" s="174">
        <v>0</v>
      </c>
      <c r="AI31" s="174">
        <v>0</v>
      </c>
      <c r="AJ31" s="174">
        <v>1.61</v>
      </c>
      <c r="AK31" s="174">
        <v>0</v>
      </c>
      <c r="AL31" s="174">
        <v>0</v>
      </c>
      <c r="AM31" s="174">
        <v>0</v>
      </c>
      <c r="AN31" s="174">
        <v>0</v>
      </c>
      <c r="AO31" s="174">
        <v>0</v>
      </c>
      <c r="AP31" s="174">
        <v>0</v>
      </c>
      <c r="AQ31" s="174">
        <v>0</v>
      </c>
      <c r="AR31" s="174">
        <v>0</v>
      </c>
      <c r="AS31" s="174">
        <v>0</v>
      </c>
      <c r="AT31" s="174">
        <v>0</v>
      </c>
      <c r="AU31" s="174">
        <v>0</v>
      </c>
      <c r="AV31" s="174">
        <v>0</v>
      </c>
      <c r="AW31" s="174">
        <v>0</v>
      </c>
      <c r="AX31" s="174">
        <v>0</v>
      </c>
      <c r="AY31" s="174">
        <v>0</v>
      </c>
      <c r="AZ31" s="174">
        <v>0</v>
      </c>
      <c r="BA31" s="174">
        <v>0</v>
      </c>
      <c r="BB31" s="174">
        <v>0</v>
      </c>
      <c r="BC31" s="174">
        <v>0</v>
      </c>
      <c r="BD31" s="174">
        <v>0</v>
      </c>
      <c r="BE31" s="174">
        <v>0</v>
      </c>
      <c r="BF31" s="174">
        <v>0</v>
      </c>
      <c r="BG31" s="174">
        <f t="shared" si="0"/>
        <v>1.61</v>
      </c>
      <c r="BH31" s="175" t="s">
        <v>235</v>
      </c>
      <c r="BI31" s="166">
        <v>46011</v>
      </c>
      <c r="BJ31" s="167">
        <v>504.9</v>
      </c>
      <c r="BK31" s="168"/>
      <c r="BL31" s="56"/>
      <c r="BM31" s="168" t="s">
        <v>224</v>
      </c>
      <c r="BN31" s="169" t="s">
        <v>386</v>
      </c>
      <c r="BO31" s="168"/>
      <c r="BP31" s="168"/>
      <c r="BQ31" s="168"/>
      <c r="BR31" s="207"/>
      <c r="BS31" s="168"/>
      <c r="BT31" s="168"/>
      <c r="BU31" s="167"/>
      <c r="BV31" s="170"/>
      <c r="BW31" s="48"/>
      <c r="BX31" s="168"/>
      <c r="BY31" s="168"/>
      <c r="BZ31" s="48"/>
      <c r="CA31" s="48"/>
      <c r="CB31" s="48"/>
      <c r="CC31" s="167"/>
      <c r="CD31" s="137"/>
      <c r="CE31" s="171"/>
      <c r="CF31" s="172" t="s">
        <v>166</v>
      </c>
      <c r="CG31" s="165"/>
    </row>
    <row r="32" spans="1:85" s="138" customFormat="1" ht="15" customHeight="1">
      <c r="A32" s="48" t="s">
        <v>241</v>
      </c>
      <c r="B32" s="29" t="s">
        <v>111</v>
      </c>
      <c r="C32" s="168">
        <v>45505</v>
      </c>
      <c r="D32" s="48" t="s">
        <v>179</v>
      </c>
      <c r="E32" s="29" t="s">
        <v>113</v>
      </c>
      <c r="F32" s="48" t="s">
        <v>114</v>
      </c>
      <c r="G32" s="48" t="s">
        <v>153</v>
      </c>
      <c r="H32" s="48" t="s">
        <v>116</v>
      </c>
      <c r="I32" s="48" t="s">
        <v>223</v>
      </c>
      <c r="J32" s="170" t="s">
        <v>116</v>
      </c>
      <c r="K32" s="170" t="b">
        <v>0</v>
      </c>
      <c r="L32" s="170" t="s">
        <v>116</v>
      </c>
      <c r="M32" s="170" t="s">
        <v>116</v>
      </c>
      <c r="N32" s="170" t="s">
        <v>116</v>
      </c>
      <c r="O32" s="170" t="s">
        <v>118</v>
      </c>
      <c r="P32" s="48" t="s">
        <v>224</v>
      </c>
      <c r="Q32" s="48" t="s">
        <v>225</v>
      </c>
      <c r="R32" s="170" t="s">
        <v>116</v>
      </c>
      <c r="S32" s="170" t="s">
        <v>116</v>
      </c>
      <c r="T32" s="170" t="s">
        <v>116</v>
      </c>
      <c r="U32" s="170" t="s">
        <v>116</v>
      </c>
      <c r="V32" s="170" t="s">
        <v>116</v>
      </c>
      <c r="W32" s="170" t="s">
        <v>116</v>
      </c>
      <c r="X32" s="173" t="s">
        <v>242</v>
      </c>
      <c r="Y32" s="167">
        <v>90.01</v>
      </c>
      <c r="Z32" s="48" t="s">
        <v>123</v>
      </c>
      <c r="AA32" s="48">
        <v>1</v>
      </c>
      <c r="AB32" s="174">
        <v>0</v>
      </c>
      <c r="AC32" s="174"/>
      <c r="AD32" s="174">
        <v>0</v>
      </c>
      <c r="AE32" s="174">
        <v>0</v>
      </c>
      <c r="AF32" s="174">
        <v>0</v>
      </c>
      <c r="AG32" s="174">
        <v>0</v>
      </c>
      <c r="AH32" s="174">
        <v>0</v>
      </c>
      <c r="AI32" s="174">
        <v>0</v>
      </c>
      <c r="AJ32" s="174">
        <v>0.9</v>
      </c>
      <c r="AK32" s="174">
        <v>21.61</v>
      </c>
      <c r="AL32" s="174">
        <v>0</v>
      </c>
      <c r="AM32" s="174">
        <v>0</v>
      </c>
      <c r="AN32" s="174">
        <v>0</v>
      </c>
      <c r="AO32" s="174">
        <v>0</v>
      </c>
      <c r="AP32" s="174">
        <v>0</v>
      </c>
      <c r="AQ32" s="174">
        <v>0</v>
      </c>
      <c r="AR32" s="174">
        <v>0</v>
      </c>
      <c r="AS32" s="174">
        <v>0</v>
      </c>
      <c r="AT32" s="174">
        <v>0</v>
      </c>
      <c r="AU32" s="174">
        <v>0</v>
      </c>
      <c r="AV32" s="174">
        <v>0</v>
      </c>
      <c r="AW32" s="174">
        <v>0</v>
      </c>
      <c r="AX32" s="174">
        <v>0</v>
      </c>
      <c r="AY32" s="174">
        <v>0</v>
      </c>
      <c r="AZ32" s="174">
        <v>0</v>
      </c>
      <c r="BA32" s="174">
        <v>0</v>
      </c>
      <c r="BB32" s="174">
        <v>0</v>
      </c>
      <c r="BC32" s="174">
        <v>0</v>
      </c>
      <c r="BD32" s="174">
        <v>0</v>
      </c>
      <c r="BE32" s="174">
        <v>0</v>
      </c>
      <c r="BF32" s="174">
        <v>0</v>
      </c>
      <c r="BG32" s="174">
        <f t="shared" si="0"/>
        <v>22.509999999999998</v>
      </c>
      <c r="BH32" s="175" t="s">
        <v>227</v>
      </c>
      <c r="BI32" s="166">
        <v>46011</v>
      </c>
      <c r="BJ32" s="167">
        <v>504.9</v>
      </c>
      <c r="BK32" s="168"/>
      <c r="BL32" s="56"/>
      <c r="BM32" s="168" t="s">
        <v>224</v>
      </c>
      <c r="BN32" s="169" t="s">
        <v>386</v>
      </c>
      <c r="BO32" s="168"/>
      <c r="BP32" s="168"/>
      <c r="BQ32" s="168"/>
      <c r="BR32" s="207"/>
      <c r="BS32" s="168"/>
      <c r="BT32" s="168"/>
      <c r="BU32" s="167"/>
      <c r="BV32" s="170"/>
      <c r="BW32" s="48"/>
      <c r="BX32" s="168"/>
      <c r="BY32" s="168"/>
      <c r="BZ32" s="48"/>
      <c r="CA32" s="48"/>
      <c r="CB32" s="48"/>
      <c r="CC32" s="167"/>
      <c r="CD32" s="137"/>
      <c r="CE32" s="171"/>
      <c r="CF32" s="172" t="s">
        <v>157</v>
      </c>
      <c r="CG32" s="165"/>
    </row>
    <row r="33" spans="1:86" s="138" customFormat="1" ht="15" customHeight="1">
      <c r="A33" s="48" t="s">
        <v>243</v>
      </c>
      <c r="B33" s="29" t="s">
        <v>111</v>
      </c>
      <c r="C33" s="168">
        <v>45809</v>
      </c>
      <c r="D33" s="48" t="s">
        <v>179</v>
      </c>
      <c r="E33" s="29" t="s">
        <v>113</v>
      </c>
      <c r="F33" s="48" t="s">
        <v>114</v>
      </c>
      <c r="G33" s="48" t="s">
        <v>244</v>
      </c>
      <c r="H33" s="48" t="s">
        <v>116</v>
      </c>
      <c r="I33" s="48" t="s">
        <v>116</v>
      </c>
      <c r="J33" s="170" t="s">
        <v>116</v>
      </c>
      <c r="K33" s="170" t="b">
        <v>0</v>
      </c>
      <c r="L33" s="170" t="s">
        <v>116</v>
      </c>
      <c r="M33" s="170" t="s">
        <v>116</v>
      </c>
      <c r="N33" s="170" t="s">
        <v>116</v>
      </c>
      <c r="O33" s="170" t="s">
        <v>118</v>
      </c>
      <c r="P33" s="48" t="s">
        <v>224</v>
      </c>
      <c r="Q33" s="48" t="s">
        <v>245</v>
      </c>
      <c r="R33" s="170" t="s">
        <v>116</v>
      </c>
      <c r="S33" s="170" t="s">
        <v>116</v>
      </c>
      <c r="T33" s="170" t="s">
        <v>116</v>
      </c>
      <c r="U33" s="170" t="s">
        <v>116</v>
      </c>
      <c r="V33" s="170" t="s">
        <v>116</v>
      </c>
      <c r="W33" s="170" t="s">
        <v>116</v>
      </c>
      <c r="X33" s="173" t="s">
        <v>246</v>
      </c>
      <c r="Y33" s="167">
        <v>147.62</v>
      </c>
      <c r="Z33" s="48" t="s">
        <v>247</v>
      </c>
      <c r="AA33" s="48">
        <v>1</v>
      </c>
      <c r="AB33" s="174">
        <v>0</v>
      </c>
      <c r="AC33" s="174"/>
      <c r="AD33" s="174">
        <v>0</v>
      </c>
      <c r="AE33" s="174">
        <v>0</v>
      </c>
      <c r="AF33" s="174">
        <v>0</v>
      </c>
      <c r="AG33" s="174">
        <v>0</v>
      </c>
      <c r="AH33" s="174">
        <v>0</v>
      </c>
      <c r="AI33" s="174">
        <v>0</v>
      </c>
      <c r="AJ33" s="174">
        <v>4.7</v>
      </c>
      <c r="AK33" s="174">
        <v>98.62</v>
      </c>
      <c r="AL33" s="174">
        <v>0</v>
      </c>
      <c r="AM33" s="174">
        <v>0</v>
      </c>
      <c r="AN33" s="174">
        <v>0</v>
      </c>
      <c r="AO33" s="174">
        <v>0</v>
      </c>
      <c r="AP33" s="174">
        <v>0</v>
      </c>
      <c r="AQ33" s="174">
        <v>0</v>
      </c>
      <c r="AR33" s="174">
        <v>0</v>
      </c>
      <c r="AS33" s="174">
        <v>0</v>
      </c>
      <c r="AT33" s="174">
        <v>0</v>
      </c>
      <c r="AU33" s="174">
        <v>0</v>
      </c>
      <c r="AV33" s="174">
        <v>0</v>
      </c>
      <c r="AW33" s="174">
        <v>0</v>
      </c>
      <c r="AX33" s="174">
        <v>0</v>
      </c>
      <c r="AY33" s="174">
        <v>0</v>
      </c>
      <c r="AZ33" s="174">
        <v>0</v>
      </c>
      <c r="BA33" s="174">
        <v>0</v>
      </c>
      <c r="BB33" s="174">
        <v>0</v>
      </c>
      <c r="BC33" s="174">
        <v>0</v>
      </c>
      <c r="BD33" s="174">
        <v>0</v>
      </c>
      <c r="BE33" s="174">
        <v>0</v>
      </c>
      <c r="BF33" s="174">
        <v>0</v>
      </c>
      <c r="BG33" s="174">
        <f t="shared" si="0"/>
        <v>103.32000000000001</v>
      </c>
      <c r="BH33" s="175" t="s">
        <v>248</v>
      </c>
      <c r="BI33" s="166">
        <v>46011</v>
      </c>
      <c r="BJ33" s="167">
        <v>504.9</v>
      </c>
      <c r="BK33" s="168"/>
      <c r="BL33" s="56"/>
      <c r="BM33" s="168" t="s">
        <v>224</v>
      </c>
      <c r="BN33" s="169" t="s">
        <v>386</v>
      </c>
      <c r="BO33" s="168"/>
      <c r="BP33" s="168"/>
      <c r="BQ33" s="168"/>
      <c r="BR33" s="207"/>
      <c r="BS33" s="168"/>
      <c r="BT33" s="168"/>
      <c r="BU33" s="167"/>
      <c r="BV33" s="170"/>
      <c r="BW33" s="48"/>
      <c r="BX33" s="168"/>
      <c r="BY33" s="168"/>
      <c r="BZ33" s="48"/>
      <c r="CA33" s="48"/>
      <c r="CB33" s="48"/>
      <c r="CC33" s="167"/>
      <c r="CD33" s="137"/>
      <c r="CE33" s="171"/>
      <c r="CF33" s="172" t="s">
        <v>166</v>
      </c>
      <c r="CG33" s="165"/>
    </row>
    <row r="34" spans="1:86" s="138" customFormat="1" ht="15" customHeight="1">
      <c r="A34" s="48" t="s">
        <v>249</v>
      </c>
      <c r="B34" s="29" t="s">
        <v>111</v>
      </c>
      <c r="C34" s="168">
        <v>45658</v>
      </c>
      <c r="D34" s="48" t="s">
        <v>250</v>
      </c>
      <c r="E34" s="29" t="s">
        <v>113</v>
      </c>
      <c r="F34" s="48" t="s">
        <v>114</v>
      </c>
      <c r="G34" s="48" t="s">
        <v>115</v>
      </c>
      <c r="H34" s="48" t="s">
        <v>116</v>
      </c>
      <c r="I34" s="48" t="s">
        <v>116</v>
      </c>
      <c r="J34" s="170" t="s">
        <v>116</v>
      </c>
      <c r="K34" s="170" t="b">
        <v>0</v>
      </c>
      <c r="L34" s="170" t="s">
        <v>116</v>
      </c>
      <c r="M34" s="170" t="s">
        <v>116</v>
      </c>
      <c r="N34" s="170" t="s">
        <v>116</v>
      </c>
      <c r="O34" s="170" t="s">
        <v>118</v>
      </c>
      <c r="P34" s="48" t="s">
        <v>224</v>
      </c>
      <c r="Q34" s="48" t="s">
        <v>251</v>
      </c>
      <c r="R34" s="170" t="s">
        <v>116</v>
      </c>
      <c r="S34" s="170" t="s">
        <v>116</v>
      </c>
      <c r="T34" s="170" t="s">
        <v>116</v>
      </c>
      <c r="U34" s="170" t="s">
        <v>116</v>
      </c>
      <c r="V34" s="170" t="s">
        <v>116</v>
      </c>
      <c r="W34" s="170" t="s">
        <v>116</v>
      </c>
      <c r="X34" s="173" t="s">
        <v>252</v>
      </c>
      <c r="Y34" s="167" t="s">
        <v>116</v>
      </c>
      <c r="Z34" s="48" t="s">
        <v>116</v>
      </c>
      <c r="AA34" s="48">
        <v>1</v>
      </c>
      <c r="AB34" s="174">
        <v>0</v>
      </c>
      <c r="AC34" s="174"/>
      <c r="AD34" s="174">
        <v>0</v>
      </c>
      <c r="AE34" s="174">
        <v>0</v>
      </c>
      <c r="AF34" s="174">
        <v>0</v>
      </c>
      <c r="AG34" s="174">
        <v>0</v>
      </c>
      <c r="AH34" s="174">
        <v>0</v>
      </c>
      <c r="AI34" s="174">
        <v>0</v>
      </c>
      <c r="AJ34" s="174">
        <v>2.04</v>
      </c>
      <c r="AK34" s="174">
        <v>0</v>
      </c>
      <c r="AL34" s="174">
        <v>0</v>
      </c>
      <c r="AM34" s="174">
        <v>0</v>
      </c>
      <c r="AN34" s="174">
        <v>0</v>
      </c>
      <c r="AO34" s="174">
        <v>0</v>
      </c>
      <c r="AP34" s="174">
        <v>0</v>
      </c>
      <c r="AQ34" s="174">
        <v>0</v>
      </c>
      <c r="AR34" s="174">
        <v>0</v>
      </c>
      <c r="AS34" s="174">
        <v>0</v>
      </c>
      <c r="AT34" s="174">
        <v>0</v>
      </c>
      <c r="AU34" s="174">
        <v>0</v>
      </c>
      <c r="AV34" s="174">
        <v>0</v>
      </c>
      <c r="AW34" s="174">
        <v>0</v>
      </c>
      <c r="AX34" s="174">
        <v>0</v>
      </c>
      <c r="AY34" s="174">
        <v>0</v>
      </c>
      <c r="AZ34" s="174">
        <v>0</v>
      </c>
      <c r="BA34" s="174">
        <v>0</v>
      </c>
      <c r="BB34" s="174">
        <v>0</v>
      </c>
      <c r="BC34" s="174">
        <v>0</v>
      </c>
      <c r="BD34" s="174">
        <v>0</v>
      </c>
      <c r="BE34" s="174">
        <v>0</v>
      </c>
      <c r="BF34" s="174">
        <v>0</v>
      </c>
      <c r="BG34" s="174">
        <f t="shared" si="0"/>
        <v>2.04</v>
      </c>
      <c r="BH34" s="175" t="s">
        <v>232</v>
      </c>
      <c r="BI34" s="166">
        <v>46004</v>
      </c>
      <c r="BJ34" s="167">
        <v>16.600000000000001</v>
      </c>
      <c r="BK34" s="168"/>
      <c r="BL34" s="56"/>
      <c r="BM34" s="168" t="s">
        <v>224</v>
      </c>
      <c r="BN34" s="169" t="s">
        <v>386</v>
      </c>
      <c r="BO34" s="168"/>
      <c r="BP34" s="168"/>
      <c r="BQ34" s="168"/>
      <c r="BR34" s="207"/>
      <c r="BS34" s="168"/>
      <c r="BT34" s="168"/>
      <c r="BU34" s="167"/>
      <c r="BV34" s="170"/>
      <c r="BW34" s="48"/>
      <c r="BX34" s="168"/>
      <c r="BY34" s="168"/>
      <c r="BZ34" s="48"/>
      <c r="CA34" s="48"/>
      <c r="CB34" s="48"/>
      <c r="CC34" s="167"/>
      <c r="CD34" s="137"/>
      <c r="CE34" s="171"/>
      <c r="CF34" s="172" t="s">
        <v>166</v>
      </c>
      <c r="CG34" s="165"/>
    </row>
    <row r="35" spans="1:86" s="138" customFormat="1" ht="15" customHeight="1">
      <c r="A35" s="48" t="s">
        <v>253</v>
      </c>
      <c r="B35" s="29" t="s">
        <v>111</v>
      </c>
      <c r="C35" s="168">
        <v>45658</v>
      </c>
      <c r="D35" s="48" t="s">
        <v>250</v>
      </c>
      <c r="E35" s="29" t="s">
        <v>113</v>
      </c>
      <c r="F35" s="48" t="s">
        <v>114</v>
      </c>
      <c r="G35" s="48" t="s">
        <v>115</v>
      </c>
      <c r="H35" s="48" t="s">
        <v>116</v>
      </c>
      <c r="I35" s="48" t="s">
        <v>116</v>
      </c>
      <c r="J35" s="170" t="s">
        <v>116</v>
      </c>
      <c r="K35" s="170" t="b">
        <v>0</v>
      </c>
      <c r="L35" s="170" t="s">
        <v>116</v>
      </c>
      <c r="M35" s="170" t="s">
        <v>116</v>
      </c>
      <c r="N35" s="170" t="s">
        <v>116</v>
      </c>
      <c r="O35" s="170" t="s">
        <v>118</v>
      </c>
      <c r="P35" s="48" t="s">
        <v>224</v>
      </c>
      <c r="Q35" s="48" t="s">
        <v>251</v>
      </c>
      <c r="R35" s="170" t="s">
        <v>116</v>
      </c>
      <c r="S35" s="170" t="s">
        <v>116</v>
      </c>
      <c r="T35" s="170" t="s">
        <v>116</v>
      </c>
      <c r="U35" s="170" t="s">
        <v>116</v>
      </c>
      <c r="V35" s="170" t="s">
        <v>116</v>
      </c>
      <c r="W35" s="170" t="s">
        <v>116</v>
      </c>
      <c r="X35" s="173" t="s">
        <v>254</v>
      </c>
      <c r="Y35" s="167" t="s">
        <v>116</v>
      </c>
      <c r="Z35" s="48" t="s">
        <v>116</v>
      </c>
      <c r="AA35" s="48">
        <v>1</v>
      </c>
      <c r="AB35" s="174">
        <v>0</v>
      </c>
      <c r="AC35" s="174"/>
      <c r="AD35" s="174">
        <v>0</v>
      </c>
      <c r="AE35" s="174">
        <v>0</v>
      </c>
      <c r="AF35" s="174">
        <v>0</v>
      </c>
      <c r="AG35" s="174">
        <v>0</v>
      </c>
      <c r="AH35" s="174">
        <v>0</v>
      </c>
      <c r="AI35" s="174">
        <v>0</v>
      </c>
      <c r="AJ35" s="174">
        <v>1.5</v>
      </c>
      <c r="AK35" s="174">
        <v>0</v>
      </c>
      <c r="AL35" s="174">
        <v>0</v>
      </c>
      <c r="AM35" s="174">
        <v>0</v>
      </c>
      <c r="AN35" s="174">
        <v>0</v>
      </c>
      <c r="AO35" s="174">
        <v>0</v>
      </c>
      <c r="AP35" s="174">
        <v>0</v>
      </c>
      <c r="AQ35" s="174">
        <v>0</v>
      </c>
      <c r="AR35" s="174">
        <v>0</v>
      </c>
      <c r="AS35" s="174">
        <v>0</v>
      </c>
      <c r="AT35" s="174">
        <v>0</v>
      </c>
      <c r="AU35" s="174">
        <v>0</v>
      </c>
      <c r="AV35" s="174">
        <v>0</v>
      </c>
      <c r="AW35" s="174">
        <v>0</v>
      </c>
      <c r="AX35" s="174">
        <v>0</v>
      </c>
      <c r="AY35" s="174">
        <v>0</v>
      </c>
      <c r="AZ35" s="174">
        <v>0</v>
      </c>
      <c r="BA35" s="174">
        <v>0</v>
      </c>
      <c r="BB35" s="174">
        <v>0</v>
      </c>
      <c r="BC35" s="174">
        <v>0</v>
      </c>
      <c r="BD35" s="174">
        <v>0</v>
      </c>
      <c r="BE35" s="174">
        <v>0</v>
      </c>
      <c r="BF35" s="174">
        <v>0</v>
      </c>
      <c r="BG35" s="174">
        <f t="shared" si="0"/>
        <v>1.5</v>
      </c>
      <c r="BH35" s="175" t="s">
        <v>232</v>
      </c>
      <c r="BI35" s="166">
        <v>46004</v>
      </c>
      <c r="BJ35" s="167">
        <v>16.600000000000001</v>
      </c>
      <c r="BK35" s="168"/>
      <c r="BL35" s="56"/>
      <c r="BM35" s="168" t="s">
        <v>224</v>
      </c>
      <c r="BN35" s="169" t="s">
        <v>386</v>
      </c>
      <c r="BO35" s="168"/>
      <c r="BP35" s="168"/>
      <c r="BQ35" s="168"/>
      <c r="BR35" s="207"/>
      <c r="BS35" s="168"/>
      <c r="BT35" s="168"/>
      <c r="BU35" s="167"/>
      <c r="BV35" s="170"/>
      <c r="BW35" s="48"/>
      <c r="BX35" s="168"/>
      <c r="BY35" s="168"/>
      <c r="BZ35" s="48"/>
      <c r="CA35" s="48"/>
      <c r="CB35" s="48"/>
      <c r="CC35" s="167"/>
      <c r="CD35" s="137"/>
      <c r="CE35" s="171"/>
      <c r="CF35" s="172" t="s">
        <v>166</v>
      </c>
      <c r="CG35" s="165"/>
    </row>
    <row r="36" spans="1:86" s="138" customFormat="1" ht="15" customHeight="1">
      <c r="A36" s="48"/>
      <c r="B36" s="29"/>
      <c r="C36" s="168"/>
      <c r="D36" s="48"/>
      <c r="E36" s="29"/>
      <c r="F36" s="48"/>
      <c r="G36" s="48"/>
      <c r="H36" s="48"/>
      <c r="I36" s="48"/>
      <c r="J36" s="170"/>
      <c r="K36" s="170"/>
      <c r="L36" s="170"/>
      <c r="M36" s="170"/>
      <c r="N36" s="170"/>
      <c r="O36" s="170"/>
      <c r="P36" s="48"/>
      <c r="Q36" s="48"/>
      <c r="R36" s="170"/>
      <c r="S36" s="170"/>
      <c r="T36" s="170"/>
      <c r="U36" s="170"/>
      <c r="V36" s="170"/>
      <c r="W36" s="170"/>
      <c r="X36" s="173"/>
      <c r="Y36" s="167"/>
      <c r="Z36" s="48"/>
      <c r="AA36" s="48"/>
      <c r="AB36" s="174"/>
      <c r="AC36" s="174"/>
      <c r="AD36" s="174"/>
      <c r="AE36" s="174"/>
      <c r="AF36" s="174"/>
      <c r="AG36" s="174"/>
      <c r="AH36" s="174"/>
      <c r="AI36" s="174"/>
      <c r="AJ36" s="174"/>
      <c r="AK36" s="174"/>
      <c r="AL36" s="174"/>
      <c r="AM36" s="174"/>
      <c r="AN36" s="174"/>
      <c r="AO36" s="174"/>
      <c r="AP36" s="174"/>
      <c r="AQ36" s="174"/>
      <c r="AR36" s="174"/>
      <c r="AS36" s="174"/>
      <c r="AT36" s="174"/>
      <c r="AU36" s="174"/>
      <c r="AV36" s="174"/>
      <c r="AW36" s="174"/>
      <c r="AX36" s="174"/>
      <c r="AY36" s="174"/>
      <c r="AZ36" s="174"/>
      <c r="BA36" s="174"/>
      <c r="BB36" s="174"/>
      <c r="BC36" s="174"/>
      <c r="BD36" s="174"/>
      <c r="BE36" s="174"/>
      <c r="BF36" s="174"/>
      <c r="BG36" s="174"/>
      <c r="BH36" s="175"/>
      <c r="BI36" s="166"/>
      <c r="BJ36" s="167"/>
      <c r="BK36" s="168"/>
      <c r="BL36" s="56"/>
      <c r="BM36" s="168"/>
      <c r="BN36" s="169"/>
      <c r="BO36" s="168"/>
      <c r="BP36" s="168"/>
      <c r="BQ36" s="168"/>
      <c r="BR36" s="207"/>
      <c r="BS36" s="168"/>
      <c r="BT36" s="168"/>
      <c r="BU36" s="167"/>
      <c r="BV36" s="170"/>
      <c r="BW36" s="48"/>
      <c r="BX36" s="168"/>
      <c r="BY36" s="168"/>
      <c r="BZ36" s="48"/>
      <c r="CA36" s="48"/>
      <c r="CB36" s="48"/>
      <c r="CC36" s="167"/>
      <c r="CD36" s="137"/>
      <c r="CE36" s="171"/>
      <c r="CF36" s="172"/>
      <c r="CG36" s="165"/>
    </row>
    <row r="37" spans="1:86" s="138" customFormat="1" ht="15" customHeight="1">
      <c r="A37" s="29"/>
      <c r="B37" s="29"/>
      <c r="C37" s="31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176"/>
      <c r="R37" s="176"/>
      <c r="S37" s="176"/>
      <c r="T37" s="176"/>
      <c r="U37" s="176"/>
      <c r="V37" s="176"/>
      <c r="W37" s="176"/>
      <c r="X37" s="177" t="s">
        <v>140</v>
      </c>
      <c r="Y37" s="178"/>
      <c r="Z37" s="179"/>
      <c r="AA37" s="179">
        <f t="shared" ref="AA37:AH37" si="1">SUM(AA27:AA35)</f>
        <v>9</v>
      </c>
      <c r="AB37" s="180">
        <f t="shared" si="1"/>
        <v>0</v>
      </c>
      <c r="AC37" s="180">
        <f t="shared" si="1"/>
        <v>0</v>
      </c>
      <c r="AD37" s="180">
        <f t="shared" si="1"/>
        <v>0</v>
      </c>
      <c r="AE37" s="180">
        <f t="shared" si="1"/>
        <v>0</v>
      </c>
      <c r="AF37" s="180">
        <f t="shared" si="1"/>
        <v>0</v>
      </c>
      <c r="AG37" s="180">
        <f t="shared" si="1"/>
        <v>0</v>
      </c>
      <c r="AH37" s="180">
        <f t="shared" si="1"/>
        <v>0</v>
      </c>
      <c r="AI37" s="180">
        <f t="shared" ref="AI37:BG37" si="2">SUM(AI27:AI36)</f>
        <v>0</v>
      </c>
      <c r="AJ37" s="180">
        <f t="shared" si="2"/>
        <v>17.829999999999998</v>
      </c>
      <c r="AK37" s="180">
        <f t="shared" si="2"/>
        <v>147.79000000000002</v>
      </c>
      <c r="AL37" s="180">
        <f t="shared" si="2"/>
        <v>0</v>
      </c>
      <c r="AM37" s="180">
        <f t="shared" si="2"/>
        <v>0</v>
      </c>
      <c r="AN37" s="180">
        <f t="shared" si="2"/>
        <v>0</v>
      </c>
      <c r="AO37" s="180">
        <f t="shared" si="2"/>
        <v>0</v>
      </c>
      <c r="AP37" s="180">
        <f t="shared" si="2"/>
        <v>0</v>
      </c>
      <c r="AQ37" s="180">
        <f t="shared" si="2"/>
        <v>0</v>
      </c>
      <c r="AR37" s="180">
        <f t="shared" si="2"/>
        <v>0</v>
      </c>
      <c r="AS37" s="180">
        <f t="shared" si="2"/>
        <v>0</v>
      </c>
      <c r="AT37" s="180">
        <f t="shared" si="2"/>
        <v>0</v>
      </c>
      <c r="AU37" s="180">
        <f t="shared" si="2"/>
        <v>0</v>
      </c>
      <c r="AV37" s="180">
        <f t="shared" si="2"/>
        <v>0</v>
      </c>
      <c r="AW37" s="180">
        <f t="shared" si="2"/>
        <v>0</v>
      </c>
      <c r="AX37" s="180">
        <f t="shared" si="2"/>
        <v>0</v>
      </c>
      <c r="AY37" s="180">
        <f t="shared" si="2"/>
        <v>0</v>
      </c>
      <c r="AZ37" s="180">
        <f t="shared" si="2"/>
        <v>0</v>
      </c>
      <c r="BA37" s="180">
        <f t="shared" si="2"/>
        <v>0</v>
      </c>
      <c r="BB37" s="180">
        <f t="shared" si="2"/>
        <v>0</v>
      </c>
      <c r="BC37" s="180">
        <f t="shared" si="2"/>
        <v>0</v>
      </c>
      <c r="BD37" s="180">
        <f t="shared" si="2"/>
        <v>0</v>
      </c>
      <c r="BE37" s="180">
        <f t="shared" si="2"/>
        <v>0</v>
      </c>
      <c r="BF37" s="180">
        <f t="shared" si="2"/>
        <v>0</v>
      </c>
      <c r="BG37" s="180">
        <f t="shared" si="2"/>
        <v>165.61999999999998</v>
      </c>
      <c r="BH37" s="181"/>
      <c r="BI37" s="31"/>
      <c r="BJ37" s="182"/>
      <c r="BK37" s="31"/>
      <c r="BL37" s="56"/>
      <c r="BM37" s="29"/>
      <c r="BN37" s="183"/>
      <c r="BO37" s="31"/>
      <c r="BP37" s="31"/>
      <c r="BQ37" s="31"/>
      <c r="BR37" s="208"/>
      <c r="BS37" s="31"/>
      <c r="BT37" s="183"/>
      <c r="BU37" s="182"/>
      <c r="BV37" s="183"/>
      <c r="BW37" s="183"/>
      <c r="BX37" s="31"/>
      <c r="BY37" s="183"/>
      <c r="BZ37" s="183"/>
      <c r="CA37" s="183"/>
      <c r="CB37" s="183"/>
      <c r="CC37" s="184"/>
      <c r="CD37" s="137"/>
      <c r="CE37" s="183"/>
      <c r="CF37" s="183"/>
      <c r="CG37" s="183"/>
      <c r="CH37" s="183"/>
    </row>
    <row r="38" spans="1:86" s="138" customFormat="1" ht="15" customHeight="1">
      <c r="A38" s="48"/>
      <c r="B38" s="29"/>
      <c r="C38" s="168"/>
      <c r="D38" s="48"/>
      <c r="E38" s="29"/>
      <c r="F38" s="48"/>
      <c r="G38" s="48"/>
      <c r="H38" s="48"/>
      <c r="I38" s="48"/>
      <c r="J38" s="170"/>
      <c r="K38" s="170"/>
      <c r="L38" s="170"/>
      <c r="M38" s="170"/>
      <c r="N38" s="170"/>
      <c r="O38" s="170"/>
      <c r="P38" s="48"/>
      <c r="Q38" s="48"/>
      <c r="R38" s="170"/>
      <c r="S38" s="170"/>
      <c r="T38" s="170"/>
      <c r="U38" s="170"/>
      <c r="V38" s="170"/>
      <c r="W38" s="170"/>
      <c r="X38" s="173"/>
      <c r="Y38" s="167"/>
      <c r="Z38" s="48"/>
      <c r="AA38" s="48"/>
      <c r="AB38" s="174"/>
      <c r="AC38" s="174"/>
      <c r="AD38" s="174"/>
      <c r="AE38" s="174"/>
      <c r="AF38" s="174"/>
      <c r="AG38" s="174"/>
      <c r="AH38" s="174"/>
      <c r="AI38" s="174"/>
      <c r="AJ38" s="174"/>
      <c r="AK38" s="174"/>
      <c r="AL38" s="174"/>
      <c r="AM38" s="174"/>
      <c r="AN38" s="174"/>
      <c r="AO38" s="174"/>
      <c r="AP38" s="174"/>
      <c r="AQ38" s="174"/>
      <c r="AR38" s="174"/>
      <c r="AS38" s="174"/>
      <c r="AT38" s="174"/>
      <c r="AU38" s="174"/>
      <c r="AV38" s="174"/>
      <c r="AW38" s="174"/>
      <c r="AX38" s="174"/>
      <c r="AY38" s="174"/>
      <c r="AZ38" s="174"/>
      <c r="BA38" s="174"/>
      <c r="BB38" s="174"/>
      <c r="BC38" s="174"/>
      <c r="BD38" s="174"/>
      <c r="BE38" s="174"/>
      <c r="BF38" s="174"/>
      <c r="BG38" s="174"/>
      <c r="BH38" s="175"/>
      <c r="BI38" s="166"/>
      <c r="BJ38" s="167"/>
      <c r="BK38" s="168"/>
      <c r="BL38" s="56"/>
      <c r="BM38" s="168"/>
      <c r="BN38" s="169"/>
      <c r="BO38" s="168"/>
      <c r="BP38" s="168"/>
      <c r="BQ38" s="168"/>
      <c r="BR38" s="207"/>
      <c r="BS38" s="168"/>
      <c r="BT38" s="168"/>
      <c r="BU38" s="167"/>
      <c r="BV38" s="170"/>
      <c r="BW38" s="48"/>
      <c r="BX38" s="168"/>
      <c r="BY38" s="168"/>
      <c r="BZ38" s="48"/>
      <c r="CA38" s="48"/>
      <c r="CB38" s="48"/>
      <c r="CC38" s="167"/>
      <c r="CD38" s="137"/>
      <c r="CE38" s="171"/>
      <c r="CF38" s="172"/>
      <c r="CG38" s="165"/>
    </row>
    <row r="39" spans="1:86" s="138" customFormat="1" ht="15" customHeight="1">
      <c r="A39" s="48"/>
      <c r="B39" s="29"/>
      <c r="C39" s="168"/>
      <c r="D39" s="48"/>
      <c r="E39" s="29"/>
      <c r="F39" s="48"/>
      <c r="G39" s="48"/>
      <c r="H39" s="48"/>
      <c r="I39" s="48"/>
      <c r="J39" s="170"/>
      <c r="K39" s="170"/>
      <c r="L39" s="170"/>
      <c r="M39" s="170"/>
      <c r="N39" s="170"/>
      <c r="O39" s="170"/>
      <c r="P39" s="48"/>
      <c r="Q39" s="48"/>
      <c r="R39" s="170"/>
      <c r="S39" s="170"/>
      <c r="T39" s="170"/>
      <c r="U39" s="170"/>
      <c r="V39" s="170"/>
      <c r="W39" s="170"/>
      <c r="X39" s="173"/>
      <c r="Y39" s="167"/>
      <c r="Z39" s="48"/>
      <c r="AA39" s="48"/>
      <c r="AB39" s="174"/>
      <c r="AC39" s="174"/>
      <c r="AD39" s="174"/>
      <c r="AE39" s="174"/>
      <c r="AF39" s="174"/>
      <c r="AG39" s="174"/>
      <c r="AH39" s="174"/>
      <c r="AI39" s="174"/>
      <c r="AJ39" s="174"/>
      <c r="AK39" s="174"/>
      <c r="AL39" s="174"/>
      <c r="AM39" s="174"/>
      <c r="AN39" s="174"/>
      <c r="AO39" s="174"/>
      <c r="AP39" s="174"/>
      <c r="AQ39" s="174"/>
      <c r="AR39" s="174"/>
      <c r="AS39" s="174"/>
      <c r="AT39" s="174"/>
      <c r="AU39" s="174"/>
      <c r="AV39" s="174"/>
      <c r="AW39" s="174"/>
      <c r="AX39" s="174"/>
      <c r="AY39" s="174"/>
      <c r="AZ39" s="174"/>
      <c r="BA39" s="174"/>
      <c r="BB39" s="174"/>
      <c r="BC39" s="174"/>
      <c r="BD39" s="174"/>
      <c r="BE39" s="174"/>
      <c r="BF39" s="174"/>
      <c r="BG39" s="174"/>
      <c r="BH39" s="175"/>
      <c r="BI39" s="166"/>
      <c r="BJ39" s="167"/>
      <c r="BK39" s="168"/>
      <c r="BL39" s="56"/>
      <c r="BM39" s="168"/>
      <c r="BN39" s="169"/>
      <c r="BO39" s="168"/>
      <c r="BP39" s="168"/>
      <c r="BQ39" s="168"/>
      <c r="BR39" s="207"/>
      <c r="BS39" s="168"/>
      <c r="BT39" s="168"/>
      <c r="BU39" s="167"/>
      <c r="BV39" s="170"/>
      <c r="BW39" s="48"/>
      <c r="BX39" s="168"/>
      <c r="BY39" s="168"/>
      <c r="BZ39" s="48"/>
      <c r="CA39" s="48"/>
      <c r="CB39" s="48"/>
      <c r="CC39" s="167"/>
      <c r="CD39" s="137"/>
      <c r="CE39" s="171"/>
      <c r="CF39" s="172"/>
      <c r="CG39" s="165"/>
    </row>
    <row r="40" spans="1:86" s="138" customFormat="1" ht="15" customHeight="1">
      <c r="A40" s="48"/>
      <c r="B40" s="29"/>
      <c r="C40" s="168"/>
      <c r="D40" s="48"/>
      <c r="E40" s="29"/>
      <c r="F40" s="48"/>
      <c r="G40" s="48"/>
      <c r="H40" s="48"/>
      <c r="I40" s="48"/>
      <c r="J40" s="170"/>
      <c r="K40" s="170"/>
      <c r="L40" s="170"/>
      <c r="M40" s="170"/>
      <c r="N40" s="170"/>
      <c r="O40" s="170"/>
      <c r="P40" s="48"/>
      <c r="Q40" s="48"/>
      <c r="R40" s="170"/>
      <c r="S40" s="170"/>
      <c r="T40" s="170"/>
      <c r="U40" s="170"/>
      <c r="V40" s="170"/>
      <c r="W40" s="170"/>
      <c r="X40" s="173"/>
      <c r="Y40" s="167"/>
      <c r="Z40" s="48"/>
      <c r="AA40" s="48"/>
      <c r="AB40" s="174"/>
      <c r="AC40" s="174"/>
      <c r="AD40" s="174"/>
      <c r="AE40" s="174"/>
      <c r="AF40" s="174"/>
      <c r="AG40" s="174"/>
      <c r="AH40" s="174"/>
      <c r="AI40" s="174"/>
      <c r="AJ40" s="174"/>
      <c r="AK40" s="174"/>
      <c r="AL40" s="174"/>
      <c r="AM40" s="174"/>
      <c r="AN40" s="174"/>
      <c r="AO40" s="174"/>
      <c r="AP40" s="174"/>
      <c r="AQ40" s="174"/>
      <c r="AR40" s="174"/>
      <c r="AS40" s="174"/>
      <c r="AT40" s="174"/>
      <c r="AU40" s="174"/>
      <c r="AV40" s="174"/>
      <c r="AW40" s="174"/>
      <c r="AX40" s="174"/>
      <c r="AY40" s="174"/>
      <c r="AZ40" s="174"/>
      <c r="BA40" s="174"/>
      <c r="BB40" s="174"/>
      <c r="BC40" s="174"/>
      <c r="BD40" s="174"/>
      <c r="BE40" s="174"/>
      <c r="BF40" s="174"/>
      <c r="BG40" s="174"/>
      <c r="BH40" s="175"/>
      <c r="BI40" s="166"/>
      <c r="BJ40" s="167"/>
      <c r="BK40" s="168"/>
      <c r="BL40" s="56"/>
      <c r="BM40" s="168"/>
      <c r="BN40" s="169"/>
      <c r="BO40" s="168"/>
      <c r="BP40" s="168"/>
      <c r="BQ40" s="168"/>
      <c r="BR40" s="207"/>
      <c r="BS40" s="168"/>
      <c r="BT40" s="168"/>
      <c r="BU40" s="167"/>
      <c r="BV40" s="170"/>
      <c r="BW40" s="48"/>
      <c r="BX40" s="168"/>
      <c r="BY40" s="168"/>
      <c r="BZ40" s="48"/>
      <c r="CA40" s="48"/>
      <c r="CB40" s="48"/>
      <c r="CC40" s="167"/>
      <c r="CD40" s="137"/>
      <c r="CE40" s="171"/>
      <c r="CF40" s="172"/>
      <c r="CG40" s="165"/>
    </row>
    <row r="41" spans="1:86" s="138" customFormat="1" ht="15" customHeight="1">
      <c r="A41" s="48"/>
      <c r="B41" s="29"/>
      <c r="C41" s="168"/>
      <c r="D41" s="48"/>
      <c r="E41" s="29"/>
      <c r="F41" s="48"/>
      <c r="G41" s="48"/>
      <c r="H41" s="48"/>
      <c r="I41" s="48"/>
      <c r="J41" s="170"/>
      <c r="K41" s="170"/>
      <c r="L41" s="170"/>
      <c r="M41" s="170"/>
      <c r="N41" s="170"/>
      <c r="O41" s="170"/>
      <c r="P41" s="48"/>
      <c r="Q41" s="48"/>
      <c r="R41" s="170"/>
      <c r="S41" s="170"/>
      <c r="T41" s="170"/>
      <c r="U41" s="170"/>
      <c r="V41" s="170"/>
      <c r="W41" s="170"/>
      <c r="X41" s="173"/>
      <c r="Y41" s="167"/>
      <c r="Z41" s="48"/>
      <c r="AA41" s="48"/>
      <c r="AB41" s="174"/>
      <c r="AC41" s="174"/>
      <c r="AD41" s="174"/>
      <c r="AE41" s="174"/>
      <c r="AF41" s="174"/>
      <c r="AG41" s="174"/>
      <c r="AH41" s="174"/>
      <c r="AI41" s="174"/>
      <c r="AJ41" s="174"/>
      <c r="AK41" s="174"/>
      <c r="AL41" s="174"/>
      <c r="AM41" s="174"/>
      <c r="AN41" s="174"/>
      <c r="AO41" s="174"/>
      <c r="AP41" s="174"/>
      <c r="AQ41" s="174"/>
      <c r="AR41" s="174"/>
      <c r="AS41" s="174"/>
      <c r="AT41" s="174"/>
      <c r="AU41" s="174"/>
      <c r="AV41" s="174"/>
      <c r="AW41" s="174"/>
      <c r="AX41" s="174"/>
      <c r="AY41" s="174"/>
      <c r="AZ41" s="174"/>
      <c r="BA41" s="174"/>
      <c r="BB41" s="174"/>
      <c r="BC41" s="174"/>
      <c r="BD41" s="174"/>
      <c r="BE41" s="174"/>
      <c r="BF41" s="174"/>
      <c r="BG41" s="174"/>
      <c r="BH41" s="175"/>
      <c r="BI41" s="166"/>
      <c r="BJ41" s="167"/>
      <c r="BK41" s="168"/>
      <c r="BL41" s="56"/>
      <c r="BM41" s="168"/>
      <c r="BN41" s="169"/>
      <c r="BO41" s="168"/>
      <c r="BP41" s="168"/>
      <c r="BQ41" s="168"/>
      <c r="BR41" s="207"/>
      <c r="BS41" s="168"/>
      <c r="BT41" s="168"/>
      <c r="BU41" s="167"/>
      <c r="BV41" s="170"/>
      <c r="BW41" s="48"/>
      <c r="BX41" s="168"/>
      <c r="BY41" s="168"/>
      <c r="BZ41" s="48"/>
      <c r="CA41" s="48"/>
      <c r="CB41" s="48"/>
      <c r="CC41" s="167"/>
      <c r="CD41" s="137"/>
      <c r="CE41" s="171"/>
      <c r="CF41" s="172"/>
      <c r="CG41" s="165"/>
    </row>
    <row r="42" spans="1:86" s="138" customFormat="1" ht="15" customHeight="1">
      <c r="A42" s="48"/>
      <c r="B42" s="29"/>
      <c r="C42" s="168"/>
      <c r="D42" s="48"/>
      <c r="E42" s="29"/>
      <c r="F42" s="48"/>
      <c r="G42" s="48"/>
      <c r="H42" s="48"/>
      <c r="I42" s="48"/>
      <c r="J42" s="170"/>
      <c r="K42" s="170"/>
      <c r="L42" s="170"/>
      <c r="M42" s="170"/>
      <c r="N42" s="170"/>
      <c r="O42" s="170"/>
      <c r="P42" s="48"/>
      <c r="Q42" s="48"/>
      <c r="R42" s="170"/>
      <c r="S42" s="170"/>
      <c r="T42" s="170"/>
      <c r="U42" s="170"/>
      <c r="V42" s="170"/>
      <c r="W42" s="170"/>
      <c r="X42" s="173"/>
      <c r="Y42" s="167"/>
      <c r="Z42" s="48"/>
      <c r="AA42" s="48"/>
      <c r="AB42" s="174"/>
      <c r="AC42" s="174"/>
      <c r="AD42" s="174"/>
      <c r="AE42" s="174"/>
      <c r="AF42" s="174"/>
      <c r="AG42" s="174"/>
      <c r="AH42" s="174"/>
      <c r="AI42" s="174"/>
      <c r="AJ42" s="174"/>
      <c r="AK42" s="174"/>
      <c r="AL42" s="174"/>
      <c r="AM42" s="174"/>
      <c r="AN42" s="174"/>
      <c r="AO42" s="174"/>
      <c r="AP42" s="174"/>
      <c r="AQ42" s="174"/>
      <c r="AR42" s="174"/>
      <c r="AS42" s="174"/>
      <c r="AT42" s="174"/>
      <c r="AU42" s="174"/>
      <c r="AV42" s="174"/>
      <c r="AW42" s="174"/>
      <c r="AX42" s="174"/>
      <c r="AY42" s="174"/>
      <c r="AZ42" s="174"/>
      <c r="BA42" s="174"/>
      <c r="BB42" s="174"/>
      <c r="BC42" s="174"/>
      <c r="BD42" s="174"/>
      <c r="BE42" s="174"/>
      <c r="BF42" s="174"/>
      <c r="BG42" s="174"/>
      <c r="BH42" s="175"/>
      <c r="BI42" s="166"/>
      <c r="BJ42" s="167"/>
      <c r="BK42" s="168"/>
      <c r="BL42" s="56"/>
      <c r="BM42" s="168"/>
      <c r="BN42" s="169"/>
      <c r="BO42" s="168"/>
      <c r="BP42" s="168"/>
      <c r="BQ42" s="168"/>
      <c r="BR42" s="207"/>
      <c r="BS42" s="168"/>
      <c r="BT42" s="168"/>
      <c r="BU42" s="167"/>
      <c r="BV42" s="170"/>
      <c r="BW42" s="48"/>
      <c r="BX42" s="168"/>
      <c r="BY42" s="168"/>
      <c r="BZ42" s="48"/>
      <c r="CA42" s="48"/>
      <c r="CB42" s="48"/>
      <c r="CC42" s="167"/>
      <c r="CD42" s="137"/>
      <c r="CE42" s="171"/>
      <c r="CF42" s="172"/>
      <c r="CG42" s="165"/>
    </row>
    <row r="43" spans="1:86" s="138" customFormat="1" ht="15.6">
      <c r="C43" s="185"/>
      <c r="X43" s="186"/>
      <c r="BL43" s="187"/>
    </row>
    <row r="44" spans="1:86" s="138" customFormat="1" ht="15.6">
      <c r="C44" s="185"/>
      <c r="X44" s="186"/>
      <c r="BL44" s="187"/>
    </row>
    <row r="45" spans="1:86" s="138" customFormat="1" ht="15.6">
      <c r="C45" s="185"/>
      <c r="X45" s="186"/>
      <c r="BL45" s="187"/>
    </row>
    <row r="46" spans="1:86" s="138" customFormat="1" ht="15.6">
      <c r="C46" s="185"/>
      <c r="X46" s="186"/>
      <c r="BL46" s="187"/>
    </row>
  </sheetData>
  <autoFilter ref="A26:CH26" xr:uid="{0B3BE0A8-94D9-4943-B51D-CC52050FCF99}"/>
  <printOptions horizontalCentered="1"/>
  <pageMargins left="0.5" right="0.5" top="0.5" bottom="0.5" header="0.3" footer="0.3"/>
  <pageSetup scale="25" fitToHeight="0" orientation="landscape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B97B9-82EF-4C00-818A-580322FE5150}">
  <sheetPr>
    <tabColor theme="2" tint="-0.249977111117893"/>
    <pageSetUpPr fitToPage="1"/>
  </sheetPr>
  <dimension ref="A1:CH56"/>
  <sheetViews>
    <sheetView topLeftCell="A15" zoomScale="80" zoomScaleNormal="80" workbookViewId="0">
      <selection activeCell="A27" sqref="A27:XFD33"/>
    </sheetView>
  </sheetViews>
  <sheetFormatPr defaultColWidth="8.85546875" defaultRowHeight="14.45"/>
  <cols>
    <col min="1" max="1" width="29.140625" style="136" customWidth="1"/>
    <col min="2" max="2" width="7.28515625" style="136" hidden="1" customWidth="1"/>
    <col min="3" max="3" width="16.42578125" style="188" bestFit="1" customWidth="1"/>
    <col min="4" max="4" width="6.7109375" style="136" bestFit="1" customWidth="1"/>
    <col min="5" max="5" width="21" style="136" bestFit="1" customWidth="1"/>
    <col min="6" max="6" width="11.28515625" style="136" bestFit="1" customWidth="1"/>
    <col min="7" max="7" width="12.7109375" style="136" bestFit="1" customWidth="1"/>
    <col min="8" max="15" width="0.85546875" style="136" hidden="1" customWidth="1"/>
    <col min="16" max="16" width="3.42578125" style="136" hidden="1" customWidth="1"/>
    <col min="17" max="17" width="27" style="136" bestFit="1" customWidth="1"/>
    <col min="18" max="21" width="2.85546875" style="136" hidden="1" customWidth="1"/>
    <col min="22" max="22" width="19.85546875" style="136" hidden="1" customWidth="1"/>
    <col min="23" max="23" width="1.42578125" style="136" hidden="1" customWidth="1"/>
    <col min="24" max="24" width="22.140625" style="189" customWidth="1"/>
    <col min="25" max="25" width="5.140625" style="136" hidden="1" customWidth="1"/>
    <col min="26" max="26" width="19" style="136" hidden="1" customWidth="1"/>
    <col min="27" max="27" width="14.140625" style="136" hidden="1" customWidth="1"/>
    <col min="28" max="28" width="7.42578125" style="136" hidden="1" customWidth="1"/>
    <col min="29" max="29" width="1.7109375" style="136" hidden="1" customWidth="1"/>
    <col min="30" max="30" width="7.42578125" style="136" hidden="1" customWidth="1"/>
    <col min="31" max="34" width="1" style="136" hidden="1" customWidth="1"/>
    <col min="35" max="35" width="9.42578125" style="136" hidden="1" customWidth="1"/>
    <col min="36" max="36" width="10.28515625" style="136" customWidth="1"/>
    <col min="37" max="37" width="18.140625" style="136" hidden="1" customWidth="1"/>
    <col min="38" max="38" width="10.42578125" style="136" hidden="1" customWidth="1"/>
    <col min="39" max="40" width="1.42578125" style="136" hidden="1" customWidth="1"/>
    <col min="41" max="58" width="2.7109375" style="136" hidden="1" customWidth="1"/>
    <col min="59" max="59" width="10.140625" style="136" hidden="1" customWidth="1"/>
    <col min="60" max="60" width="16.5703125" style="136" bestFit="1" customWidth="1"/>
    <col min="61" max="61" width="9.42578125" style="136" bestFit="1" customWidth="1"/>
    <col min="62" max="62" width="12.42578125" style="136" bestFit="1" customWidth="1"/>
    <col min="63" max="63" width="17.140625" style="136" bestFit="1" customWidth="1"/>
    <col min="64" max="64" width="32.28515625" style="190" bestFit="1" customWidth="1"/>
    <col min="65" max="65" width="18" style="136" bestFit="1" customWidth="1"/>
    <col min="66" max="66" width="8.85546875" style="136"/>
    <col min="67" max="67" width="0.5703125" style="136" customWidth="1"/>
    <col min="68" max="68" width="10.7109375" style="136" bestFit="1" customWidth="1"/>
    <col min="69" max="69" width="1" style="136" customWidth="1"/>
    <col min="70" max="70" width="19.5703125" style="136" bestFit="1" customWidth="1"/>
    <col min="71" max="74" width="0.7109375" style="136" customWidth="1"/>
    <col min="75" max="80" width="0.5703125" style="136" customWidth="1"/>
    <col min="81" max="81" width="13.7109375" style="136" bestFit="1" customWidth="1"/>
    <col min="82" max="82" width="14.7109375" style="136" bestFit="1" customWidth="1"/>
    <col min="83" max="83" width="8.85546875" style="136"/>
    <col min="84" max="84" width="17.140625" style="136" bestFit="1" customWidth="1"/>
    <col min="85" max="16384" width="8.85546875" style="136"/>
  </cols>
  <sheetData>
    <row r="1" spans="1:85" ht="25.9">
      <c r="A1" s="132" t="s">
        <v>25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3"/>
      <c r="R1" s="132"/>
      <c r="S1" s="132"/>
      <c r="T1" s="132"/>
      <c r="U1" s="132"/>
      <c r="V1" s="132"/>
      <c r="W1" s="132"/>
      <c r="X1" s="134"/>
      <c r="Y1" s="6"/>
      <c r="Z1" s="6"/>
      <c r="AA1" s="2"/>
      <c r="AB1" s="26"/>
      <c r="AC1" s="26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7"/>
      <c r="BI1" s="3"/>
      <c r="BJ1" s="8"/>
      <c r="BK1" s="3"/>
      <c r="BL1" s="40"/>
      <c r="BM1" s="28"/>
      <c r="BN1" s="5"/>
      <c r="BO1" s="3"/>
      <c r="BP1" s="3"/>
      <c r="BQ1" s="3"/>
      <c r="BR1" s="200"/>
      <c r="BS1" s="3"/>
      <c r="BT1" s="5"/>
      <c r="BU1" s="8"/>
      <c r="BV1" s="5"/>
      <c r="BW1" s="5"/>
      <c r="BX1" s="3"/>
      <c r="BY1" s="5"/>
      <c r="BZ1" s="5"/>
      <c r="CA1" s="5"/>
      <c r="CB1" s="5"/>
      <c r="CC1" s="5"/>
      <c r="CD1" s="135"/>
      <c r="CE1" s="5"/>
      <c r="CF1" s="5"/>
      <c r="CG1" s="5"/>
    </row>
    <row r="2" spans="1:85" s="138" customFormat="1" ht="15" customHeight="1">
      <c r="A2" s="43" t="s">
        <v>26</v>
      </c>
      <c r="B2" s="44"/>
      <c r="C2" s="46" t="s">
        <v>257</v>
      </c>
      <c r="D2" s="44"/>
      <c r="E2" s="44"/>
      <c r="F2" s="44"/>
      <c r="G2" s="29"/>
      <c r="H2" s="29"/>
      <c r="I2" s="29"/>
      <c r="J2" s="29"/>
      <c r="K2" s="29"/>
      <c r="L2" s="29"/>
      <c r="M2" s="29"/>
      <c r="N2" s="29"/>
      <c r="O2" s="29"/>
      <c r="P2" s="29"/>
      <c r="Q2" s="137"/>
      <c r="R2" s="30"/>
      <c r="S2" s="30"/>
      <c r="T2" s="30"/>
      <c r="U2" s="30"/>
      <c r="V2" s="30"/>
      <c r="W2" s="30"/>
      <c r="X2" s="39"/>
      <c r="Y2" s="30"/>
      <c r="Z2" s="30"/>
      <c r="AA2" s="31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3"/>
      <c r="BI2" s="34"/>
      <c r="BJ2" s="35"/>
      <c r="BK2" s="34"/>
      <c r="BL2" s="41"/>
      <c r="BM2" s="36"/>
      <c r="BN2" s="37"/>
      <c r="BO2" s="34"/>
      <c r="BP2" s="34"/>
      <c r="BQ2" s="34"/>
      <c r="BR2" s="205"/>
      <c r="BS2" s="34"/>
      <c r="BT2" s="37"/>
      <c r="BU2" s="35"/>
      <c r="BV2" s="37"/>
      <c r="BW2" s="37"/>
      <c r="BX2" s="34"/>
      <c r="BY2" s="37"/>
      <c r="BZ2" s="37"/>
      <c r="CA2" s="37"/>
      <c r="CB2" s="37"/>
      <c r="CC2" s="37"/>
      <c r="CD2" s="137"/>
      <c r="CE2" s="37"/>
      <c r="CF2" s="37"/>
      <c r="CG2" s="37"/>
    </row>
    <row r="3" spans="1:85" s="138" customFormat="1" ht="15" customHeight="1">
      <c r="A3" s="47" t="s">
        <v>27</v>
      </c>
      <c r="B3" s="29"/>
      <c r="C3" s="46" t="s">
        <v>387</v>
      </c>
      <c r="D3" s="48"/>
      <c r="E3" s="48"/>
      <c r="F3" s="48"/>
      <c r="G3" s="29"/>
      <c r="H3" s="29"/>
      <c r="I3" s="29"/>
      <c r="J3" s="29"/>
      <c r="K3" s="29"/>
      <c r="L3" s="29"/>
      <c r="M3" s="29"/>
      <c r="N3" s="29"/>
      <c r="O3" s="29"/>
      <c r="P3" s="29"/>
      <c r="Q3" s="137"/>
      <c r="R3" s="30"/>
      <c r="S3" s="30"/>
      <c r="T3" s="30"/>
      <c r="U3" s="30"/>
      <c r="V3" s="30"/>
      <c r="W3" s="30"/>
      <c r="X3" s="39"/>
      <c r="Y3" s="30"/>
      <c r="Z3" s="30"/>
      <c r="AA3" s="31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3"/>
      <c r="BI3" s="34"/>
      <c r="BJ3" s="35"/>
      <c r="BK3" s="34"/>
      <c r="BL3" s="41"/>
      <c r="BM3" s="36"/>
      <c r="BN3" s="37"/>
      <c r="BO3" s="34"/>
      <c r="BP3" s="34"/>
      <c r="BQ3" s="34"/>
      <c r="BR3" s="205"/>
      <c r="BS3" s="34"/>
      <c r="BT3" s="37"/>
      <c r="BU3" s="35"/>
      <c r="BV3" s="37"/>
      <c r="BW3" s="37"/>
      <c r="BX3" s="34"/>
      <c r="BY3" s="37"/>
      <c r="BZ3" s="37"/>
      <c r="CA3" s="37"/>
      <c r="CB3" s="37"/>
      <c r="CC3" s="37"/>
      <c r="CD3" s="137"/>
      <c r="CE3" s="37"/>
      <c r="CF3" s="37"/>
      <c r="CG3" s="37"/>
    </row>
    <row r="4" spans="1:85" s="138" customFormat="1" ht="15" customHeight="1">
      <c r="A4" s="43" t="s">
        <v>29</v>
      </c>
      <c r="B4" s="45"/>
      <c r="C4" s="46"/>
      <c r="D4" s="29"/>
      <c r="E4" s="29"/>
      <c r="F4" s="29"/>
      <c r="G4" s="29"/>
      <c r="H4" s="29"/>
      <c r="I4" s="29"/>
      <c r="J4" s="44"/>
      <c r="K4" s="44"/>
      <c r="L4" s="44"/>
      <c r="M4" s="44"/>
      <c r="N4" s="44"/>
      <c r="O4" s="44"/>
      <c r="P4" s="44"/>
      <c r="Q4" s="137"/>
      <c r="R4" s="49"/>
      <c r="S4" s="49"/>
      <c r="T4" s="49"/>
      <c r="U4" s="49"/>
      <c r="V4" s="49"/>
      <c r="W4" s="49"/>
      <c r="X4" s="39"/>
      <c r="Y4" s="49"/>
      <c r="Z4" s="49"/>
      <c r="AA4" s="31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50"/>
      <c r="BI4" s="34"/>
      <c r="BJ4" s="35"/>
      <c r="BK4" s="34"/>
      <c r="BL4" s="41"/>
      <c r="BM4" s="36"/>
      <c r="BN4" s="37"/>
      <c r="BO4" s="34"/>
      <c r="BP4" s="34"/>
      <c r="BQ4" s="34"/>
      <c r="BR4" s="205"/>
      <c r="BS4" s="34"/>
      <c r="BT4" s="37"/>
      <c r="BU4" s="35"/>
      <c r="BV4" s="37"/>
      <c r="BW4" s="37"/>
      <c r="BX4" s="34"/>
      <c r="BY4" s="37"/>
      <c r="BZ4" s="37"/>
      <c r="CA4" s="37"/>
      <c r="CB4" s="37"/>
      <c r="CC4" s="37"/>
      <c r="CD4" s="137"/>
      <c r="CE4" s="37"/>
      <c r="CF4" s="37"/>
      <c r="CG4" s="37"/>
    </row>
    <row r="5" spans="1:85" s="138" customFormat="1" ht="15" customHeight="1">
      <c r="A5" s="43" t="s">
        <v>30</v>
      </c>
      <c r="B5" s="45"/>
      <c r="C5" s="139">
        <v>1</v>
      </c>
      <c r="D5" s="29"/>
      <c r="E5" s="29"/>
      <c r="F5" s="29"/>
      <c r="G5" s="29"/>
      <c r="H5" s="29"/>
      <c r="I5" s="29"/>
      <c r="J5" s="44"/>
      <c r="K5" s="44"/>
      <c r="L5" s="44"/>
      <c r="M5" s="44"/>
      <c r="N5" s="44"/>
      <c r="O5" s="44"/>
      <c r="P5" s="44"/>
      <c r="Q5" s="137"/>
      <c r="R5" s="49"/>
      <c r="S5" s="49"/>
      <c r="T5" s="49"/>
      <c r="U5" s="49"/>
      <c r="V5" s="49"/>
      <c r="W5" s="49"/>
      <c r="X5" s="39"/>
      <c r="Y5" s="49"/>
      <c r="Z5" s="49"/>
      <c r="AA5" s="31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50"/>
      <c r="BI5" s="34"/>
      <c r="BJ5" s="35"/>
      <c r="BK5" s="34"/>
      <c r="BL5" s="41"/>
      <c r="BM5" s="36"/>
      <c r="BN5" s="37"/>
      <c r="BO5" s="34"/>
      <c r="BP5" s="34"/>
      <c r="BQ5" s="34"/>
      <c r="BR5" s="205"/>
      <c r="BS5" s="34"/>
      <c r="BT5" s="37"/>
      <c r="BU5" s="35"/>
      <c r="BV5" s="37"/>
      <c r="BW5" s="37"/>
      <c r="BX5" s="34"/>
      <c r="BY5" s="37"/>
      <c r="BZ5" s="37"/>
      <c r="CA5" s="37"/>
      <c r="CB5" s="37"/>
      <c r="CC5" s="37"/>
      <c r="CD5" s="137"/>
      <c r="CE5" s="37"/>
      <c r="CF5" s="37"/>
      <c r="CG5" s="37"/>
    </row>
    <row r="6" spans="1:85" s="138" customFormat="1" ht="15" customHeight="1">
      <c r="A6" s="43"/>
      <c r="B6" s="45"/>
      <c r="C6" s="139"/>
      <c r="D6" s="29"/>
      <c r="E6" s="29"/>
      <c r="F6" s="29"/>
      <c r="G6" s="29"/>
      <c r="H6" s="29"/>
      <c r="I6" s="29"/>
      <c r="J6" s="44"/>
      <c r="K6" s="44"/>
      <c r="L6" s="44"/>
      <c r="M6" s="44"/>
      <c r="N6" s="44"/>
      <c r="O6" s="44"/>
      <c r="P6" s="44"/>
      <c r="Q6" s="137"/>
      <c r="R6" s="49"/>
      <c r="S6" s="49"/>
      <c r="T6" s="49"/>
      <c r="U6" s="49"/>
      <c r="V6" s="49"/>
      <c r="W6" s="49"/>
      <c r="X6" s="39"/>
      <c r="Y6" s="49"/>
      <c r="Z6" s="49"/>
      <c r="AA6" s="31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50"/>
      <c r="BI6" s="34"/>
      <c r="BJ6" s="35"/>
      <c r="BK6" s="34"/>
      <c r="BL6" s="41"/>
      <c r="BM6" s="36"/>
      <c r="BN6" s="37"/>
      <c r="BO6" s="34"/>
      <c r="BP6" s="34"/>
      <c r="BQ6" s="34"/>
      <c r="BR6" s="205"/>
      <c r="BS6" s="34"/>
      <c r="BT6" s="37"/>
      <c r="BU6" s="35"/>
      <c r="BV6" s="37"/>
      <c r="BW6" s="37"/>
      <c r="BX6" s="34"/>
      <c r="BY6" s="37"/>
      <c r="BZ6" s="37"/>
      <c r="CA6" s="37"/>
      <c r="CB6" s="37"/>
      <c r="CC6" s="37"/>
      <c r="CD6" s="137"/>
      <c r="CE6" s="37"/>
      <c r="CF6" s="37"/>
      <c r="CG6" s="37"/>
    </row>
    <row r="7" spans="1:85" s="138" customFormat="1" ht="15" customHeight="1" thickBot="1">
      <c r="A7" s="43"/>
      <c r="B7" s="45"/>
      <c r="C7" s="139"/>
      <c r="D7" s="29"/>
      <c r="E7" s="29"/>
      <c r="F7" s="29"/>
      <c r="G7" s="29"/>
      <c r="H7" s="29"/>
      <c r="I7" s="29"/>
      <c r="J7" s="44"/>
      <c r="K7" s="44"/>
      <c r="L7" s="44"/>
      <c r="M7" s="44"/>
      <c r="N7" s="44"/>
      <c r="O7" s="44"/>
      <c r="P7" s="44"/>
      <c r="Q7" s="137"/>
      <c r="R7" s="49"/>
      <c r="S7" s="49"/>
      <c r="T7" s="49"/>
      <c r="U7" s="49"/>
      <c r="V7" s="49"/>
      <c r="W7" s="49"/>
      <c r="X7" s="39"/>
      <c r="Y7" s="49"/>
      <c r="Z7" s="49"/>
      <c r="AA7" s="31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50"/>
      <c r="BI7" s="34"/>
      <c r="BJ7" s="35"/>
      <c r="BK7" s="34"/>
      <c r="BL7" s="41"/>
      <c r="BM7" s="36"/>
      <c r="BN7" s="37"/>
      <c r="BO7" s="34"/>
      <c r="BP7" s="34"/>
      <c r="BQ7" s="34"/>
      <c r="BR7" s="205"/>
      <c r="BS7" s="34"/>
      <c r="BT7" s="37"/>
      <c r="BU7" s="35"/>
      <c r="BV7" s="37"/>
      <c r="BW7" s="37"/>
      <c r="BX7" s="34"/>
      <c r="BY7" s="37"/>
      <c r="BZ7" s="37"/>
      <c r="CA7" s="37"/>
      <c r="CB7" s="37"/>
      <c r="CC7" s="37"/>
      <c r="CD7" s="137"/>
      <c r="CE7" s="37"/>
      <c r="CF7" s="37"/>
      <c r="CG7" s="37"/>
    </row>
    <row r="8" spans="1:85" s="138" customFormat="1" ht="15" customHeight="1" thickBot="1">
      <c r="A8" s="140" t="s">
        <v>31</v>
      </c>
      <c r="B8" s="141"/>
      <c r="C8" s="142">
        <v>24.750000000000004</v>
      </c>
      <c r="D8" s="29"/>
      <c r="E8" s="29"/>
      <c r="F8" s="29"/>
      <c r="G8" s="29"/>
      <c r="H8" s="29"/>
      <c r="I8" s="29"/>
      <c r="J8" s="44"/>
      <c r="K8" s="44"/>
      <c r="L8" s="44"/>
      <c r="M8" s="44"/>
      <c r="N8" s="44"/>
      <c r="O8" s="44"/>
      <c r="P8" s="44"/>
      <c r="Q8" s="137"/>
      <c r="R8" s="49"/>
      <c r="S8" s="49"/>
      <c r="T8" s="49"/>
      <c r="U8" s="49"/>
      <c r="V8" s="49"/>
      <c r="W8" s="49"/>
      <c r="X8" s="39"/>
      <c r="Y8" s="49"/>
      <c r="Z8" s="49"/>
      <c r="AA8" s="31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50"/>
      <c r="BI8" s="34"/>
      <c r="BJ8" s="35"/>
      <c r="BK8" s="34"/>
      <c r="BL8" s="41"/>
      <c r="BM8" s="36"/>
      <c r="BN8" s="37"/>
      <c r="BO8" s="34"/>
      <c r="BP8" s="34"/>
      <c r="BQ8" s="34"/>
      <c r="BR8" s="205"/>
      <c r="BS8" s="34"/>
      <c r="BT8" s="37"/>
      <c r="BU8" s="35"/>
      <c r="BV8" s="37"/>
      <c r="BW8" s="37"/>
      <c r="BX8" s="34"/>
      <c r="BY8" s="37"/>
      <c r="BZ8" s="37"/>
      <c r="CA8" s="37"/>
      <c r="CB8" s="37"/>
      <c r="CC8" s="37"/>
      <c r="CD8" s="137"/>
      <c r="CE8" s="37"/>
      <c r="CF8" s="37"/>
      <c r="CG8" s="37"/>
    </row>
    <row r="9" spans="1:85" s="138" customFormat="1" ht="15" customHeight="1">
      <c r="A9" s="137"/>
      <c r="B9" s="45"/>
      <c r="C9" s="49"/>
      <c r="D9" s="29"/>
      <c r="E9" s="29"/>
      <c r="F9" s="29"/>
      <c r="G9" s="29"/>
      <c r="H9" s="29"/>
      <c r="I9" s="29"/>
      <c r="J9" s="44"/>
      <c r="K9" s="44"/>
      <c r="L9" s="44"/>
      <c r="M9" s="44"/>
      <c r="N9" s="44"/>
      <c r="O9" s="44"/>
      <c r="P9" s="44"/>
      <c r="Q9" s="137"/>
      <c r="R9" s="143"/>
      <c r="S9" s="143"/>
      <c r="T9" s="143"/>
      <c r="U9" s="143"/>
      <c r="V9" s="143"/>
      <c r="W9" s="143"/>
      <c r="X9" s="144"/>
      <c r="Y9" s="49"/>
      <c r="Z9" s="49"/>
      <c r="AA9" s="31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50"/>
      <c r="BI9" s="34"/>
      <c r="BJ9" s="35"/>
      <c r="BK9" s="34"/>
      <c r="BL9" s="41"/>
      <c r="BM9" s="36"/>
      <c r="BN9" s="37"/>
      <c r="BO9" s="34"/>
      <c r="BP9" s="34"/>
      <c r="BQ9" s="34"/>
      <c r="BR9" s="205"/>
      <c r="BS9" s="34"/>
      <c r="BT9" s="37"/>
      <c r="BU9" s="35"/>
      <c r="BV9" s="37"/>
      <c r="BW9" s="37"/>
      <c r="BX9" s="34"/>
      <c r="BY9" s="37"/>
      <c r="BZ9" s="37"/>
      <c r="CA9" s="37"/>
      <c r="CB9" s="37"/>
      <c r="CC9" s="37"/>
      <c r="CD9" s="137"/>
      <c r="CE9" s="37"/>
      <c r="CF9" s="37"/>
      <c r="CG9" s="37"/>
    </row>
    <row r="10" spans="1:85" s="138" customFormat="1" ht="15" customHeight="1">
      <c r="A10" s="137" t="s">
        <v>388</v>
      </c>
      <c r="B10" s="45"/>
      <c r="C10" s="49">
        <v>0</v>
      </c>
      <c r="D10" s="29"/>
      <c r="E10" s="29"/>
      <c r="F10" s="29"/>
      <c r="G10" s="29"/>
      <c r="H10" s="29"/>
      <c r="I10" s="29"/>
      <c r="J10" s="44"/>
      <c r="K10" s="44"/>
      <c r="L10" s="44"/>
      <c r="M10" s="44"/>
      <c r="N10" s="44"/>
      <c r="O10" s="44"/>
      <c r="P10" s="44"/>
      <c r="Q10" s="137"/>
      <c r="R10" s="143"/>
      <c r="S10" s="143"/>
      <c r="T10" s="143"/>
      <c r="U10" s="143"/>
      <c r="V10" s="143"/>
      <c r="W10" s="143"/>
      <c r="X10" s="144"/>
      <c r="Y10" s="49"/>
      <c r="Z10" s="49"/>
      <c r="AA10" s="31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50"/>
      <c r="BI10" s="34"/>
      <c r="BJ10" s="35"/>
      <c r="BK10" s="34"/>
      <c r="BL10" s="41"/>
      <c r="BM10" s="36"/>
      <c r="BN10" s="37"/>
      <c r="BO10" s="34"/>
      <c r="BP10" s="34"/>
      <c r="BQ10" s="34"/>
      <c r="BR10" s="205"/>
      <c r="BS10" s="34"/>
      <c r="BT10" s="37"/>
      <c r="BU10" s="35"/>
      <c r="BV10" s="37"/>
      <c r="BW10" s="37"/>
      <c r="BX10" s="34"/>
      <c r="BY10" s="37"/>
      <c r="BZ10" s="37"/>
      <c r="CA10" s="37"/>
      <c r="CB10" s="37"/>
      <c r="CC10" s="37"/>
      <c r="CD10" s="137"/>
      <c r="CE10" s="37"/>
      <c r="CF10" s="37"/>
      <c r="CG10" s="37"/>
    </row>
    <row r="11" spans="1:85" s="138" customFormat="1" ht="15" customHeight="1">
      <c r="A11" s="137" t="s">
        <v>32</v>
      </c>
      <c r="B11" s="45"/>
      <c r="C11" s="49">
        <v>0</v>
      </c>
      <c r="D11" s="29"/>
      <c r="E11" s="29"/>
      <c r="F11" s="29"/>
      <c r="G11" s="29"/>
      <c r="H11" s="29"/>
      <c r="I11" s="29"/>
      <c r="J11" s="44"/>
      <c r="K11" s="44"/>
      <c r="L11" s="44"/>
      <c r="M11" s="44"/>
      <c r="N11" s="44"/>
      <c r="O11" s="44"/>
      <c r="P11" s="44"/>
      <c r="Q11" s="137"/>
      <c r="R11" s="145"/>
      <c r="S11" s="145"/>
      <c r="T11" s="145"/>
      <c r="U11" s="145"/>
      <c r="V11" s="145"/>
      <c r="W11" s="145"/>
      <c r="X11" s="144"/>
      <c r="Y11" s="49"/>
      <c r="Z11" s="49"/>
      <c r="AA11" s="31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50"/>
      <c r="BI11" s="34"/>
      <c r="BJ11" s="35"/>
      <c r="BK11" s="34"/>
      <c r="BL11" s="41"/>
      <c r="BM11" s="36"/>
      <c r="BN11" s="37"/>
      <c r="BO11" s="34"/>
      <c r="BP11" s="34"/>
      <c r="BQ11" s="34"/>
      <c r="BR11" s="205"/>
      <c r="BS11" s="34"/>
      <c r="BT11" s="37"/>
      <c r="BU11" s="35"/>
      <c r="BV11" s="37"/>
      <c r="BW11" s="37"/>
      <c r="BX11" s="34"/>
      <c r="BY11" s="37"/>
      <c r="BZ11" s="37"/>
      <c r="CA11" s="37"/>
      <c r="CB11" s="37"/>
      <c r="CC11" s="37"/>
      <c r="CD11" s="137"/>
      <c r="CE11" s="37"/>
      <c r="CF11" s="37"/>
      <c r="CG11" s="37"/>
    </row>
    <row r="12" spans="1:85" s="138" customFormat="1" ht="15" customHeight="1">
      <c r="A12" s="137" t="s">
        <v>33</v>
      </c>
      <c r="B12" s="45"/>
      <c r="C12" s="49">
        <v>24.750000000000004</v>
      </c>
      <c r="D12" s="29"/>
      <c r="E12" s="29"/>
      <c r="F12" s="29"/>
      <c r="G12" s="29"/>
      <c r="H12" s="29"/>
      <c r="I12" s="29"/>
      <c r="J12" s="44"/>
      <c r="K12" s="44"/>
      <c r="L12" s="44"/>
      <c r="M12" s="44"/>
      <c r="N12" s="44"/>
      <c r="O12" s="44"/>
      <c r="P12" s="44"/>
      <c r="Q12" s="137"/>
      <c r="R12" s="145"/>
      <c r="S12" s="145"/>
      <c r="T12" s="145"/>
      <c r="U12" s="145"/>
      <c r="V12" s="145"/>
      <c r="W12" s="145"/>
      <c r="X12" s="144"/>
      <c r="Y12" s="49"/>
      <c r="Z12" s="49"/>
      <c r="AA12" s="31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50"/>
      <c r="BI12" s="34"/>
      <c r="BJ12" s="35"/>
      <c r="BK12" s="34"/>
      <c r="BL12" s="41"/>
      <c r="BM12" s="36"/>
      <c r="BN12" s="37"/>
      <c r="BO12" s="34"/>
      <c r="BP12" s="34"/>
      <c r="BQ12" s="34"/>
      <c r="BR12" s="205"/>
      <c r="BS12" s="34"/>
      <c r="BT12" s="37"/>
      <c r="BU12" s="35"/>
      <c r="BV12" s="37"/>
      <c r="BW12" s="37"/>
      <c r="BX12" s="34"/>
      <c r="BY12" s="37"/>
      <c r="BZ12" s="37"/>
      <c r="CA12" s="37"/>
      <c r="CB12" s="37"/>
      <c r="CC12" s="37"/>
      <c r="CD12" s="137"/>
      <c r="CE12" s="37"/>
      <c r="CF12" s="37"/>
      <c r="CG12" s="37"/>
    </row>
    <row r="13" spans="1:85" s="138" customFormat="1" ht="15" customHeight="1">
      <c r="A13" s="137" t="s">
        <v>34</v>
      </c>
      <c r="B13" s="45"/>
      <c r="C13" s="49">
        <v>0</v>
      </c>
      <c r="D13" s="29"/>
      <c r="E13" s="29"/>
      <c r="F13" s="29"/>
      <c r="G13" s="29"/>
      <c r="H13" s="29"/>
      <c r="I13" s="29"/>
      <c r="J13" s="44"/>
      <c r="K13" s="44"/>
      <c r="L13" s="44"/>
      <c r="M13" s="44"/>
      <c r="N13" s="44"/>
      <c r="O13" s="44"/>
      <c r="P13" s="44"/>
      <c r="Q13" s="137"/>
      <c r="R13" s="143"/>
      <c r="S13" s="143"/>
      <c r="T13" s="143"/>
      <c r="U13" s="143"/>
      <c r="V13" s="143"/>
      <c r="W13" s="143"/>
      <c r="X13" s="144"/>
      <c r="Y13" s="49"/>
      <c r="Z13" s="49"/>
      <c r="AA13" s="31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50"/>
      <c r="BI13" s="34"/>
      <c r="BJ13" s="35"/>
      <c r="BK13" s="34"/>
      <c r="BL13" s="41"/>
      <c r="BM13" s="36"/>
      <c r="BN13" s="37"/>
      <c r="BO13" s="34"/>
      <c r="BP13" s="34"/>
      <c r="BQ13" s="34"/>
      <c r="BR13" s="205"/>
      <c r="BS13" s="34"/>
      <c r="BT13" s="37"/>
      <c r="BU13" s="35"/>
      <c r="BV13" s="37"/>
      <c r="BW13" s="37"/>
      <c r="BX13" s="34"/>
      <c r="BY13" s="37"/>
      <c r="BZ13" s="37"/>
      <c r="CA13" s="37"/>
      <c r="CB13" s="37"/>
      <c r="CC13" s="37"/>
      <c r="CD13" s="137"/>
      <c r="CE13" s="37"/>
      <c r="CF13" s="37"/>
      <c r="CG13" s="37"/>
    </row>
    <row r="14" spans="1:85" s="138" customFormat="1" ht="15" customHeight="1">
      <c r="A14" s="137" t="s">
        <v>35</v>
      </c>
      <c r="B14" s="45"/>
      <c r="C14" s="49">
        <v>0</v>
      </c>
      <c r="D14" s="29"/>
      <c r="E14" s="29"/>
      <c r="F14" s="29"/>
      <c r="G14" s="29"/>
      <c r="H14" s="29"/>
      <c r="I14" s="29"/>
      <c r="J14" s="44"/>
      <c r="K14" s="44"/>
      <c r="L14" s="44"/>
      <c r="M14" s="44"/>
      <c r="N14" s="44"/>
      <c r="O14" s="44"/>
      <c r="P14" s="44"/>
      <c r="Q14" s="137"/>
      <c r="R14" s="49"/>
      <c r="S14" s="49"/>
      <c r="T14" s="49"/>
      <c r="U14" s="49"/>
      <c r="V14" s="49"/>
      <c r="W14" s="49"/>
      <c r="X14" s="39"/>
      <c r="Y14" s="49"/>
      <c r="Z14" s="49"/>
      <c r="AA14" s="31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50"/>
      <c r="BI14" s="34"/>
      <c r="BJ14" s="35"/>
      <c r="BK14" s="34"/>
      <c r="BL14" s="41"/>
      <c r="BM14" s="36"/>
      <c r="BN14" s="37"/>
      <c r="BO14" s="34"/>
      <c r="BP14" s="34"/>
      <c r="BQ14" s="34"/>
      <c r="BR14" s="205"/>
      <c r="BS14" s="34"/>
      <c r="BT14" s="37"/>
      <c r="BU14" s="35"/>
      <c r="BV14" s="37"/>
      <c r="BW14" s="37"/>
      <c r="BX14" s="34"/>
      <c r="BY14" s="37"/>
      <c r="BZ14" s="37"/>
      <c r="CA14" s="37"/>
      <c r="CB14" s="37"/>
      <c r="CC14" s="37"/>
      <c r="CD14" s="137"/>
      <c r="CE14" s="37"/>
      <c r="CF14" s="37"/>
      <c r="CG14" s="37"/>
    </row>
    <row r="15" spans="1:85" s="138" customFormat="1" ht="15" customHeight="1">
      <c r="A15" s="137" t="s">
        <v>36</v>
      </c>
      <c r="B15" s="49"/>
      <c r="C15" s="49">
        <v>0</v>
      </c>
      <c r="D15" s="29"/>
      <c r="E15" s="29"/>
      <c r="F15" s="29"/>
      <c r="G15" s="29"/>
      <c r="H15" s="29"/>
      <c r="I15" s="29"/>
      <c r="J15" s="44"/>
      <c r="K15" s="44"/>
      <c r="L15" s="44"/>
      <c r="M15" s="44"/>
      <c r="N15" s="44"/>
      <c r="O15" s="44"/>
      <c r="P15" s="44"/>
      <c r="Q15" s="137"/>
      <c r="R15" s="49"/>
      <c r="S15" s="49"/>
      <c r="T15" s="49"/>
      <c r="U15" s="49"/>
      <c r="V15" s="49"/>
      <c r="W15" s="49"/>
      <c r="X15" s="39"/>
      <c r="Y15" s="49"/>
      <c r="Z15" s="49"/>
      <c r="AA15" s="31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50"/>
      <c r="BI15" s="34"/>
      <c r="BJ15" s="35"/>
      <c r="BK15" s="34"/>
      <c r="BL15" s="41"/>
      <c r="BM15" s="36"/>
      <c r="BN15" s="37"/>
      <c r="BO15" s="34"/>
      <c r="BP15" s="34"/>
      <c r="BQ15" s="34"/>
      <c r="BR15" s="205"/>
      <c r="BS15" s="34"/>
      <c r="BT15" s="37"/>
      <c r="BU15" s="35"/>
      <c r="BV15" s="37"/>
      <c r="BW15" s="37"/>
      <c r="BX15" s="34"/>
      <c r="BY15" s="37"/>
      <c r="BZ15" s="37"/>
      <c r="CA15" s="37"/>
      <c r="CB15" s="37"/>
      <c r="CC15" s="37"/>
      <c r="CD15" s="137"/>
      <c r="CE15" s="37"/>
      <c r="CF15" s="37"/>
      <c r="CG15" s="37"/>
    </row>
    <row r="16" spans="1:85" s="138" customFormat="1" ht="15" customHeight="1">
      <c r="A16" s="137" t="s">
        <v>37</v>
      </c>
      <c r="B16" s="49"/>
      <c r="C16" s="49">
        <v>0</v>
      </c>
      <c r="D16" s="29"/>
      <c r="E16" s="29"/>
      <c r="F16" s="29"/>
      <c r="G16" s="29"/>
      <c r="H16" s="29"/>
      <c r="I16" s="29"/>
      <c r="J16" s="44"/>
      <c r="K16" s="44"/>
      <c r="L16" s="44"/>
      <c r="M16" s="44"/>
      <c r="N16" s="44"/>
      <c r="O16" s="44"/>
      <c r="P16" s="44"/>
      <c r="Q16" s="137"/>
      <c r="R16" s="49"/>
      <c r="S16" s="49"/>
      <c r="T16" s="49"/>
      <c r="U16" s="49"/>
      <c r="V16" s="49"/>
      <c r="W16" s="49"/>
      <c r="X16" s="39"/>
      <c r="Y16" s="49"/>
      <c r="Z16" s="49"/>
      <c r="AA16" s="31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50"/>
      <c r="BI16" s="34"/>
      <c r="BJ16" s="35"/>
      <c r="BK16" s="34"/>
      <c r="BL16" s="41"/>
      <c r="BM16" s="36"/>
      <c r="BN16" s="37"/>
      <c r="BO16" s="34"/>
      <c r="BP16" s="34"/>
      <c r="BQ16" s="34"/>
      <c r="BR16" s="205"/>
      <c r="BS16" s="34"/>
      <c r="BT16" s="37"/>
      <c r="BU16" s="35"/>
      <c r="BV16" s="37"/>
      <c r="BW16" s="37"/>
      <c r="BX16" s="34"/>
      <c r="BY16" s="37"/>
      <c r="BZ16" s="37"/>
      <c r="CA16" s="37"/>
      <c r="CB16" s="37"/>
      <c r="CC16" s="37"/>
      <c r="CD16" s="137"/>
      <c r="CE16" s="37"/>
      <c r="CF16" s="37"/>
      <c r="CG16" s="37"/>
    </row>
    <row r="17" spans="1:85" s="138" customFormat="1" ht="15" customHeight="1">
      <c r="A17" s="137" t="s">
        <v>38</v>
      </c>
      <c r="B17" s="49"/>
      <c r="C17" s="49">
        <v>0</v>
      </c>
      <c r="D17" s="29"/>
      <c r="E17" s="29"/>
      <c r="F17" s="29"/>
      <c r="G17" s="29"/>
      <c r="H17" s="29"/>
      <c r="I17" s="29"/>
      <c r="J17" s="44"/>
      <c r="K17" s="44"/>
      <c r="L17" s="44"/>
      <c r="M17" s="44"/>
      <c r="N17" s="44"/>
      <c r="O17" s="44"/>
      <c r="P17" s="44"/>
      <c r="Q17" s="137"/>
      <c r="R17" s="49"/>
      <c r="S17" s="49"/>
      <c r="T17" s="49"/>
      <c r="U17" s="49"/>
      <c r="V17" s="49"/>
      <c r="W17" s="49"/>
      <c r="X17" s="39"/>
      <c r="Y17" s="49"/>
      <c r="Z17" s="49"/>
      <c r="AA17" s="31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50"/>
      <c r="BI17" s="34"/>
      <c r="BJ17" s="35"/>
      <c r="BK17" s="34"/>
      <c r="BL17" s="41"/>
      <c r="BM17" s="36"/>
      <c r="BN17" s="37"/>
      <c r="BO17" s="34"/>
      <c r="BP17" s="34"/>
      <c r="BQ17" s="34"/>
      <c r="BR17" s="205"/>
      <c r="BS17" s="34"/>
      <c r="BT17" s="37"/>
      <c r="BU17" s="35"/>
      <c r="BV17" s="37"/>
      <c r="BW17" s="37"/>
      <c r="BX17" s="34"/>
      <c r="BY17" s="37"/>
      <c r="BZ17" s="37"/>
      <c r="CA17" s="37"/>
      <c r="CB17" s="37"/>
      <c r="CC17" s="37"/>
      <c r="CD17" s="137"/>
      <c r="CE17" s="37"/>
      <c r="CF17" s="37"/>
      <c r="CG17" s="37"/>
    </row>
    <row r="18" spans="1:85" s="138" customFormat="1" ht="15" customHeight="1">
      <c r="A18" s="137" t="s">
        <v>39</v>
      </c>
      <c r="B18" s="49"/>
      <c r="C18" s="49">
        <v>0</v>
      </c>
      <c r="D18" s="29"/>
      <c r="E18" s="29"/>
      <c r="F18" s="29"/>
      <c r="G18" s="29"/>
      <c r="H18" s="29"/>
      <c r="I18" s="29"/>
      <c r="J18" s="44"/>
      <c r="K18" s="44"/>
      <c r="L18" s="44"/>
      <c r="M18" s="44"/>
      <c r="N18" s="44"/>
      <c r="O18" s="44"/>
      <c r="P18" s="44"/>
      <c r="Q18" s="137"/>
      <c r="R18" s="49"/>
      <c r="S18" s="49"/>
      <c r="T18" s="49"/>
      <c r="U18" s="49"/>
      <c r="V18" s="49"/>
      <c r="W18" s="49"/>
      <c r="X18" s="39"/>
      <c r="Y18" s="49"/>
      <c r="Z18" s="49"/>
      <c r="AA18" s="31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50"/>
      <c r="BI18" s="34"/>
      <c r="BJ18" s="35"/>
      <c r="BK18" s="34"/>
      <c r="BL18" s="41"/>
      <c r="BM18" s="36"/>
      <c r="BN18" s="37"/>
      <c r="BO18" s="34"/>
      <c r="BP18" s="34"/>
      <c r="BQ18" s="34"/>
      <c r="BR18" s="205"/>
      <c r="BS18" s="34"/>
      <c r="BT18" s="37"/>
      <c r="BU18" s="35"/>
      <c r="BV18" s="37"/>
      <c r="BW18" s="37"/>
      <c r="BX18" s="34"/>
      <c r="BY18" s="37"/>
      <c r="BZ18" s="37"/>
      <c r="CA18" s="37"/>
      <c r="CB18" s="37"/>
      <c r="CC18" s="37"/>
      <c r="CD18" s="137"/>
      <c r="CE18" s="37"/>
      <c r="CF18" s="37"/>
      <c r="CG18" s="37"/>
    </row>
    <row r="19" spans="1:85" s="138" customFormat="1" ht="15" customHeight="1">
      <c r="A19" s="137" t="s">
        <v>40</v>
      </c>
      <c r="B19" s="49"/>
      <c r="C19" s="49">
        <v>0</v>
      </c>
      <c r="D19" s="29"/>
      <c r="E19" s="29"/>
      <c r="F19" s="29"/>
      <c r="G19" s="29"/>
      <c r="H19" s="29"/>
      <c r="I19" s="29"/>
      <c r="J19" s="44"/>
      <c r="K19" s="44"/>
      <c r="L19" s="44"/>
      <c r="M19" s="44"/>
      <c r="N19" s="44"/>
      <c r="O19" s="44"/>
      <c r="P19" s="44"/>
      <c r="Q19" s="137"/>
      <c r="R19" s="49"/>
      <c r="S19" s="49"/>
      <c r="T19" s="49"/>
      <c r="U19" s="49"/>
      <c r="V19" s="49"/>
      <c r="W19" s="49"/>
      <c r="X19" s="39"/>
      <c r="Y19" s="49"/>
      <c r="Z19" s="49"/>
      <c r="AA19" s="31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50"/>
      <c r="BI19" s="34"/>
      <c r="BJ19" s="35"/>
      <c r="BK19" s="34"/>
      <c r="BL19" s="41"/>
      <c r="BM19" s="36"/>
      <c r="BN19" s="37"/>
      <c r="BO19" s="34"/>
      <c r="BP19" s="34"/>
      <c r="BQ19" s="34"/>
      <c r="BR19" s="205"/>
      <c r="BS19" s="34"/>
      <c r="BT19" s="37"/>
      <c r="BU19" s="35"/>
      <c r="BV19" s="37"/>
      <c r="BW19" s="37"/>
      <c r="BX19" s="34"/>
      <c r="BY19" s="37"/>
      <c r="BZ19" s="37"/>
      <c r="CA19" s="37"/>
      <c r="CB19" s="37"/>
      <c r="CC19" s="37"/>
      <c r="CD19" s="137"/>
      <c r="CE19" s="37"/>
      <c r="CF19" s="37"/>
      <c r="CG19" s="37"/>
    </row>
    <row r="20" spans="1:85" s="138" customFormat="1" ht="15" customHeight="1">
      <c r="A20" s="137" t="s">
        <v>41</v>
      </c>
      <c r="B20" s="49"/>
      <c r="C20" s="49">
        <v>0</v>
      </c>
      <c r="D20" s="29"/>
      <c r="E20" s="29"/>
      <c r="F20" s="29"/>
      <c r="G20" s="29"/>
      <c r="H20" s="29"/>
      <c r="I20" s="29"/>
      <c r="J20" s="44"/>
      <c r="K20" s="44"/>
      <c r="L20" s="44"/>
      <c r="M20" s="44"/>
      <c r="N20" s="44"/>
      <c r="O20" s="44"/>
      <c r="P20" s="44"/>
      <c r="Q20" s="137"/>
      <c r="R20" s="49"/>
      <c r="S20" s="49"/>
      <c r="T20" s="49"/>
      <c r="U20" s="49"/>
      <c r="V20" s="49"/>
      <c r="W20" s="49"/>
      <c r="X20" s="39"/>
      <c r="Y20" s="49"/>
      <c r="Z20" s="49"/>
      <c r="AA20" s="31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50"/>
      <c r="BI20" s="34"/>
      <c r="BJ20" s="35"/>
      <c r="BK20" s="34"/>
      <c r="BL20" s="41"/>
      <c r="BM20" s="36"/>
      <c r="BN20" s="37"/>
      <c r="BO20" s="34"/>
      <c r="BP20" s="34"/>
      <c r="BQ20" s="34"/>
      <c r="BR20" s="205"/>
      <c r="BS20" s="34"/>
      <c r="BT20" s="37"/>
      <c r="BU20" s="35"/>
      <c r="BV20" s="37"/>
      <c r="BW20" s="37"/>
      <c r="BX20" s="34"/>
      <c r="BY20" s="37"/>
      <c r="BZ20" s="37"/>
      <c r="CA20" s="37"/>
      <c r="CB20" s="37"/>
      <c r="CC20" s="37"/>
      <c r="CD20" s="137"/>
      <c r="CE20" s="37"/>
      <c r="CF20" s="37"/>
      <c r="CG20" s="37"/>
    </row>
    <row r="21" spans="1:85" s="138" customFormat="1" ht="15" customHeight="1">
      <c r="A21" s="137" t="s">
        <v>42</v>
      </c>
      <c r="B21" s="49"/>
      <c r="C21" s="49">
        <v>0</v>
      </c>
      <c r="D21" s="29"/>
      <c r="E21" s="29"/>
      <c r="F21" s="29"/>
      <c r="G21" s="29"/>
      <c r="H21" s="29"/>
      <c r="I21" s="29"/>
      <c r="J21" s="44"/>
      <c r="K21" s="44"/>
      <c r="L21" s="44"/>
      <c r="M21" s="44"/>
      <c r="N21" s="44"/>
      <c r="O21" s="44"/>
      <c r="P21" s="44"/>
      <c r="Q21" s="137"/>
      <c r="R21" s="49"/>
      <c r="S21" s="49"/>
      <c r="T21" s="49"/>
      <c r="U21" s="49"/>
      <c r="V21" s="49"/>
      <c r="W21" s="49"/>
      <c r="X21" s="39"/>
      <c r="Y21" s="49"/>
      <c r="Z21" s="49"/>
      <c r="AA21" s="31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50"/>
      <c r="BI21" s="34"/>
      <c r="BJ21" s="35"/>
      <c r="BK21" s="34"/>
      <c r="BL21" s="41"/>
      <c r="BM21" s="36"/>
      <c r="BN21" s="37"/>
      <c r="BO21" s="34"/>
      <c r="BP21" s="34"/>
      <c r="BQ21" s="34"/>
      <c r="BR21" s="205"/>
      <c r="BS21" s="34"/>
      <c r="BT21" s="37"/>
      <c r="BU21" s="35"/>
      <c r="BV21" s="37"/>
      <c r="BW21" s="37"/>
      <c r="BX21" s="34"/>
      <c r="BY21" s="37"/>
      <c r="BZ21" s="37"/>
      <c r="CA21" s="37"/>
      <c r="CB21" s="37"/>
      <c r="CC21" s="37"/>
      <c r="CD21" s="137"/>
      <c r="CE21" s="37"/>
      <c r="CF21" s="37"/>
      <c r="CG21" s="37"/>
    </row>
    <row r="22" spans="1:85" s="138" customFormat="1" ht="15" customHeight="1">
      <c r="A22" s="137" t="s">
        <v>389</v>
      </c>
      <c r="B22" s="49"/>
      <c r="C22" s="49">
        <v>0</v>
      </c>
      <c r="D22" s="29"/>
      <c r="E22" s="29"/>
      <c r="F22" s="29"/>
      <c r="G22" s="29"/>
      <c r="H22" s="29"/>
      <c r="I22" s="29"/>
      <c r="J22" s="44"/>
      <c r="K22" s="44"/>
      <c r="L22" s="44"/>
      <c r="M22" s="44"/>
      <c r="N22" s="44"/>
      <c r="O22" s="44"/>
      <c r="P22" s="44"/>
      <c r="Q22" s="137"/>
      <c r="R22" s="49"/>
      <c r="S22" s="49"/>
      <c r="T22" s="49"/>
      <c r="U22" s="49"/>
      <c r="V22" s="49"/>
      <c r="W22" s="49"/>
      <c r="X22" s="39"/>
      <c r="Y22" s="49"/>
      <c r="Z22" s="49"/>
      <c r="AA22" s="31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50"/>
      <c r="BI22" s="34"/>
      <c r="BJ22" s="35"/>
      <c r="BK22" s="34"/>
      <c r="BL22" s="41"/>
      <c r="BM22" s="36"/>
      <c r="BN22" s="37"/>
      <c r="BO22" s="34"/>
      <c r="BP22" s="34"/>
      <c r="BQ22" s="34"/>
      <c r="BR22" s="205"/>
      <c r="BS22" s="34"/>
      <c r="BT22" s="37"/>
      <c r="BU22" s="35"/>
      <c r="BV22" s="37"/>
      <c r="BW22" s="37"/>
      <c r="BX22" s="34"/>
      <c r="BY22" s="37"/>
      <c r="BZ22" s="37"/>
      <c r="CA22" s="37"/>
      <c r="CB22" s="37"/>
      <c r="CC22" s="37"/>
      <c r="CD22" s="137"/>
      <c r="CE22" s="37"/>
      <c r="CF22" s="37"/>
      <c r="CG22" s="37"/>
    </row>
    <row r="23" spans="1:85" s="138" customFormat="1" ht="15" customHeight="1">
      <c r="A23" s="137" t="s">
        <v>390</v>
      </c>
      <c r="B23" s="49"/>
      <c r="C23" s="49">
        <v>0</v>
      </c>
      <c r="D23" s="29"/>
      <c r="E23" s="29"/>
      <c r="F23" s="29"/>
      <c r="G23" s="29"/>
      <c r="H23" s="29"/>
      <c r="I23" s="29"/>
      <c r="J23" s="44"/>
      <c r="K23" s="44"/>
      <c r="L23" s="44"/>
      <c r="M23" s="44"/>
      <c r="N23" s="44"/>
      <c r="O23" s="44"/>
      <c r="P23" s="44"/>
      <c r="Q23" s="137"/>
      <c r="R23" s="49"/>
      <c r="S23" s="49"/>
      <c r="T23" s="49"/>
      <c r="U23" s="49"/>
      <c r="V23" s="49"/>
      <c r="W23" s="49"/>
      <c r="X23" s="39"/>
      <c r="Y23" s="49"/>
      <c r="Z23" s="49"/>
      <c r="AA23" s="31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50"/>
      <c r="BI23" s="34"/>
      <c r="BJ23" s="35"/>
      <c r="BK23" s="34"/>
      <c r="BL23" s="41"/>
      <c r="BM23" s="36"/>
      <c r="BN23" s="37"/>
      <c r="BO23" s="34"/>
      <c r="BP23" s="34"/>
      <c r="BQ23" s="34"/>
      <c r="BR23" s="205"/>
      <c r="BS23" s="34"/>
      <c r="BT23" s="37"/>
      <c r="BU23" s="35"/>
      <c r="BV23" s="37"/>
      <c r="BW23" s="37"/>
      <c r="BX23" s="34"/>
      <c r="BY23" s="37"/>
      <c r="BZ23" s="37"/>
      <c r="CA23" s="37"/>
      <c r="CB23" s="37"/>
      <c r="CC23" s="37"/>
      <c r="CD23" s="137"/>
      <c r="CE23" s="37"/>
      <c r="CF23" s="37"/>
      <c r="CG23" s="37"/>
    </row>
    <row r="24" spans="1:85" s="138" customFormat="1" ht="15" customHeight="1">
      <c r="A24" s="43"/>
      <c r="B24" s="45"/>
      <c r="C24" s="139"/>
      <c r="D24" s="29"/>
      <c r="E24" s="29"/>
      <c r="F24" s="29"/>
      <c r="G24" s="29"/>
      <c r="H24" s="29"/>
      <c r="I24" s="29"/>
      <c r="J24" s="44"/>
      <c r="K24" s="44"/>
      <c r="L24" s="44"/>
      <c r="M24" s="44"/>
      <c r="N24" s="44"/>
      <c r="O24" s="44"/>
      <c r="P24" s="44"/>
      <c r="Q24" s="137"/>
      <c r="R24" s="49"/>
      <c r="S24" s="49"/>
      <c r="T24" s="49"/>
      <c r="U24" s="49"/>
      <c r="V24" s="49"/>
      <c r="W24" s="49"/>
      <c r="X24" s="39"/>
      <c r="Y24" s="49"/>
      <c r="Z24" s="49"/>
      <c r="AA24" s="31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50"/>
      <c r="BI24" s="34"/>
      <c r="BJ24" s="35"/>
      <c r="BK24" s="34"/>
      <c r="BL24" s="41"/>
      <c r="BM24" s="36"/>
      <c r="BN24" s="37"/>
      <c r="BO24" s="34"/>
      <c r="BP24" s="34"/>
      <c r="BQ24" s="34"/>
      <c r="BR24" s="205"/>
      <c r="BS24" s="34"/>
      <c r="BT24" s="37"/>
      <c r="BU24" s="35"/>
      <c r="BV24" s="37"/>
      <c r="BW24" s="37"/>
      <c r="BX24" s="34"/>
      <c r="BY24" s="37"/>
      <c r="BZ24" s="37"/>
      <c r="CA24" s="37"/>
      <c r="CB24" s="37"/>
      <c r="CC24" s="37"/>
      <c r="CD24" s="137"/>
      <c r="CE24" s="37"/>
      <c r="CF24" s="37"/>
      <c r="CG24" s="37"/>
    </row>
    <row r="25" spans="1:85" s="138" customFormat="1" ht="15" customHeight="1" thickBot="1">
      <c r="A25" s="29"/>
      <c r="B25" s="29"/>
      <c r="C25" s="31"/>
      <c r="D25" s="29"/>
      <c r="E25" s="29"/>
      <c r="F25" s="29"/>
      <c r="G25" s="29"/>
      <c r="H25" s="29"/>
      <c r="I25" s="29"/>
      <c r="J25" s="44"/>
      <c r="K25" s="44"/>
      <c r="L25" s="44"/>
      <c r="M25" s="44"/>
      <c r="N25" s="44"/>
      <c r="O25" s="44"/>
      <c r="P25" s="44"/>
      <c r="Q25" s="49"/>
      <c r="R25" s="49"/>
      <c r="S25" s="49"/>
      <c r="T25" s="49"/>
      <c r="U25" s="49"/>
      <c r="V25" s="49"/>
      <c r="W25" s="49"/>
      <c r="X25" s="39"/>
      <c r="Y25" s="49"/>
      <c r="Z25" s="49"/>
      <c r="AA25" s="31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3"/>
      <c r="BI25" s="34"/>
      <c r="BJ25" s="35"/>
      <c r="BK25" s="34"/>
      <c r="BL25" s="41"/>
      <c r="BM25" s="36"/>
      <c r="BN25" s="37"/>
      <c r="BO25" s="34"/>
      <c r="BP25" s="34"/>
      <c r="BQ25" s="34"/>
      <c r="BR25" s="205"/>
      <c r="BS25" s="34"/>
      <c r="BT25" s="37"/>
      <c r="BU25" s="35"/>
      <c r="BV25" s="37"/>
      <c r="BW25" s="37"/>
      <c r="BX25" s="34"/>
      <c r="BY25" s="37"/>
      <c r="BZ25" s="37"/>
      <c r="CA25" s="37"/>
      <c r="CB25" s="37"/>
      <c r="CC25" s="37"/>
      <c r="CD25" s="137"/>
      <c r="CE25" s="37"/>
      <c r="CF25" s="37"/>
      <c r="CG25" s="37"/>
    </row>
    <row r="26" spans="1:85" s="138" customFormat="1" ht="30" customHeight="1" thickBot="1">
      <c r="A26" s="146" t="s">
        <v>43</v>
      </c>
      <c r="B26" s="147" t="s">
        <v>44</v>
      </c>
      <c r="C26" s="148" t="s">
        <v>45</v>
      </c>
      <c r="D26" s="149" t="s">
        <v>46</v>
      </c>
      <c r="E26" s="149" t="s">
        <v>47</v>
      </c>
      <c r="F26" s="149" t="s">
        <v>48</v>
      </c>
      <c r="G26" s="149" t="s">
        <v>49</v>
      </c>
      <c r="H26" s="150" t="s">
        <v>50</v>
      </c>
      <c r="I26" s="150" t="s">
        <v>51</v>
      </c>
      <c r="J26" s="151" t="s">
        <v>52</v>
      </c>
      <c r="K26" s="151" t="s">
        <v>53</v>
      </c>
      <c r="L26" s="151" t="s">
        <v>54</v>
      </c>
      <c r="M26" s="151" t="s">
        <v>55</v>
      </c>
      <c r="N26" s="151" t="s">
        <v>56</v>
      </c>
      <c r="O26" s="151" t="s">
        <v>57</v>
      </c>
      <c r="P26" s="150" t="s">
        <v>58</v>
      </c>
      <c r="Q26" s="149" t="s">
        <v>59</v>
      </c>
      <c r="R26" s="152" t="s">
        <v>60</v>
      </c>
      <c r="S26" s="152" t="s">
        <v>61</v>
      </c>
      <c r="T26" s="152" t="s">
        <v>62</v>
      </c>
      <c r="U26" s="152" t="s">
        <v>63</v>
      </c>
      <c r="V26" s="152" t="s">
        <v>64</v>
      </c>
      <c r="W26" s="152" t="s">
        <v>65</v>
      </c>
      <c r="X26" s="153" t="s">
        <v>66</v>
      </c>
      <c r="Y26" s="154" t="s">
        <v>67</v>
      </c>
      <c r="Z26" s="150" t="s">
        <v>68</v>
      </c>
      <c r="AA26" s="150" t="s">
        <v>69</v>
      </c>
      <c r="AB26" s="154" t="s">
        <v>70</v>
      </c>
      <c r="AC26" s="154"/>
      <c r="AD26" s="154" t="s">
        <v>52</v>
      </c>
      <c r="AE26" s="154" t="s">
        <v>71</v>
      </c>
      <c r="AF26" s="154" t="s">
        <v>72</v>
      </c>
      <c r="AG26" s="154" t="s">
        <v>73</v>
      </c>
      <c r="AH26" s="154" t="s">
        <v>74</v>
      </c>
      <c r="AI26" s="154" t="s">
        <v>75</v>
      </c>
      <c r="AJ26" s="155" t="s">
        <v>76</v>
      </c>
      <c r="AK26" s="159" t="s">
        <v>77</v>
      </c>
      <c r="AL26" s="392" t="s">
        <v>391</v>
      </c>
      <c r="AM26" s="159" t="s">
        <v>79</v>
      </c>
      <c r="AN26" s="159" t="s">
        <v>79</v>
      </c>
      <c r="AO26" s="159" t="s">
        <v>80</v>
      </c>
      <c r="AP26" s="159" t="s">
        <v>80</v>
      </c>
      <c r="AQ26" s="159" t="s">
        <v>81</v>
      </c>
      <c r="AR26" s="159" t="s">
        <v>81</v>
      </c>
      <c r="AS26" s="159" t="s">
        <v>82</v>
      </c>
      <c r="AT26" s="159" t="s">
        <v>82</v>
      </c>
      <c r="AU26" s="159" t="s">
        <v>83</v>
      </c>
      <c r="AV26" s="159" t="s">
        <v>83</v>
      </c>
      <c r="AW26" s="159" t="s">
        <v>84</v>
      </c>
      <c r="AX26" s="159" t="s">
        <v>84</v>
      </c>
      <c r="AY26" s="159" t="s">
        <v>85</v>
      </c>
      <c r="AZ26" s="159" t="s">
        <v>85</v>
      </c>
      <c r="BA26" s="159" t="s">
        <v>146</v>
      </c>
      <c r="BB26" s="159" t="s">
        <v>146</v>
      </c>
      <c r="BC26" s="159" t="s">
        <v>147</v>
      </c>
      <c r="BD26" s="159" t="s">
        <v>147</v>
      </c>
      <c r="BE26" s="159" t="s">
        <v>148</v>
      </c>
      <c r="BF26" s="159" t="s">
        <v>148</v>
      </c>
      <c r="BG26" s="159" t="s">
        <v>88</v>
      </c>
      <c r="BH26" s="157" t="s">
        <v>89</v>
      </c>
      <c r="BI26" s="158" t="s">
        <v>90</v>
      </c>
      <c r="BJ26" s="159" t="s">
        <v>91</v>
      </c>
      <c r="BK26" s="160" t="s">
        <v>92</v>
      </c>
      <c r="BL26" s="161" t="s">
        <v>93</v>
      </c>
      <c r="BM26" s="162" t="s">
        <v>94</v>
      </c>
      <c r="BN26" s="163" t="s">
        <v>95</v>
      </c>
      <c r="BO26" s="162" t="s">
        <v>96</v>
      </c>
      <c r="BP26" s="162" t="s">
        <v>97</v>
      </c>
      <c r="BQ26" s="162" t="s">
        <v>98</v>
      </c>
      <c r="BR26" s="206" t="s">
        <v>99</v>
      </c>
      <c r="BS26" s="162" t="s">
        <v>100</v>
      </c>
      <c r="BT26" s="162" t="s">
        <v>8</v>
      </c>
      <c r="BU26" s="154" t="s">
        <v>101</v>
      </c>
      <c r="BV26" s="151" t="s">
        <v>102</v>
      </c>
      <c r="BW26" s="150" t="s">
        <v>103</v>
      </c>
      <c r="BX26" s="162" t="s">
        <v>104</v>
      </c>
      <c r="BY26" s="162" t="s">
        <v>105</v>
      </c>
      <c r="BZ26" s="150" t="s">
        <v>106</v>
      </c>
      <c r="CA26" s="150"/>
      <c r="CB26" s="150"/>
      <c r="CC26" s="154" t="s">
        <v>107</v>
      </c>
      <c r="CD26" s="150" t="s">
        <v>108</v>
      </c>
      <c r="CE26" s="154" t="s">
        <v>109</v>
      </c>
      <c r="CF26" s="164" t="s">
        <v>151</v>
      </c>
      <c r="CG26" s="165"/>
    </row>
    <row r="27" spans="1:85" s="138" customFormat="1" ht="15" customHeight="1">
      <c r="A27" s="48" t="s">
        <v>255</v>
      </c>
      <c r="B27" s="29" t="s">
        <v>111</v>
      </c>
      <c r="C27" s="168">
        <v>45839</v>
      </c>
      <c r="D27" s="48" t="s">
        <v>179</v>
      </c>
      <c r="E27" s="29" t="s">
        <v>113</v>
      </c>
      <c r="F27" s="48" t="s">
        <v>114</v>
      </c>
      <c r="G27" s="48"/>
      <c r="H27" s="48"/>
      <c r="I27" s="48"/>
      <c r="J27" s="170"/>
      <c r="K27" s="170"/>
      <c r="L27" s="170"/>
      <c r="M27" s="170"/>
      <c r="N27" s="170" t="s">
        <v>118</v>
      </c>
      <c r="O27" s="170" t="s">
        <v>256</v>
      </c>
      <c r="P27" s="48" t="s">
        <v>257</v>
      </c>
      <c r="Q27" s="48" t="s">
        <v>258</v>
      </c>
      <c r="R27" s="170"/>
      <c r="S27" s="170"/>
      <c r="T27" s="170"/>
      <c r="U27" s="170"/>
      <c r="V27" s="170"/>
      <c r="W27" s="170"/>
      <c r="X27" s="173" t="s">
        <v>259</v>
      </c>
      <c r="Y27" s="167"/>
      <c r="Z27" s="48"/>
      <c r="AA27" s="48">
        <v>1</v>
      </c>
      <c r="AB27" s="174">
        <v>0</v>
      </c>
      <c r="AC27" s="174"/>
      <c r="AD27" s="174">
        <v>0</v>
      </c>
      <c r="AE27" s="174">
        <v>0</v>
      </c>
      <c r="AF27" s="174">
        <v>0</v>
      </c>
      <c r="AG27" s="174">
        <v>0</v>
      </c>
      <c r="AH27" s="174">
        <v>0</v>
      </c>
      <c r="AI27" s="174">
        <v>0</v>
      </c>
      <c r="AJ27" s="174">
        <v>2.52</v>
      </c>
      <c r="AK27" s="174">
        <v>0</v>
      </c>
      <c r="AL27" s="174">
        <v>0</v>
      </c>
      <c r="AM27" s="174">
        <v>0</v>
      </c>
      <c r="AN27" s="174">
        <v>0</v>
      </c>
      <c r="AO27" s="174">
        <v>0</v>
      </c>
      <c r="AP27" s="174">
        <v>0</v>
      </c>
      <c r="AQ27" s="174">
        <v>0</v>
      </c>
      <c r="AR27" s="174">
        <v>0</v>
      </c>
      <c r="AS27" s="174">
        <v>0</v>
      </c>
      <c r="AT27" s="174">
        <v>0</v>
      </c>
      <c r="AU27" s="174">
        <v>0</v>
      </c>
      <c r="AV27" s="174">
        <v>0</v>
      </c>
      <c r="AW27" s="174">
        <v>0</v>
      </c>
      <c r="AX27" s="174">
        <v>0</v>
      </c>
      <c r="AY27" s="174">
        <v>0</v>
      </c>
      <c r="AZ27" s="174">
        <v>0</v>
      </c>
      <c r="BA27" s="174">
        <v>0</v>
      </c>
      <c r="BB27" s="174">
        <v>0</v>
      </c>
      <c r="BC27" s="174">
        <v>0</v>
      </c>
      <c r="BD27" s="174">
        <v>0</v>
      </c>
      <c r="BE27" s="174">
        <v>0</v>
      </c>
      <c r="BF27" s="174">
        <v>0</v>
      </c>
      <c r="BG27" s="174"/>
      <c r="BH27" s="175" t="s">
        <v>260</v>
      </c>
      <c r="BI27" s="166">
        <v>46022</v>
      </c>
      <c r="BJ27" s="167">
        <v>-95.24</v>
      </c>
      <c r="BK27" s="168"/>
      <c r="BL27" s="56"/>
      <c r="BM27" s="168" t="s">
        <v>257</v>
      </c>
      <c r="BN27" s="169" t="s">
        <v>386</v>
      </c>
      <c r="BO27" s="168"/>
      <c r="BP27" s="168"/>
      <c r="BQ27" s="168"/>
      <c r="BR27" s="207"/>
      <c r="BS27" s="168"/>
      <c r="BT27" s="168"/>
      <c r="BU27" s="167"/>
      <c r="BV27" s="170"/>
      <c r="BW27" s="48"/>
      <c r="BX27" s="168"/>
      <c r="BY27" s="168"/>
      <c r="BZ27" s="48"/>
      <c r="CA27" s="48"/>
      <c r="CB27" s="48"/>
      <c r="CC27" s="167"/>
      <c r="CD27" s="137"/>
      <c r="CE27" s="171"/>
      <c r="CF27" s="172" t="s">
        <v>166</v>
      </c>
      <c r="CG27" s="165"/>
    </row>
    <row r="28" spans="1:85" s="138" customFormat="1" ht="15" customHeight="1">
      <c r="A28" s="48" t="s">
        <v>261</v>
      </c>
      <c r="B28" s="29" t="s">
        <v>111</v>
      </c>
      <c r="C28" s="168">
        <v>45839</v>
      </c>
      <c r="D28" s="48" t="s">
        <v>179</v>
      </c>
      <c r="E28" s="29" t="s">
        <v>113</v>
      </c>
      <c r="F28" s="48" t="s">
        <v>114</v>
      </c>
      <c r="G28" s="48"/>
      <c r="H28" s="48"/>
      <c r="I28" s="48"/>
      <c r="J28" s="170"/>
      <c r="K28" s="170"/>
      <c r="L28" s="170"/>
      <c r="M28" s="170"/>
      <c r="N28" s="170" t="s">
        <v>118</v>
      </c>
      <c r="O28" s="170" t="s">
        <v>256</v>
      </c>
      <c r="P28" s="48" t="s">
        <v>257</v>
      </c>
      <c r="Q28" s="48" t="s">
        <v>258</v>
      </c>
      <c r="R28" s="170"/>
      <c r="S28" s="170"/>
      <c r="T28" s="170"/>
      <c r="U28" s="170"/>
      <c r="V28" s="170"/>
      <c r="W28" s="170"/>
      <c r="X28" s="173" t="s">
        <v>262</v>
      </c>
      <c r="Y28" s="167"/>
      <c r="Z28" s="48"/>
      <c r="AA28" s="48">
        <v>1</v>
      </c>
      <c r="AB28" s="174">
        <v>0</v>
      </c>
      <c r="AC28" s="174"/>
      <c r="AD28" s="174">
        <v>0</v>
      </c>
      <c r="AE28" s="174">
        <v>0</v>
      </c>
      <c r="AF28" s="174">
        <v>0</v>
      </c>
      <c r="AG28" s="174">
        <v>0</v>
      </c>
      <c r="AH28" s="174">
        <v>0</v>
      </c>
      <c r="AI28" s="174">
        <v>0</v>
      </c>
      <c r="AJ28" s="174">
        <v>3</v>
      </c>
      <c r="AK28" s="174">
        <v>0</v>
      </c>
      <c r="AL28" s="174">
        <v>0</v>
      </c>
      <c r="AM28" s="174">
        <v>0</v>
      </c>
      <c r="AN28" s="174">
        <v>0</v>
      </c>
      <c r="AO28" s="174">
        <v>0</v>
      </c>
      <c r="AP28" s="174">
        <v>0</v>
      </c>
      <c r="AQ28" s="174">
        <v>0</v>
      </c>
      <c r="AR28" s="174">
        <v>0</v>
      </c>
      <c r="AS28" s="174">
        <v>0</v>
      </c>
      <c r="AT28" s="174">
        <v>0</v>
      </c>
      <c r="AU28" s="174">
        <v>0</v>
      </c>
      <c r="AV28" s="174">
        <v>0</v>
      </c>
      <c r="AW28" s="174">
        <v>0</v>
      </c>
      <c r="AX28" s="174">
        <v>0</v>
      </c>
      <c r="AY28" s="174">
        <v>0</v>
      </c>
      <c r="AZ28" s="174">
        <v>0</v>
      </c>
      <c r="BA28" s="174">
        <v>0</v>
      </c>
      <c r="BB28" s="174">
        <v>0</v>
      </c>
      <c r="BC28" s="174">
        <v>0</v>
      </c>
      <c r="BD28" s="174">
        <v>0</v>
      </c>
      <c r="BE28" s="174">
        <v>0</v>
      </c>
      <c r="BF28" s="174">
        <v>0</v>
      </c>
      <c r="BG28" s="174"/>
      <c r="BH28" s="175" t="s">
        <v>260</v>
      </c>
      <c r="BI28" s="166">
        <v>46022</v>
      </c>
      <c r="BJ28" s="167">
        <v>-95.24</v>
      </c>
      <c r="BK28" s="168"/>
      <c r="BL28" s="56"/>
      <c r="BM28" s="168" t="s">
        <v>257</v>
      </c>
      <c r="BN28" s="169" t="s">
        <v>386</v>
      </c>
      <c r="BO28" s="168"/>
      <c r="BP28" s="168"/>
      <c r="BQ28" s="168"/>
      <c r="BR28" s="207"/>
      <c r="BS28" s="168"/>
      <c r="BT28" s="168"/>
      <c r="BU28" s="167"/>
      <c r="BV28" s="170"/>
      <c r="BW28" s="48"/>
      <c r="BX28" s="168"/>
      <c r="BY28" s="168"/>
      <c r="BZ28" s="48"/>
      <c r="CA28" s="48"/>
      <c r="CB28" s="48"/>
      <c r="CC28" s="167"/>
      <c r="CD28" s="137"/>
      <c r="CE28" s="171"/>
      <c r="CF28" s="172" t="s">
        <v>166</v>
      </c>
      <c r="CG28" s="165"/>
    </row>
    <row r="29" spans="1:85" s="138" customFormat="1" ht="15" customHeight="1">
      <c r="A29" s="48" t="s">
        <v>263</v>
      </c>
      <c r="B29" s="29" t="s">
        <v>111</v>
      </c>
      <c r="C29" s="168">
        <v>45809</v>
      </c>
      <c r="D29" s="48" t="s">
        <v>179</v>
      </c>
      <c r="E29" s="29" t="s">
        <v>113</v>
      </c>
      <c r="F29" s="48" t="s">
        <v>114</v>
      </c>
      <c r="G29" s="48" t="s">
        <v>130</v>
      </c>
      <c r="H29" s="48" t="s">
        <v>116</v>
      </c>
      <c r="I29" s="48" t="s">
        <v>116</v>
      </c>
      <c r="J29" s="170" t="s">
        <v>116</v>
      </c>
      <c r="K29" s="170" t="b">
        <v>0</v>
      </c>
      <c r="L29" s="170" t="s">
        <v>116</v>
      </c>
      <c r="M29" s="170" t="s">
        <v>116</v>
      </c>
      <c r="N29" s="170" t="s">
        <v>118</v>
      </c>
      <c r="O29" s="170" t="s">
        <v>256</v>
      </c>
      <c r="P29" s="48" t="s">
        <v>257</v>
      </c>
      <c r="Q29" s="48" t="s">
        <v>258</v>
      </c>
      <c r="R29" s="170" t="s">
        <v>116</v>
      </c>
      <c r="S29" s="170" t="s">
        <v>116</v>
      </c>
      <c r="T29" s="170" t="s">
        <v>116</v>
      </c>
      <c r="U29" s="170" t="s">
        <v>116</v>
      </c>
      <c r="V29" s="170" t="s">
        <v>116</v>
      </c>
      <c r="W29" s="170" t="s">
        <v>116</v>
      </c>
      <c r="X29" s="173" t="s">
        <v>264</v>
      </c>
      <c r="Y29" s="167">
        <v>147.62</v>
      </c>
      <c r="Z29" s="48" t="s">
        <v>123</v>
      </c>
      <c r="AA29" s="48">
        <v>1</v>
      </c>
      <c r="AB29" s="174">
        <v>0</v>
      </c>
      <c r="AC29" s="174"/>
      <c r="AD29" s="174">
        <v>0</v>
      </c>
      <c r="AE29" s="174">
        <v>0</v>
      </c>
      <c r="AF29" s="174">
        <v>0</v>
      </c>
      <c r="AG29" s="174">
        <v>0</v>
      </c>
      <c r="AH29" s="174">
        <v>0</v>
      </c>
      <c r="AI29" s="174">
        <v>0</v>
      </c>
      <c r="AJ29" s="174">
        <v>0.74</v>
      </c>
      <c r="AK29" s="174">
        <v>0</v>
      </c>
      <c r="AL29" s="174">
        <v>0</v>
      </c>
      <c r="AM29" s="174">
        <v>0</v>
      </c>
      <c r="AN29" s="174">
        <v>0</v>
      </c>
      <c r="AO29" s="174">
        <v>0</v>
      </c>
      <c r="AP29" s="174">
        <v>0</v>
      </c>
      <c r="AQ29" s="174">
        <v>0</v>
      </c>
      <c r="AR29" s="174">
        <v>0</v>
      </c>
      <c r="AS29" s="174">
        <v>0</v>
      </c>
      <c r="AT29" s="174">
        <v>0</v>
      </c>
      <c r="AU29" s="174">
        <v>0</v>
      </c>
      <c r="AV29" s="174">
        <v>0</v>
      </c>
      <c r="AW29" s="174">
        <v>0</v>
      </c>
      <c r="AX29" s="174">
        <v>0</v>
      </c>
      <c r="AY29" s="174">
        <v>0</v>
      </c>
      <c r="AZ29" s="174">
        <v>0</v>
      </c>
      <c r="BA29" s="174">
        <v>0</v>
      </c>
      <c r="BB29" s="174">
        <v>0</v>
      </c>
      <c r="BC29" s="174">
        <v>0</v>
      </c>
      <c r="BD29" s="174">
        <v>0</v>
      </c>
      <c r="BE29" s="174">
        <v>0</v>
      </c>
      <c r="BF29" s="174">
        <v>0</v>
      </c>
      <c r="BG29" s="174"/>
      <c r="BH29" s="175" t="s">
        <v>265</v>
      </c>
      <c r="BI29" s="166">
        <v>45998</v>
      </c>
      <c r="BJ29" s="167">
        <v>233.1</v>
      </c>
      <c r="BK29" s="168"/>
      <c r="BL29" s="56"/>
      <c r="BM29" s="168" t="s">
        <v>257</v>
      </c>
      <c r="BN29" s="169" t="s">
        <v>386</v>
      </c>
      <c r="BO29" s="168"/>
      <c r="BP29" s="168"/>
      <c r="BQ29" s="168"/>
      <c r="BR29" s="207"/>
      <c r="BS29" s="168"/>
      <c r="BT29" s="168"/>
      <c r="BU29" s="167"/>
      <c r="BV29" s="170"/>
      <c r="BW29" s="48"/>
      <c r="BX29" s="168"/>
      <c r="BY29" s="168"/>
      <c r="BZ29" s="48"/>
      <c r="CA29" s="48"/>
      <c r="CB29" s="48"/>
      <c r="CC29" s="167"/>
      <c r="CD29" s="137"/>
      <c r="CE29" s="171"/>
      <c r="CF29" s="172" t="s">
        <v>166</v>
      </c>
      <c r="CG29" s="165"/>
    </row>
    <row r="30" spans="1:85" s="138" customFormat="1" ht="15" customHeight="1">
      <c r="A30" s="48" t="s">
        <v>263</v>
      </c>
      <c r="B30" s="29" t="s">
        <v>111</v>
      </c>
      <c r="C30" s="168">
        <v>45809</v>
      </c>
      <c r="D30" s="48" t="s">
        <v>179</v>
      </c>
      <c r="E30" s="29" t="s">
        <v>113</v>
      </c>
      <c r="F30" s="48" t="s">
        <v>114</v>
      </c>
      <c r="G30" s="48" t="s">
        <v>130</v>
      </c>
      <c r="H30" s="48" t="s">
        <v>116</v>
      </c>
      <c r="I30" s="48" t="s">
        <v>116</v>
      </c>
      <c r="J30" s="170" t="s">
        <v>116</v>
      </c>
      <c r="K30" s="170" t="b">
        <v>0</v>
      </c>
      <c r="L30" s="170" t="s">
        <v>116</v>
      </c>
      <c r="M30" s="170" t="s">
        <v>116</v>
      </c>
      <c r="N30" s="170" t="s">
        <v>118</v>
      </c>
      <c r="O30" s="170" t="s">
        <v>256</v>
      </c>
      <c r="P30" s="48" t="s">
        <v>257</v>
      </c>
      <c r="Q30" s="48" t="s">
        <v>258</v>
      </c>
      <c r="R30" s="170" t="s">
        <v>116</v>
      </c>
      <c r="S30" s="170" t="s">
        <v>116</v>
      </c>
      <c r="T30" s="170" t="s">
        <v>116</v>
      </c>
      <c r="U30" s="170" t="s">
        <v>116</v>
      </c>
      <c r="V30" s="170" t="s">
        <v>116</v>
      </c>
      <c r="W30" s="170" t="s">
        <v>116</v>
      </c>
      <c r="X30" s="173" t="s">
        <v>264</v>
      </c>
      <c r="Y30" s="167">
        <v>147.62</v>
      </c>
      <c r="Z30" s="48" t="s">
        <v>123</v>
      </c>
      <c r="AA30" s="48">
        <v>1</v>
      </c>
      <c r="AB30" s="174">
        <v>0</v>
      </c>
      <c r="AC30" s="174"/>
      <c r="AD30" s="174">
        <v>0</v>
      </c>
      <c r="AE30" s="174">
        <v>0</v>
      </c>
      <c r="AF30" s="174">
        <v>0</v>
      </c>
      <c r="AG30" s="174">
        <v>0</v>
      </c>
      <c r="AH30" s="174">
        <v>0</v>
      </c>
      <c r="AI30" s="174">
        <v>0</v>
      </c>
      <c r="AJ30" s="174">
        <v>0.74</v>
      </c>
      <c r="AK30" s="174">
        <v>0</v>
      </c>
      <c r="AL30" s="174">
        <v>0</v>
      </c>
      <c r="AM30" s="174">
        <v>0</v>
      </c>
      <c r="AN30" s="174">
        <v>0</v>
      </c>
      <c r="AO30" s="174">
        <v>0</v>
      </c>
      <c r="AP30" s="174">
        <v>0</v>
      </c>
      <c r="AQ30" s="174">
        <v>0</v>
      </c>
      <c r="AR30" s="174">
        <v>0</v>
      </c>
      <c r="AS30" s="174">
        <v>0</v>
      </c>
      <c r="AT30" s="174">
        <v>0</v>
      </c>
      <c r="AU30" s="174">
        <v>0</v>
      </c>
      <c r="AV30" s="174">
        <v>0</v>
      </c>
      <c r="AW30" s="174">
        <v>0</v>
      </c>
      <c r="AX30" s="174">
        <v>0</v>
      </c>
      <c r="AY30" s="174">
        <v>0</v>
      </c>
      <c r="AZ30" s="174">
        <v>0</v>
      </c>
      <c r="BA30" s="174">
        <v>0</v>
      </c>
      <c r="BB30" s="174">
        <v>0</v>
      </c>
      <c r="BC30" s="174">
        <v>0</v>
      </c>
      <c r="BD30" s="174">
        <v>0</v>
      </c>
      <c r="BE30" s="174">
        <v>0</v>
      </c>
      <c r="BF30" s="174">
        <v>0</v>
      </c>
      <c r="BG30" s="174"/>
      <c r="BH30" s="175" t="s">
        <v>266</v>
      </c>
      <c r="BI30" s="166">
        <v>46022</v>
      </c>
      <c r="BJ30" s="167">
        <v>-95.24</v>
      </c>
      <c r="BK30" s="168"/>
      <c r="BL30" s="56"/>
      <c r="BM30" s="168" t="s">
        <v>257</v>
      </c>
      <c r="BN30" s="169" t="s">
        <v>386</v>
      </c>
      <c r="BO30" s="168"/>
      <c r="BP30" s="168"/>
      <c r="BQ30" s="168"/>
      <c r="BR30" s="207"/>
      <c r="BS30" s="168"/>
      <c r="BT30" s="168"/>
      <c r="BU30" s="167"/>
      <c r="BV30" s="170"/>
      <c r="BW30" s="48"/>
      <c r="BX30" s="168"/>
      <c r="BY30" s="168"/>
      <c r="BZ30" s="48"/>
      <c r="CA30" s="48"/>
      <c r="CB30" s="48"/>
      <c r="CC30" s="167"/>
      <c r="CD30" s="137"/>
      <c r="CE30" s="171"/>
      <c r="CF30" s="172" t="s">
        <v>166</v>
      </c>
      <c r="CG30" s="165"/>
    </row>
    <row r="31" spans="1:85" s="138" customFormat="1" ht="15" customHeight="1">
      <c r="A31" s="48" t="s">
        <v>267</v>
      </c>
      <c r="B31" s="29" t="s">
        <v>111</v>
      </c>
      <c r="C31" s="168">
        <v>45809</v>
      </c>
      <c r="D31" s="48" t="s">
        <v>179</v>
      </c>
      <c r="E31" s="29" t="s">
        <v>113</v>
      </c>
      <c r="F31" s="48" t="s">
        <v>114</v>
      </c>
      <c r="G31" s="48" t="s">
        <v>153</v>
      </c>
      <c r="H31" s="48" t="s">
        <v>116</v>
      </c>
      <c r="I31" s="48" t="s">
        <v>116</v>
      </c>
      <c r="J31" s="170" t="s">
        <v>116</v>
      </c>
      <c r="K31" s="170" t="b">
        <v>0</v>
      </c>
      <c r="L31" s="170" t="s">
        <v>116</v>
      </c>
      <c r="M31" s="170" t="s">
        <v>116</v>
      </c>
      <c r="N31" s="170" t="s">
        <v>118</v>
      </c>
      <c r="O31" s="170" t="s">
        <v>256</v>
      </c>
      <c r="P31" s="48" t="s">
        <v>257</v>
      </c>
      <c r="Q31" s="48" t="s">
        <v>258</v>
      </c>
      <c r="R31" s="170" t="s">
        <v>116</v>
      </c>
      <c r="S31" s="170" t="s">
        <v>116</v>
      </c>
      <c r="T31" s="170" t="s">
        <v>116</v>
      </c>
      <c r="U31" s="170" t="s">
        <v>116</v>
      </c>
      <c r="V31" s="170" t="s">
        <v>116</v>
      </c>
      <c r="W31" s="170" t="s">
        <v>116</v>
      </c>
      <c r="X31" s="173" t="s">
        <v>268</v>
      </c>
      <c r="Y31" s="167">
        <v>104.74</v>
      </c>
      <c r="Z31" s="48" t="s">
        <v>123</v>
      </c>
      <c r="AA31" s="48">
        <v>1</v>
      </c>
      <c r="AB31" s="174">
        <v>0</v>
      </c>
      <c r="AC31" s="174"/>
      <c r="AD31" s="174">
        <v>0</v>
      </c>
      <c r="AE31" s="174">
        <v>0</v>
      </c>
      <c r="AF31" s="174">
        <v>0</v>
      </c>
      <c r="AG31" s="174">
        <v>0</v>
      </c>
      <c r="AH31" s="174">
        <v>0</v>
      </c>
      <c r="AI31" s="174">
        <v>0</v>
      </c>
      <c r="AJ31" s="174">
        <v>0.52</v>
      </c>
      <c r="AK31" s="174">
        <v>0</v>
      </c>
      <c r="AL31" s="174">
        <v>0</v>
      </c>
      <c r="AM31" s="174">
        <v>0</v>
      </c>
      <c r="AN31" s="174">
        <v>0</v>
      </c>
      <c r="AO31" s="174">
        <v>0</v>
      </c>
      <c r="AP31" s="174">
        <v>0</v>
      </c>
      <c r="AQ31" s="174">
        <v>0</v>
      </c>
      <c r="AR31" s="174">
        <v>0</v>
      </c>
      <c r="AS31" s="174">
        <v>0</v>
      </c>
      <c r="AT31" s="174">
        <v>0</v>
      </c>
      <c r="AU31" s="174">
        <v>0</v>
      </c>
      <c r="AV31" s="174">
        <v>0</v>
      </c>
      <c r="AW31" s="174">
        <v>0</v>
      </c>
      <c r="AX31" s="174">
        <v>0</v>
      </c>
      <c r="AY31" s="174">
        <v>0</v>
      </c>
      <c r="AZ31" s="174">
        <v>0</v>
      </c>
      <c r="BA31" s="174">
        <v>0</v>
      </c>
      <c r="BB31" s="174">
        <v>0</v>
      </c>
      <c r="BC31" s="174">
        <v>0</v>
      </c>
      <c r="BD31" s="174">
        <v>0</v>
      </c>
      <c r="BE31" s="174">
        <v>0</v>
      </c>
      <c r="BF31" s="174">
        <v>0</v>
      </c>
      <c r="BG31" s="174"/>
      <c r="BH31" s="175" t="s">
        <v>266</v>
      </c>
      <c r="BI31" s="166">
        <v>45998</v>
      </c>
      <c r="BJ31" s="167">
        <v>233.1</v>
      </c>
      <c r="BK31" s="168"/>
      <c r="BL31" s="56"/>
      <c r="BM31" s="168" t="s">
        <v>257</v>
      </c>
      <c r="BN31" s="169" t="s">
        <v>386</v>
      </c>
      <c r="BO31" s="168"/>
      <c r="BP31" s="168"/>
      <c r="BQ31" s="168"/>
      <c r="BR31" s="207"/>
      <c r="BS31" s="168"/>
      <c r="BT31" s="168"/>
      <c r="BU31" s="167"/>
      <c r="BV31" s="170"/>
      <c r="BW31" s="48"/>
      <c r="BX31" s="168"/>
      <c r="BY31" s="168"/>
      <c r="BZ31" s="48"/>
      <c r="CA31" s="48"/>
      <c r="CB31" s="48"/>
      <c r="CC31" s="167"/>
      <c r="CD31" s="137"/>
      <c r="CE31" s="171"/>
      <c r="CF31" s="172" t="s">
        <v>166</v>
      </c>
      <c r="CG31" s="165"/>
    </row>
    <row r="32" spans="1:85" s="138" customFormat="1" ht="15" customHeight="1">
      <c r="A32" s="48" t="s">
        <v>269</v>
      </c>
      <c r="B32" s="29" t="s">
        <v>111</v>
      </c>
      <c r="C32" s="168">
        <v>45839</v>
      </c>
      <c r="D32" s="48" t="s">
        <v>270</v>
      </c>
      <c r="E32" s="29" t="s">
        <v>113</v>
      </c>
      <c r="F32" s="48" t="s">
        <v>114</v>
      </c>
      <c r="G32" s="48" t="s">
        <v>130</v>
      </c>
      <c r="H32" s="48" t="s">
        <v>116</v>
      </c>
      <c r="I32" s="48" t="s">
        <v>116</v>
      </c>
      <c r="J32" s="170" t="s">
        <v>116</v>
      </c>
      <c r="K32" s="170" t="b">
        <v>0</v>
      </c>
      <c r="L32" s="170" t="s">
        <v>116</v>
      </c>
      <c r="M32" s="170" t="s">
        <v>116</v>
      </c>
      <c r="N32" s="170" t="s">
        <v>118</v>
      </c>
      <c r="O32" s="170" t="s">
        <v>256</v>
      </c>
      <c r="P32" s="48" t="s">
        <v>257</v>
      </c>
      <c r="Q32" s="48" t="s">
        <v>258</v>
      </c>
      <c r="R32" s="170" t="s">
        <v>116</v>
      </c>
      <c r="S32" s="170" t="s">
        <v>116</v>
      </c>
      <c r="T32" s="170" t="s">
        <v>116</v>
      </c>
      <c r="U32" s="170" t="s">
        <v>116</v>
      </c>
      <c r="V32" s="170" t="s">
        <v>116</v>
      </c>
      <c r="W32" s="170" t="s">
        <v>116</v>
      </c>
      <c r="X32" s="173" t="s">
        <v>271</v>
      </c>
      <c r="Y32" s="167">
        <v>109.71</v>
      </c>
      <c r="Z32" s="48" t="s">
        <v>123</v>
      </c>
      <c r="AA32" s="48">
        <v>1</v>
      </c>
      <c r="AB32" s="174">
        <v>0</v>
      </c>
      <c r="AC32" s="174"/>
      <c r="AD32" s="174">
        <v>0</v>
      </c>
      <c r="AE32" s="174">
        <v>0</v>
      </c>
      <c r="AF32" s="174">
        <v>0</v>
      </c>
      <c r="AG32" s="174">
        <v>0</v>
      </c>
      <c r="AH32" s="174">
        <v>0</v>
      </c>
      <c r="AI32" s="174">
        <v>0</v>
      </c>
      <c r="AJ32" s="174">
        <v>0.55000000000000004</v>
      </c>
      <c r="AK32" s="174">
        <v>0</v>
      </c>
      <c r="AL32" s="174">
        <v>0</v>
      </c>
      <c r="AM32" s="174">
        <v>0</v>
      </c>
      <c r="AN32" s="174">
        <v>0</v>
      </c>
      <c r="AO32" s="174">
        <v>0</v>
      </c>
      <c r="AP32" s="174">
        <v>0</v>
      </c>
      <c r="AQ32" s="174">
        <v>0</v>
      </c>
      <c r="AR32" s="174">
        <v>0</v>
      </c>
      <c r="AS32" s="174">
        <v>0</v>
      </c>
      <c r="AT32" s="174">
        <v>0</v>
      </c>
      <c r="AU32" s="174">
        <v>0</v>
      </c>
      <c r="AV32" s="174">
        <v>0</v>
      </c>
      <c r="AW32" s="174">
        <v>0</v>
      </c>
      <c r="AX32" s="174">
        <v>0</v>
      </c>
      <c r="AY32" s="174">
        <v>0</v>
      </c>
      <c r="AZ32" s="174">
        <v>0</v>
      </c>
      <c r="BA32" s="174">
        <v>0</v>
      </c>
      <c r="BB32" s="174">
        <v>0</v>
      </c>
      <c r="BC32" s="174">
        <v>0</v>
      </c>
      <c r="BD32" s="174">
        <v>0</v>
      </c>
      <c r="BE32" s="174">
        <v>0</v>
      </c>
      <c r="BF32" s="174">
        <v>0</v>
      </c>
      <c r="BG32" s="174"/>
      <c r="BH32" s="175" t="s">
        <v>272</v>
      </c>
      <c r="BI32" s="166">
        <v>46011</v>
      </c>
      <c r="BJ32" s="167">
        <v>504.9</v>
      </c>
      <c r="BK32" s="168"/>
      <c r="BL32" s="56"/>
      <c r="BM32" s="168" t="s">
        <v>257</v>
      </c>
      <c r="BN32" s="169" t="s">
        <v>386</v>
      </c>
      <c r="BO32" s="168"/>
      <c r="BP32" s="168"/>
      <c r="BQ32" s="168"/>
      <c r="BR32" s="207"/>
      <c r="BS32" s="168"/>
      <c r="BT32" s="168"/>
      <c r="BU32" s="167"/>
      <c r="BV32" s="170"/>
      <c r="BW32" s="48"/>
      <c r="BX32" s="168"/>
      <c r="BY32" s="168"/>
      <c r="BZ32" s="48"/>
      <c r="CA32" s="48"/>
      <c r="CB32" s="48"/>
      <c r="CC32" s="167"/>
      <c r="CD32" s="137"/>
      <c r="CE32" s="171"/>
      <c r="CF32" s="172" t="s">
        <v>166</v>
      </c>
      <c r="CG32" s="165"/>
    </row>
    <row r="33" spans="1:86" s="138" customFormat="1" ht="15" customHeight="1">
      <c r="A33" s="48" t="s">
        <v>273</v>
      </c>
      <c r="B33" s="29" t="s">
        <v>111</v>
      </c>
      <c r="C33" s="168">
        <v>45839</v>
      </c>
      <c r="D33" s="48" t="s">
        <v>270</v>
      </c>
      <c r="E33" s="29" t="s">
        <v>113</v>
      </c>
      <c r="F33" s="48" t="s">
        <v>114</v>
      </c>
      <c r="G33" s="48" t="s">
        <v>130</v>
      </c>
      <c r="H33" s="48" t="s">
        <v>116</v>
      </c>
      <c r="I33" s="48" t="s">
        <v>116</v>
      </c>
      <c r="J33" s="170" t="s">
        <v>116</v>
      </c>
      <c r="K33" s="170" t="b">
        <v>0</v>
      </c>
      <c r="L33" s="170" t="s">
        <v>116</v>
      </c>
      <c r="M33" s="170" t="s">
        <v>116</v>
      </c>
      <c r="N33" s="170" t="s">
        <v>118</v>
      </c>
      <c r="O33" s="170" t="s">
        <v>256</v>
      </c>
      <c r="P33" s="48" t="s">
        <v>257</v>
      </c>
      <c r="Q33" s="48" t="s">
        <v>258</v>
      </c>
      <c r="R33" s="170" t="s">
        <v>116</v>
      </c>
      <c r="S33" s="170" t="s">
        <v>116</v>
      </c>
      <c r="T33" s="170" t="s">
        <v>116</v>
      </c>
      <c r="U33" s="170" t="s">
        <v>116</v>
      </c>
      <c r="V33" s="170" t="s">
        <v>116</v>
      </c>
      <c r="W33" s="170" t="s">
        <v>116</v>
      </c>
      <c r="X33" s="173" t="s">
        <v>274</v>
      </c>
      <c r="Y33" s="167">
        <v>131.26</v>
      </c>
      <c r="Z33" s="48" t="s">
        <v>123</v>
      </c>
      <c r="AA33" s="48">
        <v>1</v>
      </c>
      <c r="AB33" s="174">
        <v>0</v>
      </c>
      <c r="AC33" s="174"/>
      <c r="AD33" s="174">
        <v>0</v>
      </c>
      <c r="AE33" s="174">
        <v>0</v>
      </c>
      <c r="AF33" s="174">
        <v>0</v>
      </c>
      <c r="AG33" s="174">
        <v>0</v>
      </c>
      <c r="AH33" s="174">
        <v>0</v>
      </c>
      <c r="AI33" s="174">
        <v>0</v>
      </c>
      <c r="AJ33" s="174">
        <v>0.66</v>
      </c>
      <c r="AK33" s="174">
        <v>0</v>
      </c>
      <c r="AL33" s="174">
        <v>0</v>
      </c>
      <c r="AM33" s="174">
        <v>0</v>
      </c>
      <c r="AN33" s="174">
        <v>0</v>
      </c>
      <c r="AO33" s="174">
        <v>0</v>
      </c>
      <c r="AP33" s="174">
        <v>0</v>
      </c>
      <c r="AQ33" s="174">
        <v>0</v>
      </c>
      <c r="AR33" s="174">
        <v>0</v>
      </c>
      <c r="AS33" s="174">
        <v>0</v>
      </c>
      <c r="AT33" s="174">
        <v>0</v>
      </c>
      <c r="AU33" s="174">
        <v>0</v>
      </c>
      <c r="AV33" s="174">
        <v>0</v>
      </c>
      <c r="AW33" s="174">
        <v>0</v>
      </c>
      <c r="AX33" s="174">
        <v>0</v>
      </c>
      <c r="AY33" s="174">
        <v>0</v>
      </c>
      <c r="AZ33" s="174">
        <v>0</v>
      </c>
      <c r="BA33" s="174">
        <v>0</v>
      </c>
      <c r="BB33" s="174">
        <v>0</v>
      </c>
      <c r="BC33" s="174">
        <v>0</v>
      </c>
      <c r="BD33" s="174">
        <v>0</v>
      </c>
      <c r="BE33" s="174">
        <v>0</v>
      </c>
      <c r="BF33" s="174">
        <v>0</v>
      </c>
      <c r="BG33" s="174"/>
      <c r="BH33" s="175" t="s">
        <v>265</v>
      </c>
      <c r="BI33" s="166">
        <v>46011</v>
      </c>
      <c r="BJ33" s="167">
        <v>504.9</v>
      </c>
      <c r="BK33" s="168"/>
      <c r="BL33" s="56"/>
      <c r="BM33" s="168" t="s">
        <v>257</v>
      </c>
      <c r="BN33" s="169" t="s">
        <v>386</v>
      </c>
      <c r="BO33" s="168"/>
      <c r="BP33" s="168"/>
      <c r="BQ33" s="168"/>
      <c r="BR33" s="207"/>
      <c r="BS33" s="168"/>
      <c r="BT33" s="168"/>
      <c r="BU33" s="167"/>
      <c r="BV33" s="170"/>
      <c r="BW33" s="48"/>
      <c r="BX33" s="168"/>
      <c r="BY33" s="168"/>
      <c r="BZ33" s="48"/>
      <c r="CA33" s="48"/>
      <c r="CB33" s="48"/>
      <c r="CC33" s="167"/>
      <c r="CD33" s="137"/>
      <c r="CE33" s="171"/>
      <c r="CF33" s="172" t="s">
        <v>166</v>
      </c>
      <c r="CG33" s="165"/>
    </row>
    <row r="34" spans="1:86" s="138" customFormat="1" ht="15" customHeight="1">
      <c r="A34" s="48" t="s">
        <v>275</v>
      </c>
      <c r="B34" s="29" t="s">
        <v>111</v>
      </c>
      <c r="C34" s="168">
        <v>45809</v>
      </c>
      <c r="D34" s="48" t="s">
        <v>179</v>
      </c>
      <c r="E34" s="29" t="s">
        <v>113</v>
      </c>
      <c r="F34" s="48" t="s">
        <v>114</v>
      </c>
      <c r="G34" s="48" t="s">
        <v>153</v>
      </c>
      <c r="H34" s="48" t="s">
        <v>116</v>
      </c>
      <c r="I34" s="48" t="s">
        <v>116</v>
      </c>
      <c r="J34" s="170" t="s">
        <v>116</v>
      </c>
      <c r="K34" s="170" t="b">
        <v>0</v>
      </c>
      <c r="L34" s="170" t="s">
        <v>116</v>
      </c>
      <c r="M34" s="170" t="s">
        <v>116</v>
      </c>
      <c r="N34" s="170" t="s">
        <v>118</v>
      </c>
      <c r="O34" s="170" t="s">
        <v>256</v>
      </c>
      <c r="P34" s="48" t="s">
        <v>257</v>
      </c>
      <c r="Q34" s="48" t="s">
        <v>258</v>
      </c>
      <c r="R34" s="170" t="s">
        <v>116</v>
      </c>
      <c r="S34" s="170" t="s">
        <v>116</v>
      </c>
      <c r="T34" s="170" t="s">
        <v>116</v>
      </c>
      <c r="U34" s="170" t="s">
        <v>116</v>
      </c>
      <c r="V34" s="170" t="s">
        <v>116</v>
      </c>
      <c r="W34" s="170" t="s">
        <v>116</v>
      </c>
      <c r="X34" s="173" t="s">
        <v>276</v>
      </c>
      <c r="Y34" s="167">
        <v>113.47</v>
      </c>
      <c r="Z34" s="48" t="s">
        <v>123</v>
      </c>
      <c r="AA34" s="48">
        <v>1</v>
      </c>
      <c r="AB34" s="174">
        <v>0</v>
      </c>
      <c r="AC34" s="174"/>
      <c r="AD34" s="174">
        <v>0</v>
      </c>
      <c r="AE34" s="174">
        <v>0</v>
      </c>
      <c r="AF34" s="174">
        <v>0</v>
      </c>
      <c r="AG34" s="174">
        <v>0</v>
      </c>
      <c r="AH34" s="174">
        <v>0</v>
      </c>
      <c r="AI34" s="174">
        <v>0</v>
      </c>
      <c r="AJ34" s="174">
        <v>0.56999999999999995</v>
      </c>
      <c r="AK34" s="174">
        <v>0</v>
      </c>
      <c r="AL34" s="174">
        <v>0</v>
      </c>
      <c r="AM34" s="174">
        <v>0</v>
      </c>
      <c r="AN34" s="174">
        <v>0</v>
      </c>
      <c r="AO34" s="174">
        <v>0</v>
      </c>
      <c r="AP34" s="174">
        <v>0</v>
      </c>
      <c r="AQ34" s="174">
        <v>0</v>
      </c>
      <c r="AR34" s="174">
        <v>0</v>
      </c>
      <c r="AS34" s="174">
        <v>0</v>
      </c>
      <c r="AT34" s="174">
        <v>0</v>
      </c>
      <c r="AU34" s="174">
        <v>0</v>
      </c>
      <c r="AV34" s="174">
        <v>0</v>
      </c>
      <c r="AW34" s="174">
        <v>0</v>
      </c>
      <c r="AX34" s="174">
        <v>0</v>
      </c>
      <c r="AY34" s="174">
        <v>0</v>
      </c>
      <c r="AZ34" s="174">
        <v>0</v>
      </c>
      <c r="BA34" s="174">
        <v>0</v>
      </c>
      <c r="BB34" s="174">
        <v>0</v>
      </c>
      <c r="BC34" s="174">
        <v>0</v>
      </c>
      <c r="BD34" s="174">
        <v>0</v>
      </c>
      <c r="BE34" s="174">
        <v>0</v>
      </c>
      <c r="BF34" s="174">
        <v>0</v>
      </c>
      <c r="BG34" s="174"/>
      <c r="BH34" s="175" t="s">
        <v>266</v>
      </c>
      <c r="BI34" s="166">
        <v>45998</v>
      </c>
      <c r="BJ34" s="167">
        <v>233.1</v>
      </c>
      <c r="BK34" s="168"/>
      <c r="BL34" s="56"/>
      <c r="BM34" s="168" t="s">
        <v>257</v>
      </c>
      <c r="BN34" s="169" t="s">
        <v>386</v>
      </c>
      <c r="BO34" s="168"/>
      <c r="BP34" s="168"/>
      <c r="BQ34" s="168"/>
      <c r="BR34" s="207"/>
      <c r="BS34" s="168"/>
      <c r="BT34" s="168"/>
      <c r="BU34" s="167"/>
      <c r="BV34" s="170"/>
      <c r="BW34" s="48"/>
      <c r="BX34" s="168"/>
      <c r="BY34" s="168"/>
      <c r="BZ34" s="48"/>
      <c r="CA34" s="48"/>
      <c r="CB34" s="48"/>
      <c r="CC34" s="167"/>
      <c r="CD34" s="137"/>
      <c r="CE34" s="171"/>
      <c r="CF34" s="172" t="s">
        <v>166</v>
      </c>
      <c r="CG34" s="165"/>
    </row>
    <row r="35" spans="1:86" s="138" customFormat="1" ht="15" customHeight="1">
      <c r="A35" s="48" t="s">
        <v>277</v>
      </c>
      <c r="B35" s="29" t="s">
        <v>111</v>
      </c>
      <c r="C35" s="168">
        <v>45809</v>
      </c>
      <c r="D35" s="48" t="s">
        <v>179</v>
      </c>
      <c r="E35" s="29" t="s">
        <v>113</v>
      </c>
      <c r="F35" s="48" t="s">
        <v>114</v>
      </c>
      <c r="G35" s="48" t="s">
        <v>153</v>
      </c>
      <c r="H35" s="48" t="s">
        <v>116</v>
      </c>
      <c r="I35" s="48" t="s">
        <v>116</v>
      </c>
      <c r="J35" s="170" t="s">
        <v>116</v>
      </c>
      <c r="K35" s="170" t="b">
        <v>0</v>
      </c>
      <c r="L35" s="170" t="s">
        <v>116</v>
      </c>
      <c r="M35" s="170" t="s">
        <v>116</v>
      </c>
      <c r="N35" s="170" t="s">
        <v>118</v>
      </c>
      <c r="O35" s="170" t="s">
        <v>256</v>
      </c>
      <c r="P35" s="48" t="s">
        <v>257</v>
      </c>
      <c r="Q35" s="48" t="s">
        <v>258</v>
      </c>
      <c r="R35" s="170" t="s">
        <v>116</v>
      </c>
      <c r="S35" s="170" t="s">
        <v>116</v>
      </c>
      <c r="T35" s="170" t="s">
        <v>116</v>
      </c>
      <c r="U35" s="170" t="s">
        <v>116</v>
      </c>
      <c r="V35" s="170" t="s">
        <v>116</v>
      </c>
      <c r="W35" s="170" t="s">
        <v>116</v>
      </c>
      <c r="X35" s="173" t="s">
        <v>278</v>
      </c>
      <c r="Y35" s="167">
        <v>139.78</v>
      </c>
      <c r="Z35" s="48" t="s">
        <v>123</v>
      </c>
      <c r="AA35" s="48">
        <v>1</v>
      </c>
      <c r="AB35" s="174">
        <v>0</v>
      </c>
      <c r="AC35" s="174"/>
      <c r="AD35" s="174">
        <v>0</v>
      </c>
      <c r="AE35" s="174">
        <v>0</v>
      </c>
      <c r="AF35" s="174">
        <v>0</v>
      </c>
      <c r="AG35" s="174">
        <v>0</v>
      </c>
      <c r="AH35" s="174">
        <v>0</v>
      </c>
      <c r="AI35" s="174">
        <v>0</v>
      </c>
      <c r="AJ35" s="174">
        <v>0.7</v>
      </c>
      <c r="AK35" s="174">
        <v>0</v>
      </c>
      <c r="AL35" s="174">
        <v>0</v>
      </c>
      <c r="AM35" s="174">
        <v>0</v>
      </c>
      <c r="AN35" s="174">
        <v>0</v>
      </c>
      <c r="AO35" s="174">
        <v>0</v>
      </c>
      <c r="AP35" s="174">
        <v>0</v>
      </c>
      <c r="AQ35" s="174">
        <v>0</v>
      </c>
      <c r="AR35" s="174">
        <v>0</v>
      </c>
      <c r="AS35" s="174">
        <v>0</v>
      </c>
      <c r="AT35" s="174">
        <v>0</v>
      </c>
      <c r="AU35" s="174">
        <v>0</v>
      </c>
      <c r="AV35" s="174">
        <v>0</v>
      </c>
      <c r="AW35" s="174">
        <v>0</v>
      </c>
      <c r="AX35" s="174">
        <v>0</v>
      </c>
      <c r="AY35" s="174">
        <v>0</v>
      </c>
      <c r="AZ35" s="174">
        <v>0</v>
      </c>
      <c r="BA35" s="174">
        <v>0</v>
      </c>
      <c r="BB35" s="174">
        <v>0</v>
      </c>
      <c r="BC35" s="174">
        <v>0</v>
      </c>
      <c r="BD35" s="174">
        <v>0</v>
      </c>
      <c r="BE35" s="174">
        <v>0</v>
      </c>
      <c r="BF35" s="174">
        <v>0</v>
      </c>
      <c r="BG35" s="174"/>
      <c r="BH35" s="175" t="s">
        <v>279</v>
      </c>
      <c r="BI35" s="166">
        <v>45998</v>
      </c>
      <c r="BJ35" s="167">
        <v>233.1</v>
      </c>
      <c r="BK35" s="168"/>
      <c r="BL35" s="56"/>
      <c r="BM35" s="168" t="s">
        <v>257</v>
      </c>
      <c r="BN35" s="169" t="s">
        <v>386</v>
      </c>
      <c r="BO35" s="168"/>
      <c r="BP35" s="168"/>
      <c r="BQ35" s="168"/>
      <c r="BR35" s="207"/>
      <c r="BS35" s="168"/>
      <c r="BT35" s="168"/>
      <c r="BU35" s="167"/>
      <c r="BV35" s="170"/>
      <c r="BW35" s="48"/>
      <c r="BX35" s="168"/>
      <c r="BY35" s="168"/>
      <c r="BZ35" s="48"/>
      <c r="CA35" s="48"/>
      <c r="CB35" s="48"/>
      <c r="CC35" s="167"/>
      <c r="CD35" s="137"/>
      <c r="CE35" s="171"/>
      <c r="CF35" s="172" t="s">
        <v>166</v>
      </c>
      <c r="CG35" s="165"/>
    </row>
    <row r="36" spans="1:86" s="138" customFormat="1" ht="15" customHeight="1">
      <c r="A36" s="48" t="s">
        <v>280</v>
      </c>
      <c r="B36" s="29" t="s">
        <v>111</v>
      </c>
      <c r="C36" s="168">
        <v>45658</v>
      </c>
      <c r="D36" s="48" t="s">
        <v>281</v>
      </c>
      <c r="E36" s="29" t="s">
        <v>113</v>
      </c>
      <c r="F36" s="48" t="s">
        <v>114</v>
      </c>
      <c r="G36" s="48" t="s">
        <v>153</v>
      </c>
      <c r="H36" s="48" t="s">
        <v>116</v>
      </c>
      <c r="I36" s="48" t="s">
        <v>116</v>
      </c>
      <c r="J36" s="170" t="s">
        <v>116</v>
      </c>
      <c r="K36" s="170" t="b">
        <v>0</v>
      </c>
      <c r="L36" s="170" t="s">
        <v>116</v>
      </c>
      <c r="M36" s="170" t="s">
        <v>116</v>
      </c>
      <c r="N36" s="170" t="s">
        <v>118</v>
      </c>
      <c r="O36" s="170" t="s">
        <v>256</v>
      </c>
      <c r="P36" s="48" t="s">
        <v>257</v>
      </c>
      <c r="Q36" s="48" t="s">
        <v>258</v>
      </c>
      <c r="R36" s="170" t="s">
        <v>116</v>
      </c>
      <c r="S36" s="170" t="s">
        <v>116</v>
      </c>
      <c r="T36" s="170" t="s">
        <v>116</v>
      </c>
      <c r="U36" s="170" t="s">
        <v>116</v>
      </c>
      <c r="V36" s="170" t="s">
        <v>116</v>
      </c>
      <c r="W36" s="170" t="s">
        <v>116</v>
      </c>
      <c r="X36" s="173" t="s">
        <v>282</v>
      </c>
      <c r="Y36" s="167" t="s">
        <v>116</v>
      </c>
      <c r="Z36" s="48" t="s">
        <v>116</v>
      </c>
      <c r="AA36" s="48">
        <v>1</v>
      </c>
      <c r="AB36" s="174">
        <v>0</v>
      </c>
      <c r="AC36" s="174"/>
      <c r="AD36" s="174">
        <v>0</v>
      </c>
      <c r="AE36" s="174">
        <v>0</v>
      </c>
      <c r="AF36" s="174">
        <v>0</v>
      </c>
      <c r="AG36" s="174">
        <v>0</v>
      </c>
      <c r="AH36" s="174">
        <v>0</v>
      </c>
      <c r="AI36" s="174">
        <v>0</v>
      </c>
      <c r="AJ36" s="174">
        <v>0.8</v>
      </c>
      <c r="AK36" s="174">
        <v>0</v>
      </c>
      <c r="AL36" s="174">
        <v>0</v>
      </c>
      <c r="AM36" s="174">
        <v>0</v>
      </c>
      <c r="AN36" s="174">
        <v>0</v>
      </c>
      <c r="AO36" s="174">
        <v>0</v>
      </c>
      <c r="AP36" s="174">
        <v>0</v>
      </c>
      <c r="AQ36" s="174">
        <v>0</v>
      </c>
      <c r="AR36" s="174">
        <v>0</v>
      </c>
      <c r="AS36" s="174">
        <v>0</v>
      </c>
      <c r="AT36" s="174">
        <v>0</v>
      </c>
      <c r="AU36" s="174">
        <v>0</v>
      </c>
      <c r="AV36" s="174">
        <v>0</v>
      </c>
      <c r="AW36" s="174">
        <v>0</v>
      </c>
      <c r="AX36" s="174">
        <v>0</v>
      </c>
      <c r="AY36" s="174">
        <v>0</v>
      </c>
      <c r="AZ36" s="174">
        <v>0</v>
      </c>
      <c r="BA36" s="174">
        <v>0</v>
      </c>
      <c r="BB36" s="174">
        <v>0</v>
      </c>
      <c r="BC36" s="174">
        <v>0</v>
      </c>
      <c r="BD36" s="174">
        <v>0</v>
      </c>
      <c r="BE36" s="174">
        <v>0</v>
      </c>
      <c r="BF36" s="174">
        <v>0</v>
      </c>
      <c r="BG36" s="174"/>
      <c r="BH36" s="175" t="s">
        <v>283</v>
      </c>
      <c r="BI36" s="166">
        <v>46004</v>
      </c>
      <c r="BJ36" s="167">
        <v>10.57</v>
      </c>
      <c r="BK36" s="168"/>
      <c r="BL36" s="56"/>
      <c r="BM36" s="168" t="s">
        <v>257</v>
      </c>
      <c r="BN36" s="169" t="s">
        <v>386</v>
      </c>
      <c r="BO36" s="168"/>
      <c r="BP36" s="168"/>
      <c r="BQ36" s="168"/>
      <c r="BR36" s="207"/>
      <c r="BS36" s="168"/>
      <c r="BT36" s="168"/>
      <c r="BU36" s="167"/>
      <c r="BV36" s="170"/>
      <c r="BW36" s="48"/>
      <c r="BX36" s="168"/>
      <c r="BY36" s="168"/>
      <c r="BZ36" s="48"/>
      <c r="CA36" s="48"/>
      <c r="CB36" s="48"/>
      <c r="CC36" s="167"/>
      <c r="CD36" s="137"/>
      <c r="CE36" s="171"/>
      <c r="CF36" s="172" t="s">
        <v>166</v>
      </c>
      <c r="CG36" s="165"/>
    </row>
    <row r="37" spans="1:86" s="138" customFormat="1" ht="15" customHeight="1">
      <c r="A37" s="48" t="s">
        <v>280</v>
      </c>
      <c r="B37" s="29" t="s">
        <v>111</v>
      </c>
      <c r="C37" s="168">
        <v>45658</v>
      </c>
      <c r="D37" s="48" t="s">
        <v>281</v>
      </c>
      <c r="E37" s="29" t="s">
        <v>113</v>
      </c>
      <c r="F37" s="48" t="s">
        <v>114</v>
      </c>
      <c r="G37" s="48" t="s">
        <v>153</v>
      </c>
      <c r="H37" s="48" t="s">
        <v>116</v>
      </c>
      <c r="I37" s="48" t="s">
        <v>116</v>
      </c>
      <c r="J37" s="170" t="s">
        <v>116</v>
      </c>
      <c r="K37" s="170" t="b">
        <v>0</v>
      </c>
      <c r="L37" s="170" t="s">
        <v>116</v>
      </c>
      <c r="M37" s="170" t="s">
        <v>116</v>
      </c>
      <c r="N37" s="170" t="s">
        <v>118</v>
      </c>
      <c r="O37" s="170" t="s">
        <v>256</v>
      </c>
      <c r="P37" s="48" t="s">
        <v>257</v>
      </c>
      <c r="Q37" s="48" t="s">
        <v>258</v>
      </c>
      <c r="R37" s="170" t="s">
        <v>116</v>
      </c>
      <c r="S37" s="170" t="s">
        <v>116</v>
      </c>
      <c r="T37" s="170" t="s">
        <v>116</v>
      </c>
      <c r="U37" s="170" t="s">
        <v>116</v>
      </c>
      <c r="V37" s="170" t="s">
        <v>116</v>
      </c>
      <c r="W37" s="170" t="s">
        <v>116</v>
      </c>
      <c r="X37" s="173" t="s">
        <v>282</v>
      </c>
      <c r="Y37" s="167" t="s">
        <v>116</v>
      </c>
      <c r="Z37" s="48" t="s">
        <v>116</v>
      </c>
      <c r="AA37" s="48">
        <v>1</v>
      </c>
      <c r="AB37" s="174">
        <v>0</v>
      </c>
      <c r="AC37" s="174"/>
      <c r="AD37" s="174">
        <v>0</v>
      </c>
      <c r="AE37" s="174">
        <v>0</v>
      </c>
      <c r="AF37" s="174">
        <v>0</v>
      </c>
      <c r="AG37" s="174">
        <v>0</v>
      </c>
      <c r="AH37" s="174">
        <v>0</v>
      </c>
      <c r="AI37" s="174">
        <v>0</v>
      </c>
      <c r="AJ37" s="174">
        <v>0.8</v>
      </c>
      <c r="AK37" s="174">
        <v>0</v>
      </c>
      <c r="AL37" s="174">
        <v>0</v>
      </c>
      <c r="AM37" s="174">
        <v>0</v>
      </c>
      <c r="AN37" s="174">
        <v>0</v>
      </c>
      <c r="AO37" s="174">
        <v>0</v>
      </c>
      <c r="AP37" s="174">
        <v>0</v>
      </c>
      <c r="AQ37" s="174">
        <v>0</v>
      </c>
      <c r="AR37" s="174">
        <v>0</v>
      </c>
      <c r="AS37" s="174">
        <v>0</v>
      </c>
      <c r="AT37" s="174">
        <v>0</v>
      </c>
      <c r="AU37" s="174">
        <v>0</v>
      </c>
      <c r="AV37" s="174">
        <v>0</v>
      </c>
      <c r="AW37" s="174">
        <v>0</v>
      </c>
      <c r="AX37" s="174">
        <v>0</v>
      </c>
      <c r="AY37" s="174">
        <v>0</v>
      </c>
      <c r="AZ37" s="174">
        <v>0</v>
      </c>
      <c r="BA37" s="174">
        <v>0</v>
      </c>
      <c r="BB37" s="174">
        <v>0</v>
      </c>
      <c r="BC37" s="174">
        <v>0</v>
      </c>
      <c r="BD37" s="174">
        <v>0</v>
      </c>
      <c r="BE37" s="174">
        <v>0</v>
      </c>
      <c r="BF37" s="174">
        <v>0</v>
      </c>
      <c r="BG37" s="174"/>
      <c r="BH37" s="175" t="s">
        <v>194</v>
      </c>
      <c r="BI37" s="166">
        <v>46022</v>
      </c>
      <c r="BJ37" s="167">
        <v>3.19</v>
      </c>
      <c r="BK37" s="168"/>
      <c r="BL37" s="56"/>
      <c r="BM37" s="168" t="s">
        <v>257</v>
      </c>
      <c r="BN37" s="169" t="s">
        <v>386</v>
      </c>
      <c r="BO37" s="168"/>
      <c r="BP37" s="168"/>
      <c r="BQ37" s="168"/>
      <c r="BR37" s="207"/>
      <c r="BS37" s="168"/>
      <c r="BT37" s="168"/>
      <c r="BU37" s="167"/>
      <c r="BV37" s="170"/>
      <c r="BW37" s="48"/>
      <c r="BX37" s="168"/>
      <c r="BY37" s="168"/>
      <c r="BZ37" s="48"/>
      <c r="CA37" s="48"/>
      <c r="CB37" s="48"/>
      <c r="CC37" s="167"/>
      <c r="CD37" s="137"/>
      <c r="CE37" s="171"/>
      <c r="CF37" s="172" t="s">
        <v>166</v>
      </c>
      <c r="CG37" s="165"/>
    </row>
    <row r="38" spans="1:86" s="138" customFormat="1" ht="15" customHeight="1">
      <c r="A38" s="48" t="s">
        <v>284</v>
      </c>
      <c r="B38" s="29" t="s">
        <v>111</v>
      </c>
      <c r="C38" s="168">
        <v>45658</v>
      </c>
      <c r="D38" s="48" t="s">
        <v>281</v>
      </c>
      <c r="E38" s="29" t="s">
        <v>113</v>
      </c>
      <c r="F38" s="48" t="s">
        <v>114</v>
      </c>
      <c r="G38" s="48" t="s">
        <v>153</v>
      </c>
      <c r="H38" s="48" t="s">
        <v>116</v>
      </c>
      <c r="I38" s="48" t="s">
        <v>116</v>
      </c>
      <c r="J38" s="170" t="s">
        <v>116</v>
      </c>
      <c r="K38" s="170" t="b">
        <v>0</v>
      </c>
      <c r="L38" s="170" t="s">
        <v>116</v>
      </c>
      <c r="M38" s="170" t="s">
        <v>116</v>
      </c>
      <c r="N38" s="170" t="s">
        <v>118</v>
      </c>
      <c r="O38" s="170" t="s">
        <v>256</v>
      </c>
      <c r="P38" s="48" t="s">
        <v>257</v>
      </c>
      <c r="Q38" s="48" t="s">
        <v>258</v>
      </c>
      <c r="R38" s="170" t="s">
        <v>116</v>
      </c>
      <c r="S38" s="170" t="s">
        <v>116</v>
      </c>
      <c r="T38" s="170" t="s">
        <v>116</v>
      </c>
      <c r="U38" s="170" t="s">
        <v>116</v>
      </c>
      <c r="V38" s="170" t="s">
        <v>116</v>
      </c>
      <c r="W38" s="170" t="s">
        <v>116</v>
      </c>
      <c r="X38" s="173" t="s">
        <v>285</v>
      </c>
      <c r="Y38" s="167" t="s">
        <v>116</v>
      </c>
      <c r="Z38" s="48" t="s">
        <v>116</v>
      </c>
      <c r="AA38" s="48">
        <v>1</v>
      </c>
      <c r="AB38" s="174">
        <v>0</v>
      </c>
      <c r="AC38" s="174"/>
      <c r="AD38" s="174">
        <v>0</v>
      </c>
      <c r="AE38" s="174">
        <v>0</v>
      </c>
      <c r="AF38" s="174">
        <v>0</v>
      </c>
      <c r="AG38" s="174">
        <v>0</v>
      </c>
      <c r="AH38" s="174">
        <v>0</v>
      </c>
      <c r="AI38" s="174">
        <v>0</v>
      </c>
      <c r="AJ38" s="174">
        <v>0.8</v>
      </c>
      <c r="AK38" s="174">
        <v>0</v>
      </c>
      <c r="AL38" s="174">
        <v>0</v>
      </c>
      <c r="AM38" s="174">
        <v>0</v>
      </c>
      <c r="AN38" s="174">
        <v>0</v>
      </c>
      <c r="AO38" s="174">
        <v>0</v>
      </c>
      <c r="AP38" s="174">
        <v>0</v>
      </c>
      <c r="AQ38" s="174">
        <v>0</v>
      </c>
      <c r="AR38" s="174">
        <v>0</v>
      </c>
      <c r="AS38" s="174">
        <v>0</v>
      </c>
      <c r="AT38" s="174">
        <v>0</v>
      </c>
      <c r="AU38" s="174">
        <v>0</v>
      </c>
      <c r="AV38" s="174">
        <v>0</v>
      </c>
      <c r="AW38" s="174">
        <v>0</v>
      </c>
      <c r="AX38" s="174">
        <v>0</v>
      </c>
      <c r="AY38" s="174">
        <v>0</v>
      </c>
      <c r="AZ38" s="174">
        <v>0</v>
      </c>
      <c r="BA38" s="174">
        <v>0</v>
      </c>
      <c r="BB38" s="174">
        <v>0</v>
      </c>
      <c r="BC38" s="174">
        <v>0</v>
      </c>
      <c r="BD38" s="174">
        <v>0</v>
      </c>
      <c r="BE38" s="174">
        <v>0</v>
      </c>
      <c r="BF38" s="174">
        <v>0</v>
      </c>
      <c r="BG38" s="174"/>
      <c r="BH38" s="175" t="s">
        <v>194</v>
      </c>
      <c r="BI38" s="166">
        <v>46004</v>
      </c>
      <c r="BJ38" s="167">
        <v>10.57</v>
      </c>
      <c r="BK38" s="168"/>
      <c r="BL38" s="56"/>
      <c r="BM38" s="168" t="s">
        <v>257</v>
      </c>
      <c r="BN38" s="169" t="s">
        <v>386</v>
      </c>
      <c r="BO38" s="168"/>
      <c r="BP38" s="168"/>
      <c r="BQ38" s="168"/>
      <c r="BR38" s="207"/>
      <c r="BS38" s="168"/>
      <c r="BT38" s="168"/>
      <c r="BU38" s="167"/>
      <c r="BV38" s="170"/>
      <c r="BW38" s="48"/>
      <c r="BX38" s="168"/>
      <c r="BY38" s="168"/>
      <c r="BZ38" s="48"/>
      <c r="CA38" s="48"/>
      <c r="CB38" s="48"/>
      <c r="CC38" s="167"/>
      <c r="CD38" s="137"/>
      <c r="CE38" s="171"/>
      <c r="CF38" s="172" t="s">
        <v>166</v>
      </c>
      <c r="CG38" s="165"/>
    </row>
    <row r="39" spans="1:86" s="138" customFormat="1" ht="15" customHeight="1">
      <c r="A39" s="48" t="s">
        <v>286</v>
      </c>
      <c r="B39" s="29" t="s">
        <v>111</v>
      </c>
      <c r="C39" s="168">
        <v>45870</v>
      </c>
      <c r="D39" s="48" t="s">
        <v>179</v>
      </c>
      <c r="E39" s="29" t="s">
        <v>113</v>
      </c>
      <c r="F39" s="48" t="s">
        <v>114</v>
      </c>
      <c r="G39" s="48" t="s">
        <v>153</v>
      </c>
      <c r="H39" s="48" t="s">
        <v>116</v>
      </c>
      <c r="I39" s="48" t="s">
        <v>116</v>
      </c>
      <c r="J39" s="170" t="s">
        <v>116</v>
      </c>
      <c r="K39" s="170" t="b">
        <v>0</v>
      </c>
      <c r="L39" s="170" t="s">
        <v>116</v>
      </c>
      <c r="M39" s="170" t="s">
        <v>116</v>
      </c>
      <c r="N39" s="170" t="s">
        <v>118</v>
      </c>
      <c r="O39" s="170" t="s">
        <v>256</v>
      </c>
      <c r="P39" s="48" t="s">
        <v>257</v>
      </c>
      <c r="Q39" s="48" t="s">
        <v>258</v>
      </c>
      <c r="R39" s="170" t="s">
        <v>116</v>
      </c>
      <c r="S39" s="170" t="s">
        <v>116</v>
      </c>
      <c r="T39" s="170" t="s">
        <v>116</v>
      </c>
      <c r="U39" s="170" t="s">
        <v>116</v>
      </c>
      <c r="V39" s="170" t="s">
        <v>116</v>
      </c>
      <c r="W39" s="170" t="s">
        <v>116</v>
      </c>
      <c r="X39" s="173" t="s">
        <v>287</v>
      </c>
      <c r="Y39" s="167">
        <v>99.7</v>
      </c>
      <c r="Z39" s="48" t="s">
        <v>123</v>
      </c>
      <c r="AA39" s="48">
        <v>1</v>
      </c>
      <c r="AB39" s="174">
        <v>0</v>
      </c>
      <c r="AC39" s="174"/>
      <c r="AD39" s="174">
        <v>0</v>
      </c>
      <c r="AE39" s="174">
        <v>0</v>
      </c>
      <c r="AF39" s="174">
        <v>0</v>
      </c>
      <c r="AG39" s="174">
        <v>0</v>
      </c>
      <c r="AH39" s="174">
        <v>0</v>
      </c>
      <c r="AI39" s="174">
        <v>0</v>
      </c>
      <c r="AJ39" s="174">
        <v>0.5</v>
      </c>
      <c r="AK39" s="174">
        <v>0</v>
      </c>
      <c r="AL39" s="174">
        <v>0</v>
      </c>
      <c r="AM39" s="174">
        <v>0</v>
      </c>
      <c r="AN39" s="174">
        <v>0</v>
      </c>
      <c r="AO39" s="174">
        <v>0</v>
      </c>
      <c r="AP39" s="174">
        <v>0</v>
      </c>
      <c r="AQ39" s="174">
        <v>0</v>
      </c>
      <c r="AR39" s="174">
        <v>0</v>
      </c>
      <c r="AS39" s="174">
        <v>0</v>
      </c>
      <c r="AT39" s="174">
        <v>0</v>
      </c>
      <c r="AU39" s="174">
        <v>0</v>
      </c>
      <c r="AV39" s="174">
        <v>0</v>
      </c>
      <c r="AW39" s="174">
        <v>0</v>
      </c>
      <c r="AX39" s="174">
        <v>0</v>
      </c>
      <c r="AY39" s="174">
        <v>0</v>
      </c>
      <c r="AZ39" s="174">
        <v>0</v>
      </c>
      <c r="BA39" s="174">
        <v>0</v>
      </c>
      <c r="BB39" s="174">
        <v>0</v>
      </c>
      <c r="BC39" s="174">
        <v>0</v>
      </c>
      <c r="BD39" s="174">
        <v>0</v>
      </c>
      <c r="BE39" s="174">
        <v>0</v>
      </c>
      <c r="BF39" s="174">
        <v>0</v>
      </c>
      <c r="BG39" s="174"/>
      <c r="BH39" s="175" t="s">
        <v>288</v>
      </c>
      <c r="BI39" s="166">
        <v>45998</v>
      </c>
      <c r="BJ39" s="167">
        <v>233.1</v>
      </c>
      <c r="BK39" s="168"/>
      <c r="BL39" s="56"/>
      <c r="BM39" s="168" t="s">
        <v>257</v>
      </c>
      <c r="BN39" s="169" t="s">
        <v>386</v>
      </c>
      <c r="BO39" s="168"/>
      <c r="BP39" s="168"/>
      <c r="BQ39" s="168"/>
      <c r="BR39" s="207"/>
      <c r="BS39" s="168"/>
      <c r="BT39" s="168"/>
      <c r="BU39" s="167"/>
      <c r="BV39" s="170"/>
      <c r="BW39" s="48"/>
      <c r="BX39" s="168"/>
      <c r="BY39" s="168"/>
      <c r="BZ39" s="48"/>
      <c r="CA39" s="48"/>
      <c r="CB39" s="48"/>
      <c r="CC39" s="167"/>
      <c r="CD39" s="137"/>
      <c r="CE39" s="171"/>
      <c r="CF39" s="172" t="s">
        <v>166</v>
      </c>
      <c r="CG39" s="165"/>
    </row>
    <row r="40" spans="1:86" s="138" customFormat="1" ht="15" customHeight="1">
      <c r="A40" s="48" t="s">
        <v>289</v>
      </c>
      <c r="B40" s="29" t="s">
        <v>111</v>
      </c>
      <c r="C40" s="168">
        <v>46023</v>
      </c>
      <c r="D40" s="48" t="s">
        <v>290</v>
      </c>
      <c r="E40" s="29" t="s">
        <v>113</v>
      </c>
      <c r="F40" s="48" t="s">
        <v>114</v>
      </c>
      <c r="G40" s="48" t="s">
        <v>153</v>
      </c>
      <c r="H40" s="48" t="s">
        <v>116</v>
      </c>
      <c r="I40" s="48" t="s">
        <v>116</v>
      </c>
      <c r="J40" s="170" t="s">
        <v>116</v>
      </c>
      <c r="K40" s="170" t="b">
        <v>0</v>
      </c>
      <c r="L40" s="170" t="s">
        <v>116</v>
      </c>
      <c r="M40" s="170" t="s">
        <v>116</v>
      </c>
      <c r="N40" s="170" t="s">
        <v>118</v>
      </c>
      <c r="O40" s="170" t="s">
        <v>256</v>
      </c>
      <c r="P40" s="48" t="s">
        <v>257</v>
      </c>
      <c r="Q40" s="48" t="s">
        <v>258</v>
      </c>
      <c r="R40" s="170" t="s">
        <v>116</v>
      </c>
      <c r="S40" s="170" t="s">
        <v>116</v>
      </c>
      <c r="T40" s="170" t="s">
        <v>116</v>
      </c>
      <c r="U40" s="170" t="s">
        <v>116</v>
      </c>
      <c r="V40" s="170" t="s">
        <v>116</v>
      </c>
      <c r="W40" s="170" t="s">
        <v>116</v>
      </c>
      <c r="X40" s="173" t="s">
        <v>291</v>
      </c>
      <c r="Y40" s="167">
        <v>1659.1</v>
      </c>
      <c r="Z40" s="48" t="s">
        <v>292</v>
      </c>
      <c r="AA40" s="48">
        <v>1</v>
      </c>
      <c r="AB40" s="174">
        <v>0</v>
      </c>
      <c r="AC40" s="174"/>
      <c r="AD40" s="174">
        <v>0</v>
      </c>
      <c r="AE40" s="174">
        <v>0</v>
      </c>
      <c r="AF40" s="174">
        <v>0</v>
      </c>
      <c r="AG40" s="174">
        <v>0</v>
      </c>
      <c r="AH40" s="174">
        <v>0</v>
      </c>
      <c r="AI40" s="174">
        <v>0</v>
      </c>
      <c r="AJ40" s="174">
        <v>8.3000000000000007</v>
      </c>
      <c r="AK40" s="174">
        <v>0</v>
      </c>
      <c r="AL40" s="174">
        <v>0</v>
      </c>
      <c r="AM40" s="174">
        <v>0</v>
      </c>
      <c r="AN40" s="174">
        <v>0</v>
      </c>
      <c r="AO40" s="174">
        <v>0</v>
      </c>
      <c r="AP40" s="174">
        <v>0</v>
      </c>
      <c r="AQ40" s="174">
        <v>0</v>
      </c>
      <c r="AR40" s="174">
        <v>0</v>
      </c>
      <c r="AS40" s="174">
        <v>0</v>
      </c>
      <c r="AT40" s="174">
        <v>0</v>
      </c>
      <c r="AU40" s="174">
        <v>0</v>
      </c>
      <c r="AV40" s="174">
        <v>0</v>
      </c>
      <c r="AW40" s="174">
        <v>0</v>
      </c>
      <c r="AX40" s="174">
        <v>0</v>
      </c>
      <c r="AY40" s="174">
        <v>0</v>
      </c>
      <c r="AZ40" s="174">
        <v>0</v>
      </c>
      <c r="BA40" s="174">
        <v>0</v>
      </c>
      <c r="BB40" s="174">
        <v>0</v>
      </c>
      <c r="BC40" s="174">
        <v>0</v>
      </c>
      <c r="BD40" s="174">
        <v>0</v>
      </c>
      <c r="BE40" s="174">
        <v>0</v>
      </c>
      <c r="BF40" s="174">
        <v>0</v>
      </c>
      <c r="BG40" s="174"/>
      <c r="BH40" s="175" t="s">
        <v>293</v>
      </c>
      <c r="BI40" s="166">
        <v>45998</v>
      </c>
      <c r="BJ40" s="167">
        <v>233.1</v>
      </c>
      <c r="BK40" s="168"/>
      <c r="BL40" s="56"/>
      <c r="BM40" s="168" t="s">
        <v>257</v>
      </c>
      <c r="BN40" s="169" t="s">
        <v>386</v>
      </c>
      <c r="BO40" s="168"/>
      <c r="BP40" s="168"/>
      <c r="BQ40" s="168"/>
      <c r="BR40" s="207"/>
      <c r="BS40" s="168"/>
      <c r="BT40" s="168"/>
      <c r="BU40" s="167"/>
      <c r="BV40" s="170"/>
      <c r="BW40" s="48"/>
      <c r="BX40" s="168"/>
      <c r="BY40" s="168"/>
      <c r="BZ40" s="48"/>
      <c r="CA40" s="48"/>
      <c r="CB40" s="48"/>
      <c r="CC40" s="167"/>
      <c r="CD40" s="137"/>
      <c r="CE40" s="171"/>
      <c r="CF40" s="172" t="s">
        <v>166</v>
      </c>
      <c r="CG40" s="165"/>
    </row>
    <row r="41" spans="1:86" s="138" customFormat="1" ht="15" customHeight="1">
      <c r="A41" s="48" t="s">
        <v>294</v>
      </c>
      <c r="B41" s="29" t="s">
        <v>111</v>
      </c>
      <c r="C41" s="168">
        <v>45870</v>
      </c>
      <c r="D41" s="48" t="s">
        <v>290</v>
      </c>
      <c r="E41" s="29" t="s">
        <v>113</v>
      </c>
      <c r="F41" s="48" t="s">
        <v>114</v>
      </c>
      <c r="G41" s="48" t="s">
        <v>153</v>
      </c>
      <c r="H41" s="48" t="s">
        <v>116</v>
      </c>
      <c r="I41" s="48" t="s">
        <v>116</v>
      </c>
      <c r="J41" s="170" t="s">
        <v>116</v>
      </c>
      <c r="K41" s="170" t="b">
        <v>0</v>
      </c>
      <c r="L41" s="170" t="s">
        <v>116</v>
      </c>
      <c r="M41" s="170" t="s">
        <v>116</v>
      </c>
      <c r="N41" s="170" t="s">
        <v>118</v>
      </c>
      <c r="O41" s="170" t="s">
        <v>256</v>
      </c>
      <c r="P41" s="48" t="s">
        <v>257</v>
      </c>
      <c r="Q41" s="48" t="s">
        <v>258</v>
      </c>
      <c r="R41" s="170" t="s">
        <v>116</v>
      </c>
      <c r="S41" s="170" t="s">
        <v>116</v>
      </c>
      <c r="T41" s="170" t="s">
        <v>116</v>
      </c>
      <c r="U41" s="170" t="s">
        <v>116</v>
      </c>
      <c r="V41" s="170" t="s">
        <v>116</v>
      </c>
      <c r="W41" s="170" t="s">
        <v>116</v>
      </c>
      <c r="X41" s="173" t="s">
        <v>295</v>
      </c>
      <c r="Y41" s="167">
        <v>146.01</v>
      </c>
      <c r="Z41" s="48" t="s">
        <v>123</v>
      </c>
      <c r="AA41" s="48">
        <v>1</v>
      </c>
      <c r="AB41" s="174">
        <v>0</v>
      </c>
      <c r="AC41" s="174"/>
      <c r="AD41" s="174">
        <v>0</v>
      </c>
      <c r="AE41" s="174">
        <v>0</v>
      </c>
      <c r="AF41" s="174">
        <v>0</v>
      </c>
      <c r="AG41" s="174">
        <v>0</v>
      </c>
      <c r="AH41" s="174">
        <v>0</v>
      </c>
      <c r="AI41" s="174">
        <v>0</v>
      </c>
      <c r="AJ41" s="174">
        <v>0.73</v>
      </c>
      <c r="AK41" s="174">
        <v>0</v>
      </c>
      <c r="AL41" s="174">
        <v>0</v>
      </c>
      <c r="AM41" s="174">
        <v>0</v>
      </c>
      <c r="AN41" s="174">
        <v>0</v>
      </c>
      <c r="AO41" s="174">
        <v>0</v>
      </c>
      <c r="AP41" s="174">
        <v>0</v>
      </c>
      <c r="AQ41" s="174">
        <v>0</v>
      </c>
      <c r="AR41" s="174">
        <v>0</v>
      </c>
      <c r="AS41" s="174">
        <v>0</v>
      </c>
      <c r="AT41" s="174">
        <v>0</v>
      </c>
      <c r="AU41" s="174">
        <v>0</v>
      </c>
      <c r="AV41" s="174">
        <v>0</v>
      </c>
      <c r="AW41" s="174">
        <v>0</v>
      </c>
      <c r="AX41" s="174">
        <v>0</v>
      </c>
      <c r="AY41" s="174">
        <v>0</v>
      </c>
      <c r="AZ41" s="174">
        <v>0</v>
      </c>
      <c r="BA41" s="174">
        <v>0</v>
      </c>
      <c r="BB41" s="174">
        <v>0</v>
      </c>
      <c r="BC41" s="174">
        <v>0</v>
      </c>
      <c r="BD41" s="174">
        <v>0</v>
      </c>
      <c r="BE41" s="174">
        <v>0</v>
      </c>
      <c r="BF41" s="174">
        <v>0</v>
      </c>
      <c r="BG41" s="174"/>
      <c r="BH41" s="175" t="s">
        <v>272</v>
      </c>
      <c r="BI41" s="166">
        <v>46011</v>
      </c>
      <c r="BJ41" s="167">
        <v>504.9</v>
      </c>
      <c r="BK41" s="168"/>
      <c r="BL41" s="56"/>
      <c r="BM41" s="168" t="s">
        <v>257</v>
      </c>
      <c r="BN41" s="169" t="s">
        <v>386</v>
      </c>
      <c r="BO41" s="168"/>
      <c r="BP41" s="168"/>
      <c r="BQ41" s="168"/>
      <c r="BR41" s="207"/>
      <c r="BS41" s="168"/>
      <c r="BT41" s="168"/>
      <c r="BU41" s="167"/>
      <c r="BV41" s="170"/>
      <c r="BW41" s="48"/>
      <c r="BX41" s="168"/>
      <c r="BY41" s="168"/>
      <c r="BZ41" s="48"/>
      <c r="CA41" s="48"/>
      <c r="CB41" s="48"/>
      <c r="CC41" s="167"/>
      <c r="CD41" s="137"/>
      <c r="CE41" s="171"/>
      <c r="CF41" s="172" t="s">
        <v>166</v>
      </c>
      <c r="CG41" s="165"/>
    </row>
    <row r="42" spans="1:86" s="138" customFormat="1" ht="15" customHeight="1">
      <c r="A42" s="48" t="s">
        <v>296</v>
      </c>
      <c r="B42" s="29" t="s">
        <v>111</v>
      </c>
      <c r="C42" s="168">
        <v>45870</v>
      </c>
      <c r="D42" s="48" t="s">
        <v>290</v>
      </c>
      <c r="E42" s="29" t="s">
        <v>113</v>
      </c>
      <c r="F42" s="48" t="s">
        <v>114</v>
      </c>
      <c r="G42" s="48" t="s">
        <v>153</v>
      </c>
      <c r="H42" s="48" t="s">
        <v>116</v>
      </c>
      <c r="I42" s="48" t="s">
        <v>116</v>
      </c>
      <c r="J42" s="170" t="s">
        <v>116</v>
      </c>
      <c r="K42" s="170" t="b">
        <v>0</v>
      </c>
      <c r="L42" s="170" t="s">
        <v>116</v>
      </c>
      <c r="M42" s="170" t="s">
        <v>116</v>
      </c>
      <c r="N42" s="170" t="s">
        <v>118</v>
      </c>
      <c r="O42" s="170" t="s">
        <v>256</v>
      </c>
      <c r="P42" s="48" t="s">
        <v>257</v>
      </c>
      <c r="Q42" s="48" t="s">
        <v>258</v>
      </c>
      <c r="R42" s="170" t="s">
        <v>116</v>
      </c>
      <c r="S42" s="170" t="s">
        <v>116</v>
      </c>
      <c r="T42" s="170" t="s">
        <v>116</v>
      </c>
      <c r="U42" s="170" t="s">
        <v>116</v>
      </c>
      <c r="V42" s="170" t="s">
        <v>116</v>
      </c>
      <c r="W42" s="170" t="s">
        <v>116</v>
      </c>
      <c r="X42" s="173" t="s">
        <v>297</v>
      </c>
      <c r="Y42" s="167">
        <v>188.66</v>
      </c>
      <c r="Z42" s="48" t="s">
        <v>123</v>
      </c>
      <c r="AA42" s="48">
        <v>1</v>
      </c>
      <c r="AB42" s="174">
        <v>0</v>
      </c>
      <c r="AC42" s="174"/>
      <c r="AD42" s="174">
        <v>0</v>
      </c>
      <c r="AE42" s="174">
        <v>0</v>
      </c>
      <c r="AF42" s="174">
        <v>0</v>
      </c>
      <c r="AG42" s="174">
        <v>0</v>
      </c>
      <c r="AH42" s="174">
        <v>0</v>
      </c>
      <c r="AI42" s="174">
        <v>0</v>
      </c>
      <c r="AJ42" s="174">
        <v>0.94</v>
      </c>
      <c r="AK42" s="174">
        <v>0</v>
      </c>
      <c r="AL42" s="174">
        <v>0</v>
      </c>
      <c r="AM42" s="174">
        <v>0</v>
      </c>
      <c r="AN42" s="174">
        <v>0</v>
      </c>
      <c r="AO42" s="174">
        <v>0</v>
      </c>
      <c r="AP42" s="174">
        <v>0</v>
      </c>
      <c r="AQ42" s="174">
        <v>0</v>
      </c>
      <c r="AR42" s="174">
        <v>0</v>
      </c>
      <c r="AS42" s="174">
        <v>0</v>
      </c>
      <c r="AT42" s="174">
        <v>0</v>
      </c>
      <c r="AU42" s="174">
        <v>0</v>
      </c>
      <c r="AV42" s="174">
        <v>0</v>
      </c>
      <c r="AW42" s="174">
        <v>0</v>
      </c>
      <c r="AX42" s="174">
        <v>0</v>
      </c>
      <c r="AY42" s="174">
        <v>0</v>
      </c>
      <c r="AZ42" s="174">
        <v>0</v>
      </c>
      <c r="BA42" s="174">
        <v>0</v>
      </c>
      <c r="BB42" s="174">
        <v>0</v>
      </c>
      <c r="BC42" s="174">
        <v>0</v>
      </c>
      <c r="BD42" s="174">
        <v>0</v>
      </c>
      <c r="BE42" s="174">
        <v>0</v>
      </c>
      <c r="BF42" s="174">
        <v>0</v>
      </c>
      <c r="BG42" s="174"/>
      <c r="BH42" s="175" t="s">
        <v>272</v>
      </c>
      <c r="BI42" s="166">
        <v>46011</v>
      </c>
      <c r="BJ42" s="167">
        <v>504.9</v>
      </c>
      <c r="BK42" s="168"/>
      <c r="BL42" s="56"/>
      <c r="BM42" s="168" t="s">
        <v>257</v>
      </c>
      <c r="BN42" s="169" t="s">
        <v>386</v>
      </c>
      <c r="BO42" s="168"/>
      <c r="BP42" s="168"/>
      <c r="BQ42" s="168"/>
      <c r="BR42" s="207"/>
      <c r="BS42" s="168"/>
      <c r="BT42" s="168"/>
      <c r="BU42" s="167"/>
      <c r="BV42" s="170"/>
      <c r="BW42" s="48"/>
      <c r="BX42" s="168"/>
      <c r="BY42" s="168"/>
      <c r="BZ42" s="48"/>
      <c r="CA42" s="48"/>
      <c r="CB42" s="48"/>
      <c r="CC42" s="167"/>
      <c r="CD42" s="137"/>
      <c r="CE42" s="171"/>
      <c r="CF42" s="172" t="s">
        <v>166</v>
      </c>
      <c r="CG42" s="165"/>
    </row>
    <row r="43" spans="1:86" s="138" customFormat="1" ht="15" customHeight="1">
      <c r="A43" s="48" t="s">
        <v>298</v>
      </c>
      <c r="B43" s="29" t="s">
        <v>111</v>
      </c>
      <c r="C43" s="168">
        <v>46023</v>
      </c>
      <c r="D43" s="48" t="s">
        <v>179</v>
      </c>
      <c r="E43" s="29" t="s">
        <v>113</v>
      </c>
      <c r="F43" s="48" t="s">
        <v>114</v>
      </c>
      <c r="G43" s="48" t="s">
        <v>130</v>
      </c>
      <c r="H43" s="48" t="s">
        <v>116</v>
      </c>
      <c r="I43" s="48" t="s">
        <v>116</v>
      </c>
      <c r="J43" s="170" t="s">
        <v>116</v>
      </c>
      <c r="K43" s="170" t="b">
        <v>0</v>
      </c>
      <c r="L43" s="170" t="s">
        <v>116</v>
      </c>
      <c r="M43" s="170" t="s">
        <v>116</v>
      </c>
      <c r="N43" s="170" t="s">
        <v>118</v>
      </c>
      <c r="O43" s="170" t="s">
        <v>256</v>
      </c>
      <c r="P43" s="48" t="s">
        <v>257</v>
      </c>
      <c r="Q43" s="48" t="s">
        <v>258</v>
      </c>
      <c r="R43" s="170" t="s">
        <v>116</v>
      </c>
      <c r="S43" s="170" t="s">
        <v>116</v>
      </c>
      <c r="T43" s="170" t="s">
        <v>116</v>
      </c>
      <c r="U43" s="170" t="s">
        <v>116</v>
      </c>
      <c r="V43" s="170" t="s">
        <v>116</v>
      </c>
      <c r="W43" s="170" t="s">
        <v>116</v>
      </c>
      <c r="X43" s="173" t="s">
        <v>299</v>
      </c>
      <c r="Y43" s="167">
        <v>172.15</v>
      </c>
      <c r="Z43" s="48" t="s">
        <v>123</v>
      </c>
      <c r="AA43" s="48">
        <v>1</v>
      </c>
      <c r="AB43" s="174">
        <v>0</v>
      </c>
      <c r="AC43" s="174"/>
      <c r="AD43" s="174">
        <v>0</v>
      </c>
      <c r="AE43" s="174">
        <v>0</v>
      </c>
      <c r="AF43" s="174">
        <v>0</v>
      </c>
      <c r="AG43" s="174">
        <v>0</v>
      </c>
      <c r="AH43" s="174">
        <v>0</v>
      </c>
      <c r="AI43" s="174">
        <v>0</v>
      </c>
      <c r="AJ43" s="174">
        <v>0.86</v>
      </c>
      <c r="AK43" s="174">
        <v>0</v>
      </c>
      <c r="AL43" s="174">
        <v>0</v>
      </c>
      <c r="AM43" s="174">
        <v>0</v>
      </c>
      <c r="AN43" s="174">
        <v>0</v>
      </c>
      <c r="AO43" s="174">
        <v>0</v>
      </c>
      <c r="AP43" s="174">
        <v>0</v>
      </c>
      <c r="AQ43" s="174">
        <v>0</v>
      </c>
      <c r="AR43" s="174">
        <v>0</v>
      </c>
      <c r="AS43" s="174">
        <v>0</v>
      </c>
      <c r="AT43" s="174">
        <v>0</v>
      </c>
      <c r="AU43" s="174">
        <v>0</v>
      </c>
      <c r="AV43" s="174">
        <v>0</v>
      </c>
      <c r="AW43" s="174">
        <v>0</v>
      </c>
      <c r="AX43" s="174">
        <v>0</v>
      </c>
      <c r="AY43" s="174">
        <v>0</v>
      </c>
      <c r="AZ43" s="174">
        <v>0</v>
      </c>
      <c r="BA43" s="174">
        <v>0</v>
      </c>
      <c r="BB43" s="174">
        <v>0</v>
      </c>
      <c r="BC43" s="174">
        <v>0</v>
      </c>
      <c r="BD43" s="174">
        <v>0</v>
      </c>
      <c r="BE43" s="174">
        <v>0</v>
      </c>
      <c r="BF43" s="174">
        <v>0</v>
      </c>
      <c r="BG43" s="174"/>
      <c r="BH43" s="175" t="s">
        <v>300</v>
      </c>
      <c r="BI43" s="166">
        <v>46011</v>
      </c>
      <c r="BJ43" s="167">
        <v>504.9</v>
      </c>
      <c r="BK43" s="168"/>
      <c r="BL43" s="56"/>
      <c r="BM43" s="168" t="s">
        <v>257</v>
      </c>
      <c r="BN43" s="169" t="s">
        <v>386</v>
      </c>
      <c r="BO43" s="168"/>
      <c r="BP43" s="168"/>
      <c r="BQ43" s="168"/>
      <c r="BR43" s="207"/>
      <c r="BS43" s="168"/>
      <c r="BT43" s="168"/>
      <c r="BU43" s="167"/>
      <c r="BV43" s="170"/>
      <c r="BW43" s="48"/>
      <c r="BX43" s="168"/>
      <c r="BY43" s="168"/>
      <c r="BZ43" s="48"/>
      <c r="CA43" s="48"/>
      <c r="CB43" s="48"/>
      <c r="CC43" s="167"/>
      <c r="CD43" s="137"/>
      <c r="CE43" s="171"/>
      <c r="CF43" s="172" t="s">
        <v>166</v>
      </c>
      <c r="CG43" s="165"/>
    </row>
    <row r="44" spans="1:86" s="138" customFormat="1" ht="15" customHeight="1">
      <c r="A44" s="48" t="s">
        <v>301</v>
      </c>
      <c r="B44" s="29" t="s">
        <v>111</v>
      </c>
      <c r="C44" s="168">
        <v>46023</v>
      </c>
      <c r="D44" s="48" t="s">
        <v>179</v>
      </c>
      <c r="E44" s="29" t="s">
        <v>113</v>
      </c>
      <c r="F44" s="48" t="s">
        <v>114</v>
      </c>
      <c r="G44" s="48" t="s">
        <v>130</v>
      </c>
      <c r="H44" s="48" t="s">
        <v>116</v>
      </c>
      <c r="I44" s="48" t="s">
        <v>116</v>
      </c>
      <c r="J44" s="170" t="s">
        <v>116</v>
      </c>
      <c r="K44" s="170" t="b">
        <v>0</v>
      </c>
      <c r="L44" s="170" t="s">
        <v>116</v>
      </c>
      <c r="M44" s="170" t="s">
        <v>116</v>
      </c>
      <c r="N44" s="170" t="s">
        <v>118</v>
      </c>
      <c r="O44" s="170" t="s">
        <v>256</v>
      </c>
      <c r="P44" s="48" t="s">
        <v>257</v>
      </c>
      <c r="Q44" s="48" t="s">
        <v>258</v>
      </c>
      <c r="R44" s="170" t="s">
        <v>116</v>
      </c>
      <c r="S44" s="170" t="s">
        <v>116</v>
      </c>
      <c r="T44" s="170" t="s">
        <v>116</v>
      </c>
      <c r="U44" s="170" t="s">
        <v>116</v>
      </c>
      <c r="V44" s="170" t="s">
        <v>116</v>
      </c>
      <c r="W44" s="170" t="s">
        <v>116</v>
      </c>
      <c r="X44" s="173" t="s">
        <v>302</v>
      </c>
      <c r="Y44" s="167">
        <v>146.76</v>
      </c>
      <c r="Z44" s="48" t="s">
        <v>123</v>
      </c>
      <c r="AA44" s="48">
        <v>1</v>
      </c>
      <c r="AB44" s="174">
        <v>0</v>
      </c>
      <c r="AC44" s="174"/>
      <c r="AD44" s="174">
        <v>0</v>
      </c>
      <c r="AE44" s="174">
        <v>0</v>
      </c>
      <c r="AF44" s="174">
        <v>0</v>
      </c>
      <c r="AG44" s="174">
        <v>0</v>
      </c>
      <c r="AH44" s="174">
        <v>0</v>
      </c>
      <c r="AI44" s="174">
        <v>0</v>
      </c>
      <c r="AJ44" s="174">
        <v>0.73</v>
      </c>
      <c r="AK44" s="174">
        <v>0</v>
      </c>
      <c r="AL44" s="174">
        <v>0</v>
      </c>
      <c r="AM44" s="174">
        <v>0</v>
      </c>
      <c r="AN44" s="174">
        <v>0</v>
      </c>
      <c r="AO44" s="174">
        <v>0</v>
      </c>
      <c r="AP44" s="174">
        <v>0</v>
      </c>
      <c r="AQ44" s="174">
        <v>0</v>
      </c>
      <c r="AR44" s="174">
        <v>0</v>
      </c>
      <c r="AS44" s="174">
        <v>0</v>
      </c>
      <c r="AT44" s="174">
        <v>0</v>
      </c>
      <c r="AU44" s="174">
        <v>0</v>
      </c>
      <c r="AV44" s="174">
        <v>0</v>
      </c>
      <c r="AW44" s="174">
        <v>0</v>
      </c>
      <c r="AX44" s="174">
        <v>0</v>
      </c>
      <c r="AY44" s="174">
        <v>0</v>
      </c>
      <c r="AZ44" s="174">
        <v>0</v>
      </c>
      <c r="BA44" s="174">
        <v>0</v>
      </c>
      <c r="BB44" s="174">
        <v>0</v>
      </c>
      <c r="BC44" s="174">
        <v>0</v>
      </c>
      <c r="BD44" s="174">
        <v>0</v>
      </c>
      <c r="BE44" s="174">
        <v>0</v>
      </c>
      <c r="BF44" s="174">
        <v>0</v>
      </c>
      <c r="BG44" s="174"/>
      <c r="BH44" s="175" t="s">
        <v>300</v>
      </c>
      <c r="BI44" s="166">
        <v>46011</v>
      </c>
      <c r="BJ44" s="167">
        <v>504.9</v>
      </c>
      <c r="BK44" s="168"/>
      <c r="BL44" s="56"/>
      <c r="BM44" s="168" t="s">
        <v>257</v>
      </c>
      <c r="BN44" s="169" t="s">
        <v>386</v>
      </c>
      <c r="BO44" s="168"/>
      <c r="BP44" s="168"/>
      <c r="BQ44" s="168"/>
      <c r="BR44" s="207"/>
      <c r="BS44" s="168"/>
      <c r="BT44" s="168"/>
      <c r="BU44" s="167"/>
      <c r="BV44" s="170"/>
      <c r="BW44" s="48"/>
      <c r="BX44" s="168"/>
      <c r="BY44" s="168"/>
      <c r="BZ44" s="48"/>
      <c r="CA44" s="48"/>
      <c r="CB44" s="48"/>
      <c r="CC44" s="167"/>
      <c r="CD44" s="137"/>
      <c r="CE44" s="171"/>
      <c r="CF44" s="172" t="s">
        <v>166</v>
      </c>
      <c r="CG44" s="165"/>
    </row>
    <row r="45" spans="1:86" s="138" customFormat="1" ht="15" customHeight="1">
      <c r="A45" s="48" t="s">
        <v>303</v>
      </c>
      <c r="B45" s="29" t="s">
        <v>111</v>
      </c>
      <c r="C45" s="168">
        <v>45717</v>
      </c>
      <c r="D45" s="48" t="s">
        <v>304</v>
      </c>
      <c r="E45" s="29" t="s">
        <v>113</v>
      </c>
      <c r="F45" s="48" t="s">
        <v>114</v>
      </c>
      <c r="G45" s="48" t="s">
        <v>153</v>
      </c>
      <c r="H45" s="48" t="s">
        <v>116</v>
      </c>
      <c r="I45" s="48" t="s">
        <v>116</v>
      </c>
      <c r="J45" s="170" t="s">
        <v>116</v>
      </c>
      <c r="K45" s="170" t="b">
        <v>0</v>
      </c>
      <c r="L45" s="170" t="s">
        <v>116</v>
      </c>
      <c r="M45" s="170" t="s">
        <v>116</v>
      </c>
      <c r="N45" s="170" t="s">
        <v>118</v>
      </c>
      <c r="O45" s="170" t="s">
        <v>256</v>
      </c>
      <c r="P45" s="48" t="s">
        <v>257</v>
      </c>
      <c r="Q45" s="48" t="s">
        <v>258</v>
      </c>
      <c r="R45" s="170" t="s">
        <v>116</v>
      </c>
      <c r="S45" s="170" t="s">
        <v>116</v>
      </c>
      <c r="T45" s="170" t="s">
        <v>116</v>
      </c>
      <c r="U45" s="170" t="s">
        <v>116</v>
      </c>
      <c r="V45" s="170" t="s">
        <v>116</v>
      </c>
      <c r="W45" s="170" t="s">
        <v>116</v>
      </c>
      <c r="X45" s="173" t="s">
        <v>305</v>
      </c>
      <c r="Y45" s="167">
        <v>171.18</v>
      </c>
      <c r="Z45" s="48" t="s">
        <v>123</v>
      </c>
      <c r="AA45" s="48">
        <v>1</v>
      </c>
      <c r="AB45" s="174">
        <v>0</v>
      </c>
      <c r="AC45" s="174"/>
      <c r="AD45" s="174">
        <v>0</v>
      </c>
      <c r="AE45" s="174">
        <v>0</v>
      </c>
      <c r="AF45" s="174">
        <v>0</v>
      </c>
      <c r="AG45" s="174">
        <v>0</v>
      </c>
      <c r="AH45" s="174">
        <v>0</v>
      </c>
      <c r="AI45" s="174">
        <v>0</v>
      </c>
      <c r="AJ45" s="174">
        <v>0.28999999999999998</v>
      </c>
      <c r="AK45" s="174">
        <v>0</v>
      </c>
      <c r="AL45" s="174">
        <v>0</v>
      </c>
      <c r="AM45" s="174">
        <v>0</v>
      </c>
      <c r="AN45" s="174">
        <v>0</v>
      </c>
      <c r="AO45" s="174">
        <v>0</v>
      </c>
      <c r="AP45" s="174">
        <v>0</v>
      </c>
      <c r="AQ45" s="174">
        <v>0</v>
      </c>
      <c r="AR45" s="174">
        <v>0</v>
      </c>
      <c r="AS45" s="174">
        <v>0</v>
      </c>
      <c r="AT45" s="174">
        <v>0</v>
      </c>
      <c r="AU45" s="174">
        <v>0</v>
      </c>
      <c r="AV45" s="174">
        <v>0</v>
      </c>
      <c r="AW45" s="174">
        <v>0</v>
      </c>
      <c r="AX45" s="174">
        <v>0</v>
      </c>
      <c r="AY45" s="174">
        <v>0</v>
      </c>
      <c r="AZ45" s="174">
        <v>0</v>
      </c>
      <c r="BA45" s="174">
        <v>0</v>
      </c>
      <c r="BB45" s="174">
        <v>0</v>
      </c>
      <c r="BC45" s="174">
        <v>0</v>
      </c>
      <c r="BD45" s="174">
        <v>0</v>
      </c>
      <c r="BE45" s="174">
        <v>0</v>
      </c>
      <c r="BF45" s="174">
        <v>0</v>
      </c>
      <c r="BG45" s="174"/>
      <c r="BH45" s="175" t="s">
        <v>283</v>
      </c>
      <c r="BI45" s="166">
        <v>45998</v>
      </c>
      <c r="BJ45" s="167">
        <v>233.1</v>
      </c>
      <c r="BK45" s="168"/>
      <c r="BL45" s="56"/>
      <c r="BM45" s="168" t="s">
        <v>257</v>
      </c>
      <c r="BN45" s="169" t="s">
        <v>386</v>
      </c>
      <c r="BO45" s="168"/>
      <c r="BP45" s="168"/>
      <c r="BQ45" s="168"/>
      <c r="BR45" s="207"/>
      <c r="BS45" s="168"/>
      <c r="BT45" s="168"/>
      <c r="BU45" s="167"/>
      <c r="BV45" s="170"/>
      <c r="BW45" s="48"/>
      <c r="BX45" s="168"/>
      <c r="BY45" s="168"/>
      <c r="BZ45" s="48"/>
      <c r="CA45" s="48"/>
      <c r="CB45" s="48"/>
      <c r="CC45" s="167"/>
      <c r="CD45" s="137"/>
      <c r="CE45" s="171"/>
      <c r="CF45" s="172" t="s">
        <v>166</v>
      </c>
      <c r="CG45" s="165"/>
    </row>
    <row r="46" spans="1:86" s="138" customFormat="1" ht="15" customHeight="1">
      <c r="A46" s="48"/>
      <c r="B46" s="29"/>
      <c r="C46" s="168"/>
      <c r="D46" s="48"/>
      <c r="E46" s="29"/>
      <c r="F46" s="48"/>
      <c r="G46" s="48"/>
      <c r="H46" s="48"/>
      <c r="I46" s="48"/>
      <c r="J46" s="170"/>
      <c r="K46" s="170"/>
      <c r="L46" s="170"/>
      <c r="M46" s="170"/>
      <c r="N46" s="170"/>
      <c r="O46" s="170"/>
      <c r="P46" s="48"/>
      <c r="Q46" s="48"/>
      <c r="R46" s="170"/>
      <c r="S46" s="170"/>
      <c r="T46" s="170"/>
      <c r="U46" s="170"/>
      <c r="V46" s="170"/>
      <c r="W46" s="170"/>
      <c r="X46" s="173"/>
      <c r="Y46" s="167"/>
      <c r="Z46" s="48"/>
      <c r="AA46" s="48"/>
      <c r="AB46" s="174"/>
      <c r="AC46" s="174"/>
      <c r="AD46" s="174"/>
      <c r="AE46" s="174"/>
      <c r="AF46" s="174"/>
      <c r="AG46" s="174"/>
      <c r="AH46" s="174"/>
      <c r="AI46" s="174"/>
      <c r="AJ46" s="174"/>
      <c r="AK46" s="174"/>
      <c r="AL46" s="174"/>
      <c r="AM46" s="174"/>
      <c r="AN46" s="174"/>
      <c r="AO46" s="174"/>
      <c r="AP46" s="174"/>
      <c r="AQ46" s="174"/>
      <c r="AR46" s="174"/>
      <c r="AS46" s="174"/>
      <c r="AT46" s="174"/>
      <c r="AU46" s="174"/>
      <c r="AV46" s="174"/>
      <c r="AW46" s="174"/>
      <c r="AX46" s="174"/>
      <c r="AY46" s="174"/>
      <c r="AZ46" s="174"/>
      <c r="BA46" s="174"/>
      <c r="BB46" s="174"/>
      <c r="BC46" s="174"/>
      <c r="BD46" s="174"/>
      <c r="BE46" s="174"/>
      <c r="BF46" s="174"/>
      <c r="BG46" s="174"/>
      <c r="BH46" s="175"/>
      <c r="BI46" s="166"/>
      <c r="BJ46" s="167"/>
      <c r="BK46" s="168"/>
      <c r="BL46" s="56"/>
      <c r="BM46" s="168"/>
      <c r="BN46" s="169"/>
      <c r="BO46" s="168"/>
      <c r="BP46" s="168"/>
      <c r="BQ46" s="168"/>
      <c r="BR46" s="207"/>
      <c r="BS46" s="168"/>
      <c r="BT46" s="168"/>
      <c r="BU46" s="167"/>
      <c r="BV46" s="170"/>
      <c r="BW46" s="48"/>
      <c r="BX46" s="168"/>
      <c r="BY46" s="168"/>
      <c r="BZ46" s="48"/>
      <c r="CA46" s="48"/>
      <c r="CB46" s="48"/>
      <c r="CC46" s="167"/>
      <c r="CD46" s="137"/>
      <c r="CE46" s="171"/>
      <c r="CF46" s="172"/>
      <c r="CG46" s="165"/>
    </row>
    <row r="47" spans="1:86" s="138" customFormat="1" ht="15" customHeight="1">
      <c r="A47" s="29"/>
      <c r="B47" s="29"/>
      <c r="C47" s="31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176"/>
      <c r="R47" s="176"/>
      <c r="S47" s="176"/>
      <c r="T47" s="176"/>
      <c r="U47" s="176"/>
      <c r="V47" s="176"/>
      <c r="W47" s="176"/>
      <c r="X47" s="177" t="s">
        <v>140</v>
      </c>
      <c r="Y47" s="178"/>
      <c r="Z47" s="179"/>
      <c r="AA47" s="179">
        <f t="shared" ref="AA47:AH47" si="0">SUM(AA27:AA45)</f>
        <v>19</v>
      </c>
      <c r="AB47" s="180">
        <f t="shared" si="0"/>
        <v>0</v>
      </c>
      <c r="AC47" s="180">
        <f t="shared" si="0"/>
        <v>0</v>
      </c>
      <c r="AD47" s="180">
        <f t="shared" si="0"/>
        <v>0</v>
      </c>
      <c r="AE47" s="180">
        <f t="shared" si="0"/>
        <v>0</v>
      </c>
      <c r="AF47" s="180">
        <f t="shared" si="0"/>
        <v>0</v>
      </c>
      <c r="AG47" s="180">
        <f t="shared" si="0"/>
        <v>0</v>
      </c>
      <c r="AH47" s="180">
        <f t="shared" si="0"/>
        <v>0</v>
      </c>
      <c r="AI47" s="180">
        <f t="shared" ref="AI47:BG47" si="1">SUM(AI27:AI46)</f>
        <v>0</v>
      </c>
      <c r="AJ47" s="180">
        <f t="shared" si="1"/>
        <v>24.750000000000004</v>
      </c>
      <c r="AK47" s="180">
        <f t="shared" si="1"/>
        <v>0</v>
      </c>
      <c r="AL47" s="180">
        <f t="shared" si="1"/>
        <v>0</v>
      </c>
      <c r="AM47" s="180">
        <f t="shared" si="1"/>
        <v>0</v>
      </c>
      <c r="AN47" s="180">
        <f t="shared" si="1"/>
        <v>0</v>
      </c>
      <c r="AO47" s="180">
        <f t="shared" si="1"/>
        <v>0</v>
      </c>
      <c r="AP47" s="180">
        <f t="shared" si="1"/>
        <v>0</v>
      </c>
      <c r="AQ47" s="180">
        <f t="shared" si="1"/>
        <v>0</v>
      </c>
      <c r="AR47" s="180">
        <f t="shared" si="1"/>
        <v>0</v>
      </c>
      <c r="AS47" s="180">
        <f t="shared" si="1"/>
        <v>0</v>
      </c>
      <c r="AT47" s="180">
        <f t="shared" si="1"/>
        <v>0</v>
      </c>
      <c r="AU47" s="180">
        <f t="shared" si="1"/>
        <v>0</v>
      </c>
      <c r="AV47" s="180">
        <f t="shared" si="1"/>
        <v>0</v>
      </c>
      <c r="AW47" s="180">
        <f t="shared" si="1"/>
        <v>0</v>
      </c>
      <c r="AX47" s="180">
        <f t="shared" si="1"/>
        <v>0</v>
      </c>
      <c r="AY47" s="180">
        <f t="shared" si="1"/>
        <v>0</v>
      </c>
      <c r="AZ47" s="180">
        <f t="shared" si="1"/>
        <v>0</v>
      </c>
      <c r="BA47" s="180">
        <f t="shared" si="1"/>
        <v>0</v>
      </c>
      <c r="BB47" s="180">
        <f t="shared" si="1"/>
        <v>0</v>
      </c>
      <c r="BC47" s="180">
        <f t="shared" si="1"/>
        <v>0</v>
      </c>
      <c r="BD47" s="180">
        <f t="shared" si="1"/>
        <v>0</v>
      </c>
      <c r="BE47" s="180">
        <f t="shared" si="1"/>
        <v>0</v>
      </c>
      <c r="BF47" s="180">
        <f t="shared" si="1"/>
        <v>0</v>
      </c>
      <c r="BG47" s="180">
        <f t="shared" si="1"/>
        <v>0</v>
      </c>
      <c r="BH47" s="181"/>
      <c r="BI47" s="31"/>
      <c r="BJ47" s="182"/>
      <c r="BK47" s="31"/>
      <c r="BL47" s="56"/>
      <c r="BM47" s="29"/>
      <c r="BN47" s="183"/>
      <c r="BO47" s="31"/>
      <c r="BP47" s="31"/>
      <c r="BQ47" s="31"/>
      <c r="BR47" s="208"/>
      <c r="BS47" s="31"/>
      <c r="BT47" s="183"/>
      <c r="BU47" s="182"/>
      <c r="BV47" s="183"/>
      <c r="BW47" s="183"/>
      <c r="BX47" s="31"/>
      <c r="BY47" s="183"/>
      <c r="BZ47" s="183"/>
      <c r="CA47" s="183"/>
      <c r="CB47" s="183"/>
      <c r="CC47" s="184"/>
      <c r="CD47" s="137"/>
      <c r="CE47" s="183"/>
      <c r="CF47" s="183"/>
      <c r="CG47" s="183"/>
      <c r="CH47" s="183"/>
    </row>
    <row r="48" spans="1:86" s="138" customFormat="1" ht="15" customHeight="1">
      <c r="A48" s="48"/>
      <c r="B48" s="29"/>
      <c r="C48" s="168"/>
      <c r="D48" s="48"/>
      <c r="E48" s="29"/>
      <c r="F48" s="48"/>
      <c r="G48" s="48"/>
      <c r="H48" s="48"/>
      <c r="I48" s="48"/>
      <c r="J48" s="170"/>
      <c r="K48" s="170"/>
      <c r="L48" s="170"/>
      <c r="M48" s="170"/>
      <c r="N48" s="170"/>
      <c r="O48" s="170"/>
      <c r="P48" s="48"/>
      <c r="Q48" s="48"/>
      <c r="R48" s="170"/>
      <c r="S48" s="170"/>
      <c r="T48" s="170"/>
      <c r="U48" s="170"/>
      <c r="V48" s="170"/>
      <c r="W48" s="170"/>
      <c r="X48" s="173"/>
      <c r="Y48" s="167"/>
      <c r="Z48" s="48"/>
      <c r="AA48" s="48"/>
      <c r="AB48" s="174"/>
      <c r="AC48" s="174"/>
      <c r="AD48" s="174"/>
      <c r="AE48" s="174"/>
      <c r="AF48" s="174"/>
      <c r="AG48" s="174"/>
      <c r="AH48" s="174"/>
      <c r="AI48" s="174"/>
      <c r="AJ48" s="174"/>
      <c r="AK48" s="174"/>
      <c r="AL48" s="174"/>
      <c r="AM48" s="174"/>
      <c r="AN48" s="174"/>
      <c r="AO48" s="174"/>
      <c r="AP48" s="174"/>
      <c r="AQ48" s="174"/>
      <c r="AR48" s="174"/>
      <c r="AS48" s="174"/>
      <c r="AT48" s="174"/>
      <c r="AU48" s="174"/>
      <c r="AV48" s="174"/>
      <c r="AW48" s="174"/>
      <c r="AX48" s="174"/>
      <c r="AY48" s="174"/>
      <c r="AZ48" s="174"/>
      <c r="BA48" s="174"/>
      <c r="BB48" s="174"/>
      <c r="BC48" s="174"/>
      <c r="BD48" s="174"/>
      <c r="BE48" s="174"/>
      <c r="BF48" s="174"/>
      <c r="BG48" s="174"/>
      <c r="BH48" s="175"/>
      <c r="BI48" s="166"/>
      <c r="BJ48" s="167"/>
      <c r="BK48" s="168"/>
      <c r="BL48" s="56"/>
      <c r="BM48" s="168"/>
      <c r="BN48" s="169"/>
      <c r="BO48" s="168"/>
      <c r="BP48" s="168"/>
      <c r="BQ48" s="168"/>
      <c r="BR48" s="207"/>
      <c r="BS48" s="168"/>
      <c r="BT48" s="168"/>
      <c r="BU48" s="167"/>
      <c r="BV48" s="170"/>
      <c r="BW48" s="48"/>
      <c r="BX48" s="168"/>
      <c r="BY48" s="168"/>
      <c r="BZ48" s="48"/>
      <c r="CA48" s="48"/>
      <c r="CB48" s="48"/>
      <c r="CC48" s="167"/>
      <c r="CD48" s="137"/>
      <c r="CE48" s="171"/>
      <c r="CF48" s="172"/>
      <c r="CG48" s="165"/>
    </row>
    <row r="49" spans="1:85" s="138" customFormat="1" ht="15" customHeight="1">
      <c r="A49" s="48"/>
      <c r="B49" s="29"/>
      <c r="C49" s="168"/>
      <c r="D49" s="48"/>
      <c r="E49" s="29"/>
      <c r="F49" s="48"/>
      <c r="G49" s="48"/>
      <c r="H49" s="48"/>
      <c r="I49" s="48"/>
      <c r="J49" s="170"/>
      <c r="K49" s="170"/>
      <c r="L49" s="170"/>
      <c r="M49" s="170"/>
      <c r="N49" s="170"/>
      <c r="O49" s="170"/>
      <c r="P49" s="48"/>
      <c r="Q49" s="48"/>
      <c r="R49" s="170"/>
      <c r="S49" s="170"/>
      <c r="T49" s="170"/>
      <c r="U49" s="170"/>
      <c r="V49" s="170"/>
      <c r="W49" s="170"/>
      <c r="X49" s="173"/>
      <c r="Y49" s="167"/>
      <c r="Z49" s="48"/>
      <c r="AA49" s="48"/>
      <c r="AB49" s="174"/>
      <c r="AC49" s="174"/>
      <c r="AD49" s="174"/>
      <c r="AE49" s="174"/>
      <c r="AF49" s="174"/>
      <c r="AG49" s="174"/>
      <c r="AH49" s="174"/>
      <c r="AI49" s="174"/>
      <c r="AJ49" s="174"/>
      <c r="AK49" s="174"/>
      <c r="AL49" s="174"/>
      <c r="AM49" s="174"/>
      <c r="AN49" s="174"/>
      <c r="AO49" s="174"/>
      <c r="AP49" s="174"/>
      <c r="AQ49" s="174"/>
      <c r="AR49" s="174"/>
      <c r="AS49" s="174"/>
      <c r="AT49" s="174"/>
      <c r="AU49" s="174"/>
      <c r="AV49" s="174"/>
      <c r="AW49" s="174"/>
      <c r="AX49" s="174"/>
      <c r="AY49" s="174"/>
      <c r="AZ49" s="174"/>
      <c r="BA49" s="174"/>
      <c r="BB49" s="174"/>
      <c r="BC49" s="174"/>
      <c r="BD49" s="174"/>
      <c r="BE49" s="174"/>
      <c r="BF49" s="174"/>
      <c r="BG49" s="174"/>
      <c r="BH49" s="175"/>
      <c r="BI49" s="166"/>
      <c r="BJ49" s="167"/>
      <c r="BK49" s="168"/>
      <c r="BL49" s="56"/>
      <c r="BM49" s="168"/>
      <c r="BN49" s="169"/>
      <c r="BO49" s="168"/>
      <c r="BP49" s="168"/>
      <c r="BQ49" s="168"/>
      <c r="BR49" s="207"/>
      <c r="BS49" s="168"/>
      <c r="BT49" s="168"/>
      <c r="BU49" s="167"/>
      <c r="BV49" s="170"/>
      <c r="BW49" s="48"/>
      <c r="BX49" s="168"/>
      <c r="BY49" s="168"/>
      <c r="BZ49" s="48"/>
      <c r="CA49" s="48"/>
      <c r="CB49" s="48"/>
      <c r="CC49" s="167"/>
      <c r="CD49" s="137"/>
      <c r="CE49" s="171"/>
      <c r="CF49" s="172"/>
      <c r="CG49" s="165"/>
    </row>
    <row r="50" spans="1:85" s="138" customFormat="1" ht="15" customHeight="1">
      <c r="A50" s="48"/>
      <c r="B50" s="29"/>
      <c r="C50" s="168"/>
      <c r="D50" s="48"/>
      <c r="E50" s="29"/>
      <c r="F50" s="48"/>
      <c r="G50" s="48"/>
      <c r="H50" s="48"/>
      <c r="I50" s="48"/>
      <c r="J50" s="170"/>
      <c r="K50" s="170"/>
      <c r="L50" s="170"/>
      <c r="M50" s="170"/>
      <c r="N50" s="170"/>
      <c r="O50" s="170"/>
      <c r="P50" s="48"/>
      <c r="Q50" s="48"/>
      <c r="R50" s="170"/>
      <c r="S50" s="170"/>
      <c r="T50" s="170"/>
      <c r="U50" s="170"/>
      <c r="V50" s="170"/>
      <c r="W50" s="170"/>
      <c r="X50" s="173"/>
      <c r="Y50" s="167"/>
      <c r="Z50" s="48"/>
      <c r="AA50" s="48"/>
      <c r="AB50" s="174"/>
      <c r="AC50" s="174"/>
      <c r="AD50" s="174"/>
      <c r="AE50" s="174"/>
      <c r="AF50" s="174"/>
      <c r="AG50" s="174"/>
      <c r="AH50" s="174"/>
      <c r="AI50" s="174"/>
      <c r="AJ50" s="174"/>
      <c r="AK50" s="174"/>
      <c r="AL50" s="174"/>
      <c r="AM50" s="174"/>
      <c r="AN50" s="174"/>
      <c r="AO50" s="174"/>
      <c r="AP50" s="174"/>
      <c r="AQ50" s="174"/>
      <c r="AR50" s="174"/>
      <c r="AS50" s="174"/>
      <c r="AT50" s="174"/>
      <c r="AU50" s="174"/>
      <c r="AV50" s="174"/>
      <c r="AW50" s="174"/>
      <c r="AX50" s="174"/>
      <c r="AY50" s="174"/>
      <c r="AZ50" s="174"/>
      <c r="BA50" s="174"/>
      <c r="BB50" s="174"/>
      <c r="BC50" s="174"/>
      <c r="BD50" s="174"/>
      <c r="BE50" s="174"/>
      <c r="BF50" s="174"/>
      <c r="BG50" s="174"/>
      <c r="BH50" s="175"/>
      <c r="BI50" s="166"/>
      <c r="BJ50" s="167"/>
      <c r="BK50" s="168"/>
      <c r="BL50" s="56"/>
      <c r="BM50" s="168"/>
      <c r="BN50" s="169"/>
      <c r="BO50" s="168"/>
      <c r="BP50" s="168"/>
      <c r="BQ50" s="168"/>
      <c r="BR50" s="207"/>
      <c r="BS50" s="168"/>
      <c r="BT50" s="168"/>
      <c r="BU50" s="167"/>
      <c r="BV50" s="170"/>
      <c r="BW50" s="48"/>
      <c r="BX50" s="168"/>
      <c r="BY50" s="168"/>
      <c r="BZ50" s="48"/>
      <c r="CA50" s="48"/>
      <c r="CB50" s="48"/>
      <c r="CC50" s="167"/>
      <c r="CD50" s="137"/>
      <c r="CE50" s="171"/>
      <c r="CF50" s="172"/>
      <c r="CG50" s="165"/>
    </row>
    <row r="51" spans="1:85" s="138" customFormat="1" ht="15" customHeight="1">
      <c r="A51" s="48"/>
      <c r="B51" s="29"/>
      <c r="C51" s="168"/>
      <c r="D51" s="48"/>
      <c r="E51" s="29"/>
      <c r="F51" s="48"/>
      <c r="G51" s="48"/>
      <c r="H51" s="48"/>
      <c r="I51" s="48"/>
      <c r="J51" s="170"/>
      <c r="K51" s="170"/>
      <c r="L51" s="170"/>
      <c r="M51" s="170"/>
      <c r="N51" s="170"/>
      <c r="O51" s="170"/>
      <c r="P51" s="48"/>
      <c r="Q51" s="48"/>
      <c r="R51" s="170"/>
      <c r="S51" s="170"/>
      <c r="T51" s="170"/>
      <c r="U51" s="170"/>
      <c r="V51" s="170"/>
      <c r="W51" s="170"/>
      <c r="X51" s="173"/>
      <c r="Y51" s="167"/>
      <c r="Z51" s="48"/>
      <c r="AA51" s="48"/>
      <c r="AB51" s="174"/>
      <c r="AC51" s="174"/>
      <c r="AD51" s="174"/>
      <c r="AE51" s="174"/>
      <c r="AF51" s="174"/>
      <c r="AG51" s="174"/>
      <c r="AH51" s="174"/>
      <c r="AI51" s="174"/>
      <c r="AJ51" s="174"/>
      <c r="AK51" s="174"/>
      <c r="AL51" s="174"/>
      <c r="AM51" s="174"/>
      <c r="AN51" s="174"/>
      <c r="AO51" s="174"/>
      <c r="AP51" s="174"/>
      <c r="AQ51" s="174"/>
      <c r="AR51" s="174"/>
      <c r="AS51" s="174"/>
      <c r="AT51" s="174"/>
      <c r="AU51" s="174"/>
      <c r="AV51" s="174"/>
      <c r="AW51" s="174"/>
      <c r="AX51" s="174"/>
      <c r="AY51" s="174"/>
      <c r="AZ51" s="174"/>
      <c r="BA51" s="174"/>
      <c r="BB51" s="174"/>
      <c r="BC51" s="174"/>
      <c r="BD51" s="174"/>
      <c r="BE51" s="174"/>
      <c r="BF51" s="174"/>
      <c r="BG51" s="174"/>
      <c r="BH51" s="175"/>
      <c r="BI51" s="166"/>
      <c r="BJ51" s="167"/>
      <c r="BK51" s="168"/>
      <c r="BL51" s="56"/>
      <c r="BM51" s="168"/>
      <c r="BN51" s="169"/>
      <c r="BO51" s="168"/>
      <c r="BP51" s="168"/>
      <c r="BQ51" s="168"/>
      <c r="BR51" s="207"/>
      <c r="BS51" s="168"/>
      <c r="BT51" s="168"/>
      <c r="BU51" s="167"/>
      <c r="BV51" s="170"/>
      <c r="BW51" s="48"/>
      <c r="BX51" s="168"/>
      <c r="BY51" s="168"/>
      <c r="BZ51" s="48"/>
      <c r="CA51" s="48"/>
      <c r="CB51" s="48"/>
      <c r="CC51" s="167"/>
      <c r="CD51" s="137"/>
      <c r="CE51" s="171"/>
      <c r="CF51" s="172"/>
      <c r="CG51" s="165"/>
    </row>
    <row r="52" spans="1:85" s="138" customFormat="1" ht="15" customHeight="1">
      <c r="A52" s="48"/>
      <c r="B52" s="29"/>
      <c r="C52" s="168"/>
      <c r="D52" s="48"/>
      <c r="E52" s="29"/>
      <c r="F52" s="48"/>
      <c r="G52" s="48"/>
      <c r="H52" s="48"/>
      <c r="I52" s="48"/>
      <c r="J52" s="170"/>
      <c r="K52" s="170"/>
      <c r="L52" s="170"/>
      <c r="M52" s="170"/>
      <c r="N52" s="170"/>
      <c r="O52" s="170"/>
      <c r="P52" s="48"/>
      <c r="Q52" s="48"/>
      <c r="R52" s="170"/>
      <c r="S52" s="170"/>
      <c r="T52" s="170"/>
      <c r="U52" s="170"/>
      <c r="V52" s="170"/>
      <c r="W52" s="170"/>
      <c r="X52" s="173"/>
      <c r="Y52" s="167"/>
      <c r="Z52" s="48"/>
      <c r="AA52" s="48"/>
      <c r="AB52" s="174"/>
      <c r="AC52" s="174"/>
      <c r="AD52" s="174"/>
      <c r="AE52" s="174"/>
      <c r="AF52" s="174"/>
      <c r="AG52" s="174"/>
      <c r="AH52" s="174"/>
      <c r="AI52" s="174"/>
      <c r="AJ52" s="174"/>
      <c r="AK52" s="174"/>
      <c r="AL52" s="174"/>
      <c r="AM52" s="174"/>
      <c r="AN52" s="174"/>
      <c r="AO52" s="174"/>
      <c r="AP52" s="174"/>
      <c r="AQ52" s="174"/>
      <c r="AR52" s="174"/>
      <c r="AS52" s="174"/>
      <c r="AT52" s="174"/>
      <c r="AU52" s="174"/>
      <c r="AV52" s="174"/>
      <c r="AW52" s="174"/>
      <c r="AX52" s="174"/>
      <c r="AY52" s="174"/>
      <c r="AZ52" s="174"/>
      <c r="BA52" s="174"/>
      <c r="BB52" s="174"/>
      <c r="BC52" s="174"/>
      <c r="BD52" s="174"/>
      <c r="BE52" s="174"/>
      <c r="BF52" s="174"/>
      <c r="BG52" s="174"/>
      <c r="BH52" s="175"/>
      <c r="BI52" s="166"/>
      <c r="BJ52" s="167"/>
      <c r="BK52" s="168"/>
      <c r="BL52" s="56"/>
      <c r="BM52" s="168"/>
      <c r="BN52" s="169"/>
      <c r="BO52" s="168"/>
      <c r="BP52" s="168"/>
      <c r="BQ52" s="168"/>
      <c r="BR52" s="207"/>
      <c r="BS52" s="168"/>
      <c r="BT52" s="168"/>
      <c r="BU52" s="167"/>
      <c r="BV52" s="170"/>
      <c r="BW52" s="48"/>
      <c r="BX52" s="168"/>
      <c r="BY52" s="168"/>
      <c r="BZ52" s="48"/>
      <c r="CA52" s="48"/>
      <c r="CB52" s="48"/>
      <c r="CC52" s="167"/>
      <c r="CD52" s="137"/>
      <c r="CE52" s="171"/>
      <c r="CF52" s="172"/>
      <c r="CG52" s="165"/>
    </row>
    <row r="53" spans="1:85" s="138" customFormat="1" ht="15.6">
      <c r="C53" s="185"/>
      <c r="X53" s="186"/>
      <c r="BL53" s="187"/>
    </row>
    <row r="54" spans="1:85" s="138" customFormat="1" ht="15.6">
      <c r="C54" s="185"/>
      <c r="X54" s="186"/>
      <c r="BL54" s="187"/>
    </row>
    <row r="55" spans="1:85" s="138" customFormat="1" ht="15.6">
      <c r="C55" s="185"/>
      <c r="X55" s="186"/>
      <c r="BL55" s="187"/>
    </row>
    <row r="56" spans="1:85" s="138" customFormat="1" ht="15.6">
      <c r="C56" s="185"/>
      <c r="X56" s="186"/>
      <c r="BL56" s="187"/>
    </row>
  </sheetData>
  <autoFilter ref="A26:CH26" xr:uid="{0B3BE0A8-94D9-4943-B51D-CC52050FCF99}"/>
  <printOptions horizontalCentered="1"/>
  <pageMargins left="0.5" right="0.5" top="0.5" bottom="0.5" header="0.3" footer="0.3"/>
  <pageSetup scale="25" fitToHeight="0" orientation="landscape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BC887-F9BF-4429-93BB-E233605F46D4}">
  <sheetPr>
    <tabColor theme="2" tint="-0.249977111117893"/>
    <pageSetUpPr fitToPage="1"/>
  </sheetPr>
  <dimension ref="A1:CH39"/>
  <sheetViews>
    <sheetView zoomScale="80" zoomScaleNormal="80" workbookViewId="0">
      <selection activeCell="A27" sqref="A27:XFD33"/>
    </sheetView>
  </sheetViews>
  <sheetFormatPr defaultColWidth="8.85546875" defaultRowHeight="14.45"/>
  <cols>
    <col min="1" max="1" width="29.140625" style="136" customWidth="1"/>
    <col min="2" max="2" width="7.28515625" style="136" hidden="1" customWidth="1"/>
    <col min="3" max="3" width="16.42578125" style="188" bestFit="1" customWidth="1"/>
    <col min="4" max="4" width="6.7109375" style="136" bestFit="1" customWidth="1"/>
    <col min="5" max="5" width="9.28515625" style="136" customWidth="1"/>
    <col min="6" max="6" width="11.28515625" style="136" bestFit="1" customWidth="1"/>
    <col min="7" max="7" width="12.7109375" style="136" bestFit="1" customWidth="1"/>
    <col min="8" max="15" width="0.85546875" style="136" hidden="1" customWidth="1"/>
    <col min="16" max="16" width="3.42578125" style="136" hidden="1" customWidth="1"/>
    <col min="17" max="17" width="22.140625" style="136" customWidth="1"/>
    <col min="18" max="21" width="2.85546875" style="136" hidden="1" customWidth="1"/>
    <col min="22" max="22" width="19.85546875" style="136" hidden="1" customWidth="1"/>
    <col min="23" max="23" width="1.42578125" style="136" hidden="1" customWidth="1"/>
    <col min="24" max="24" width="22.140625" style="189" customWidth="1"/>
    <col min="25" max="25" width="5.140625" style="136" hidden="1" customWidth="1"/>
    <col min="26" max="26" width="19" style="136" hidden="1" customWidth="1"/>
    <col min="27" max="27" width="14.140625" style="136" hidden="1" customWidth="1"/>
    <col min="28" max="28" width="7.42578125" style="136" hidden="1" customWidth="1"/>
    <col min="29" max="29" width="1.7109375" style="136" hidden="1" customWidth="1"/>
    <col min="30" max="30" width="7.42578125" style="136" hidden="1" customWidth="1"/>
    <col min="31" max="34" width="1" style="136" hidden="1" customWidth="1"/>
    <col min="35" max="35" width="9.42578125" style="136" hidden="1" customWidth="1"/>
    <col min="36" max="36" width="10.28515625" style="136" customWidth="1"/>
    <col min="37" max="37" width="18.140625" style="136" customWidth="1"/>
    <col min="38" max="38" width="10.42578125" style="136" hidden="1" customWidth="1"/>
    <col min="39" max="40" width="1.42578125" style="136" hidden="1" customWidth="1"/>
    <col min="41" max="58" width="2.7109375" style="136" hidden="1" customWidth="1"/>
    <col min="59" max="59" width="15.7109375" style="136" bestFit="1" customWidth="1"/>
    <col min="60" max="60" width="18.7109375" style="136" bestFit="1" customWidth="1"/>
    <col min="61" max="61" width="9.42578125" style="136" bestFit="1" customWidth="1"/>
    <col min="62" max="62" width="12.42578125" style="136" bestFit="1" customWidth="1"/>
    <col min="63" max="63" width="17.140625" style="136" bestFit="1" customWidth="1"/>
    <col min="64" max="64" width="32.28515625" style="190" bestFit="1" customWidth="1"/>
    <col min="65" max="65" width="18" style="136" bestFit="1" customWidth="1"/>
    <col min="66" max="66" width="8.85546875" style="136"/>
    <col min="67" max="67" width="0.5703125" style="136" customWidth="1"/>
    <col min="68" max="68" width="10.7109375" style="136" bestFit="1" customWidth="1"/>
    <col min="69" max="69" width="1" style="136" customWidth="1"/>
    <col min="70" max="70" width="19.5703125" style="136" bestFit="1" customWidth="1"/>
    <col min="71" max="74" width="0.7109375" style="136" customWidth="1"/>
    <col min="75" max="80" width="0.5703125" style="136" customWidth="1"/>
    <col min="81" max="81" width="13.7109375" style="136" bestFit="1" customWidth="1"/>
    <col min="82" max="82" width="14.7109375" style="136" bestFit="1" customWidth="1"/>
    <col min="83" max="83" width="8.85546875" style="136"/>
    <col min="84" max="84" width="17.140625" style="136" bestFit="1" customWidth="1"/>
    <col min="85" max="16384" width="8.85546875" style="136"/>
  </cols>
  <sheetData>
    <row r="1" spans="1:85" ht="25.9">
      <c r="A1" s="132" t="s">
        <v>25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3"/>
      <c r="R1" s="132"/>
      <c r="S1" s="132"/>
      <c r="T1" s="132"/>
      <c r="U1" s="132"/>
      <c r="V1" s="132"/>
      <c r="W1" s="132"/>
      <c r="X1" s="134"/>
      <c r="Y1" s="6"/>
      <c r="Z1" s="6"/>
      <c r="AA1" s="2"/>
      <c r="AB1" s="26"/>
      <c r="AC1" s="26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7"/>
      <c r="BI1" s="3"/>
      <c r="BJ1" s="8"/>
      <c r="BK1" s="3"/>
      <c r="BL1" s="40"/>
      <c r="BM1" s="28"/>
      <c r="BN1" s="5"/>
      <c r="BO1" s="3"/>
      <c r="BP1" s="3"/>
      <c r="BQ1" s="3"/>
      <c r="BR1" s="200"/>
      <c r="BS1" s="3"/>
      <c r="BT1" s="5"/>
      <c r="BU1" s="8"/>
      <c r="BV1" s="5"/>
      <c r="BW1" s="5"/>
      <c r="BX1" s="3"/>
      <c r="BY1" s="5"/>
      <c r="BZ1" s="5"/>
      <c r="CA1" s="5"/>
      <c r="CB1" s="5"/>
      <c r="CC1" s="5"/>
      <c r="CD1" s="135"/>
      <c r="CE1" s="5"/>
      <c r="CF1" s="5"/>
      <c r="CG1" s="5"/>
    </row>
    <row r="2" spans="1:85" s="138" customFormat="1" ht="15" customHeight="1">
      <c r="A2" s="43" t="s">
        <v>26</v>
      </c>
      <c r="B2" s="44"/>
      <c r="C2" s="46" t="s">
        <v>308</v>
      </c>
      <c r="D2" s="44"/>
      <c r="E2" s="44"/>
      <c r="F2" s="44"/>
      <c r="G2" s="29"/>
      <c r="H2" s="29"/>
      <c r="I2" s="29"/>
      <c r="J2" s="29"/>
      <c r="K2" s="29"/>
      <c r="L2" s="29"/>
      <c r="M2" s="29"/>
      <c r="N2" s="29"/>
      <c r="O2" s="29"/>
      <c r="P2" s="29"/>
      <c r="Q2" s="137"/>
      <c r="R2" s="30"/>
      <c r="S2" s="30"/>
      <c r="T2" s="30"/>
      <c r="U2" s="30"/>
      <c r="V2" s="30"/>
      <c r="W2" s="30"/>
      <c r="X2" s="39"/>
      <c r="Y2" s="30"/>
      <c r="Z2" s="30"/>
      <c r="AA2" s="31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3"/>
      <c r="BI2" s="34"/>
      <c r="BJ2" s="35"/>
      <c r="BK2" s="34"/>
      <c r="BL2" s="41"/>
      <c r="BM2" s="36"/>
      <c r="BN2" s="37"/>
      <c r="BO2" s="34"/>
      <c r="BP2" s="34"/>
      <c r="BQ2" s="34"/>
      <c r="BR2" s="205"/>
      <c r="BS2" s="34"/>
      <c r="BT2" s="37"/>
      <c r="BU2" s="35"/>
      <c r="BV2" s="37"/>
      <c r="BW2" s="37"/>
      <c r="BX2" s="34"/>
      <c r="BY2" s="37"/>
      <c r="BZ2" s="37"/>
      <c r="CA2" s="37"/>
      <c r="CB2" s="37"/>
      <c r="CC2" s="37"/>
      <c r="CD2" s="137"/>
      <c r="CE2" s="37"/>
      <c r="CF2" s="37"/>
      <c r="CG2" s="37"/>
    </row>
    <row r="3" spans="1:85" s="138" customFormat="1" ht="15" customHeight="1">
      <c r="A3" s="47" t="s">
        <v>27</v>
      </c>
      <c r="B3" s="29"/>
      <c r="C3" s="46" t="s">
        <v>387</v>
      </c>
      <c r="D3" s="48"/>
      <c r="E3" s="48"/>
      <c r="F3" s="48"/>
      <c r="G3" s="29"/>
      <c r="H3" s="29"/>
      <c r="I3" s="29"/>
      <c r="J3" s="29"/>
      <c r="K3" s="29"/>
      <c r="L3" s="29"/>
      <c r="M3" s="29"/>
      <c r="N3" s="29"/>
      <c r="O3" s="29"/>
      <c r="P3" s="29"/>
      <c r="Q3" s="137"/>
      <c r="R3" s="30"/>
      <c r="S3" s="30"/>
      <c r="T3" s="30"/>
      <c r="U3" s="30"/>
      <c r="V3" s="30"/>
      <c r="W3" s="30"/>
      <c r="X3" s="39"/>
      <c r="Y3" s="30"/>
      <c r="Z3" s="30"/>
      <c r="AA3" s="31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3"/>
      <c r="BI3" s="34"/>
      <c r="BJ3" s="35"/>
      <c r="BK3" s="34"/>
      <c r="BL3" s="41"/>
      <c r="BM3" s="36"/>
      <c r="BN3" s="37"/>
      <c r="BO3" s="34"/>
      <c r="BP3" s="34"/>
      <c r="BQ3" s="34"/>
      <c r="BR3" s="205"/>
      <c r="BS3" s="34"/>
      <c r="BT3" s="37"/>
      <c r="BU3" s="35"/>
      <c r="BV3" s="37"/>
      <c r="BW3" s="37"/>
      <c r="BX3" s="34"/>
      <c r="BY3" s="37"/>
      <c r="BZ3" s="37"/>
      <c r="CA3" s="37"/>
      <c r="CB3" s="37"/>
      <c r="CC3" s="37"/>
      <c r="CD3" s="137"/>
      <c r="CE3" s="37"/>
      <c r="CF3" s="37"/>
      <c r="CG3" s="37"/>
    </row>
    <row r="4" spans="1:85" s="138" customFormat="1" ht="15" customHeight="1">
      <c r="A4" s="43" t="s">
        <v>29</v>
      </c>
      <c r="B4" s="45"/>
      <c r="C4" s="46"/>
      <c r="D4" s="29"/>
      <c r="E4" s="29"/>
      <c r="F4" s="29"/>
      <c r="G4" s="29"/>
      <c r="H4" s="29"/>
      <c r="I4" s="29"/>
      <c r="J4" s="44"/>
      <c r="K4" s="44"/>
      <c r="L4" s="44"/>
      <c r="M4" s="44"/>
      <c r="N4" s="44"/>
      <c r="O4" s="44"/>
      <c r="P4" s="44"/>
      <c r="Q4" s="137"/>
      <c r="R4" s="49"/>
      <c r="S4" s="49"/>
      <c r="T4" s="49"/>
      <c r="U4" s="49"/>
      <c r="V4" s="49"/>
      <c r="W4" s="49"/>
      <c r="X4" s="39"/>
      <c r="Y4" s="49"/>
      <c r="Z4" s="49"/>
      <c r="AA4" s="31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50"/>
      <c r="BI4" s="34"/>
      <c r="BJ4" s="35"/>
      <c r="BK4" s="34"/>
      <c r="BL4" s="41"/>
      <c r="BM4" s="36"/>
      <c r="BN4" s="37"/>
      <c r="BO4" s="34"/>
      <c r="BP4" s="34"/>
      <c r="BQ4" s="34"/>
      <c r="BR4" s="205"/>
      <c r="BS4" s="34"/>
      <c r="BT4" s="37"/>
      <c r="BU4" s="35"/>
      <c r="BV4" s="37"/>
      <c r="BW4" s="37"/>
      <c r="BX4" s="34"/>
      <c r="BY4" s="37"/>
      <c r="BZ4" s="37"/>
      <c r="CA4" s="37"/>
      <c r="CB4" s="37"/>
      <c r="CC4" s="37"/>
      <c r="CD4" s="137"/>
      <c r="CE4" s="37"/>
      <c r="CF4" s="37"/>
      <c r="CG4" s="37"/>
    </row>
    <row r="5" spans="1:85" s="138" customFormat="1" ht="15" customHeight="1">
      <c r="A5" s="43" t="s">
        <v>30</v>
      </c>
      <c r="B5" s="45"/>
      <c r="C5" s="139">
        <v>1</v>
      </c>
      <c r="D5" s="29"/>
      <c r="E5" s="29"/>
      <c r="F5" s="29"/>
      <c r="G5" s="29"/>
      <c r="H5" s="29"/>
      <c r="I5" s="29"/>
      <c r="J5" s="44"/>
      <c r="K5" s="44"/>
      <c r="L5" s="44"/>
      <c r="M5" s="44"/>
      <c r="N5" s="44"/>
      <c r="O5" s="44"/>
      <c r="P5" s="44"/>
      <c r="Q5" s="137"/>
      <c r="R5" s="49"/>
      <c r="S5" s="49"/>
      <c r="T5" s="49"/>
      <c r="U5" s="49"/>
      <c r="V5" s="49"/>
      <c r="W5" s="49"/>
      <c r="X5" s="39"/>
      <c r="Y5" s="49"/>
      <c r="Z5" s="49"/>
      <c r="AA5" s="31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50"/>
      <c r="BI5" s="34"/>
      <c r="BJ5" s="35"/>
      <c r="BK5" s="34"/>
      <c r="BL5" s="41"/>
      <c r="BM5" s="36"/>
      <c r="BN5" s="37"/>
      <c r="BO5" s="34"/>
      <c r="BP5" s="34"/>
      <c r="BQ5" s="34"/>
      <c r="BR5" s="205"/>
      <c r="BS5" s="34"/>
      <c r="BT5" s="37"/>
      <c r="BU5" s="35"/>
      <c r="BV5" s="37"/>
      <c r="BW5" s="37"/>
      <c r="BX5" s="34"/>
      <c r="BY5" s="37"/>
      <c r="BZ5" s="37"/>
      <c r="CA5" s="37"/>
      <c r="CB5" s="37"/>
      <c r="CC5" s="37"/>
      <c r="CD5" s="137"/>
      <c r="CE5" s="37"/>
      <c r="CF5" s="37"/>
      <c r="CG5" s="37"/>
    </row>
    <row r="6" spans="1:85" s="138" customFormat="1" ht="15" customHeight="1">
      <c r="A6" s="43"/>
      <c r="B6" s="45"/>
      <c r="C6" s="139"/>
      <c r="D6" s="29"/>
      <c r="E6" s="29"/>
      <c r="F6" s="29"/>
      <c r="G6" s="29"/>
      <c r="H6" s="29"/>
      <c r="I6" s="29"/>
      <c r="J6" s="44"/>
      <c r="K6" s="44"/>
      <c r="L6" s="44"/>
      <c r="M6" s="44"/>
      <c r="N6" s="44"/>
      <c r="O6" s="44"/>
      <c r="P6" s="44"/>
      <c r="Q6" s="137"/>
      <c r="R6" s="49"/>
      <c r="S6" s="49"/>
      <c r="T6" s="49"/>
      <c r="U6" s="49"/>
      <c r="V6" s="49"/>
      <c r="W6" s="49"/>
      <c r="X6" s="39"/>
      <c r="Y6" s="49"/>
      <c r="Z6" s="49"/>
      <c r="AA6" s="31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50"/>
      <c r="BI6" s="34"/>
      <c r="BJ6" s="35"/>
      <c r="BK6" s="34"/>
      <c r="BL6" s="41"/>
      <c r="BM6" s="36"/>
      <c r="BN6" s="37"/>
      <c r="BO6" s="34"/>
      <c r="BP6" s="34"/>
      <c r="BQ6" s="34"/>
      <c r="BR6" s="205"/>
      <c r="BS6" s="34"/>
      <c r="BT6" s="37"/>
      <c r="BU6" s="35"/>
      <c r="BV6" s="37"/>
      <c r="BW6" s="37"/>
      <c r="BX6" s="34"/>
      <c r="BY6" s="37"/>
      <c r="BZ6" s="37"/>
      <c r="CA6" s="37"/>
      <c r="CB6" s="37"/>
      <c r="CC6" s="37"/>
      <c r="CD6" s="137"/>
      <c r="CE6" s="37"/>
      <c r="CF6" s="37"/>
      <c r="CG6" s="37"/>
    </row>
    <row r="7" spans="1:85" s="138" customFormat="1" ht="15" customHeight="1" thickBot="1">
      <c r="A7" s="43"/>
      <c r="B7" s="45"/>
      <c r="C7" s="139"/>
      <c r="D7" s="29"/>
      <c r="E7" s="29"/>
      <c r="F7" s="29"/>
      <c r="G7" s="29"/>
      <c r="H7" s="29"/>
      <c r="I7" s="29"/>
      <c r="J7" s="44"/>
      <c r="K7" s="44"/>
      <c r="L7" s="44"/>
      <c r="M7" s="44"/>
      <c r="N7" s="44"/>
      <c r="O7" s="44"/>
      <c r="P7" s="44"/>
      <c r="Q7" s="137"/>
      <c r="R7" s="49"/>
      <c r="S7" s="49"/>
      <c r="T7" s="49"/>
      <c r="U7" s="49"/>
      <c r="V7" s="49"/>
      <c r="W7" s="49"/>
      <c r="X7" s="39"/>
      <c r="Y7" s="49"/>
      <c r="Z7" s="49"/>
      <c r="AA7" s="31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50"/>
      <c r="BI7" s="34"/>
      <c r="BJ7" s="35"/>
      <c r="BK7" s="34"/>
      <c r="BL7" s="41"/>
      <c r="BM7" s="36"/>
      <c r="BN7" s="37"/>
      <c r="BO7" s="34"/>
      <c r="BP7" s="34"/>
      <c r="BQ7" s="34"/>
      <c r="BR7" s="205"/>
      <c r="BS7" s="34"/>
      <c r="BT7" s="37"/>
      <c r="BU7" s="35"/>
      <c r="BV7" s="37"/>
      <c r="BW7" s="37"/>
      <c r="BX7" s="34"/>
      <c r="BY7" s="37"/>
      <c r="BZ7" s="37"/>
      <c r="CA7" s="37"/>
      <c r="CB7" s="37"/>
      <c r="CC7" s="37"/>
      <c r="CD7" s="137"/>
      <c r="CE7" s="37"/>
      <c r="CF7" s="37"/>
      <c r="CG7" s="37"/>
    </row>
    <row r="8" spans="1:85" s="138" customFormat="1" ht="15" customHeight="1" thickBot="1">
      <c r="A8" s="140" t="s">
        <v>31</v>
      </c>
      <c r="B8" s="141"/>
      <c r="C8" s="142">
        <v>80.52000000000001</v>
      </c>
      <c r="D8" s="29"/>
      <c r="E8" s="29"/>
      <c r="F8" s="29"/>
      <c r="G8" s="29"/>
      <c r="H8" s="29"/>
      <c r="I8" s="29"/>
      <c r="J8" s="44"/>
      <c r="K8" s="44"/>
      <c r="L8" s="44"/>
      <c r="M8" s="44"/>
      <c r="N8" s="44"/>
      <c r="O8" s="44"/>
      <c r="P8" s="44"/>
      <c r="Q8" s="137"/>
      <c r="R8" s="49"/>
      <c r="S8" s="49"/>
      <c r="T8" s="49"/>
      <c r="U8" s="49"/>
      <c r="V8" s="49"/>
      <c r="W8" s="49"/>
      <c r="X8" s="39"/>
      <c r="Y8" s="49"/>
      <c r="Z8" s="49"/>
      <c r="AA8" s="31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50"/>
      <c r="BI8" s="34"/>
      <c r="BJ8" s="35"/>
      <c r="BK8" s="34"/>
      <c r="BL8" s="41"/>
      <c r="BM8" s="36"/>
      <c r="BN8" s="37"/>
      <c r="BO8" s="34"/>
      <c r="BP8" s="34"/>
      <c r="BQ8" s="34"/>
      <c r="BR8" s="205"/>
      <c r="BS8" s="34"/>
      <c r="BT8" s="37"/>
      <c r="BU8" s="35"/>
      <c r="BV8" s="37"/>
      <c r="BW8" s="37"/>
      <c r="BX8" s="34"/>
      <c r="BY8" s="37"/>
      <c r="BZ8" s="37"/>
      <c r="CA8" s="37"/>
      <c r="CB8" s="37"/>
      <c r="CC8" s="37"/>
      <c r="CD8" s="137"/>
      <c r="CE8" s="37"/>
      <c r="CF8" s="37"/>
      <c r="CG8" s="37"/>
    </row>
    <row r="9" spans="1:85" s="138" customFormat="1" ht="15" customHeight="1">
      <c r="A9" s="137"/>
      <c r="B9" s="45"/>
      <c r="C9" s="49"/>
      <c r="D9" s="29"/>
      <c r="E9" s="29"/>
      <c r="F9" s="29"/>
      <c r="G9" s="29"/>
      <c r="H9" s="29"/>
      <c r="I9" s="29"/>
      <c r="J9" s="44"/>
      <c r="K9" s="44"/>
      <c r="L9" s="44"/>
      <c r="M9" s="44"/>
      <c r="N9" s="44"/>
      <c r="O9" s="44"/>
      <c r="P9" s="44"/>
      <c r="Q9" s="137"/>
      <c r="R9" s="143"/>
      <c r="S9" s="143"/>
      <c r="T9" s="143"/>
      <c r="U9" s="143"/>
      <c r="V9" s="143"/>
      <c r="W9" s="143"/>
      <c r="X9" s="144"/>
      <c r="Y9" s="49"/>
      <c r="Z9" s="49"/>
      <c r="AA9" s="31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50"/>
      <c r="BI9" s="34"/>
      <c r="BJ9" s="35"/>
      <c r="BK9" s="34"/>
      <c r="BL9" s="41"/>
      <c r="BM9" s="36"/>
      <c r="BN9" s="37"/>
      <c r="BO9" s="34"/>
      <c r="BP9" s="34"/>
      <c r="BQ9" s="34"/>
      <c r="BR9" s="205"/>
      <c r="BS9" s="34"/>
      <c r="BT9" s="37"/>
      <c r="BU9" s="35"/>
      <c r="BV9" s="37"/>
      <c r="BW9" s="37"/>
      <c r="BX9" s="34"/>
      <c r="BY9" s="37"/>
      <c r="BZ9" s="37"/>
      <c r="CA9" s="37"/>
      <c r="CB9" s="37"/>
      <c r="CC9" s="37"/>
      <c r="CD9" s="137"/>
      <c r="CE9" s="37"/>
      <c r="CF9" s="37"/>
      <c r="CG9" s="37"/>
    </row>
    <row r="10" spans="1:85" s="138" customFormat="1" ht="15" customHeight="1">
      <c r="A10" s="137" t="s">
        <v>388</v>
      </c>
      <c r="B10" s="45"/>
      <c r="C10" s="49">
        <v>0</v>
      </c>
      <c r="D10" s="29"/>
      <c r="E10" s="29"/>
      <c r="F10" s="29"/>
      <c r="G10" s="29"/>
      <c r="H10" s="29"/>
      <c r="I10" s="29"/>
      <c r="J10" s="44"/>
      <c r="K10" s="44"/>
      <c r="L10" s="44"/>
      <c r="M10" s="44"/>
      <c r="N10" s="44"/>
      <c r="O10" s="44"/>
      <c r="P10" s="44"/>
      <c r="Q10" s="137"/>
      <c r="R10" s="143"/>
      <c r="S10" s="143"/>
      <c r="T10" s="143"/>
      <c r="U10" s="143"/>
      <c r="V10" s="143"/>
      <c r="W10" s="143"/>
      <c r="X10" s="144"/>
      <c r="Y10" s="49"/>
      <c r="Z10" s="49"/>
      <c r="AA10" s="31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50"/>
      <c r="BI10" s="34"/>
      <c r="BJ10" s="35"/>
      <c r="BK10" s="34"/>
      <c r="BL10" s="41"/>
      <c r="BM10" s="36"/>
      <c r="BN10" s="37"/>
      <c r="BO10" s="34"/>
      <c r="BP10" s="34"/>
      <c r="BQ10" s="34"/>
      <c r="BR10" s="205"/>
      <c r="BS10" s="34"/>
      <c r="BT10" s="37"/>
      <c r="BU10" s="35"/>
      <c r="BV10" s="37"/>
      <c r="BW10" s="37"/>
      <c r="BX10" s="34"/>
      <c r="BY10" s="37"/>
      <c r="BZ10" s="37"/>
      <c r="CA10" s="37"/>
      <c r="CB10" s="37"/>
      <c r="CC10" s="37"/>
      <c r="CD10" s="137"/>
      <c r="CE10" s="37"/>
      <c r="CF10" s="37"/>
      <c r="CG10" s="37"/>
    </row>
    <row r="11" spans="1:85" s="138" customFormat="1" ht="15" customHeight="1">
      <c r="A11" s="137" t="s">
        <v>32</v>
      </c>
      <c r="B11" s="45"/>
      <c r="C11" s="49">
        <v>0</v>
      </c>
      <c r="D11" s="29"/>
      <c r="E11" s="29"/>
      <c r="F11" s="29"/>
      <c r="G11" s="29"/>
      <c r="H11" s="29"/>
      <c r="I11" s="29"/>
      <c r="J11" s="44"/>
      <c r="K11" s="44"/>
      <c r="L11" s="44"/>
      <c r="M11" s="44"/>
      <c r="N11" s="44"/>
      <c r="O11" s="44"/>
      <c r="P11" s="44"/>
      <c r="Q11" s="137"/>
      <c r="R11" s="145"/>
      <c r="S11" s="145"/>
      <c r="T11" s="145"/>
      <c r="U11" s="145"/>
      <c r="V11" s="145"/>
      <c r="W11" s="145"/>
      <c r="X11" s="144"/>
      <c r="Y11" s="49"/>
      <c r="Z11" s="49"/>
      <c r="AA11" s="31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50"/>
      <c r="BI11" s="34"/>
      <c r="BJ11" s="35"/>
      <c r="BK11" s="34"/>
      <c r="BL11" s="41"/>
      <c r="BM11" s="36"/>
      <c r="BN11" s="37"/>
      <c r="BO11" s="34"/>
      <c r="BP11" s="34"/>
      <c r="BQ11" s="34"/>
      <c r="BR11" s="205"/>
      <c r="BS11" s="34"/>
      <c r="BT11" s="37"/>
      <c r="BU11" s="35"/>
      <c r="BV11" s="37"/>
      <c r="BW11" s="37"/>
      <c r="BX11" s="34"/>
      <c r="BY11" s="37"/>
      <c r="BZ11" s="37"/>
      <c r="CA11" s="37"/>
      <c r="CB11" s="37"/>
      <c r="CC11" s="37"/>
      <c r="CD11" s="137"/>
      <c r="CE11" s="37"/>
      <c r="CF11" s="37"/>
      <c r="CG11" s="37"/>
    </row>
    <row r="12" spans="1:85" s="138" customFormat="1" ht="15" customHeight="1">
      <c r="A12" s="137" t="s">
        <v>33</v>
      </c>
      <c r="B12" s="45"/>
      <c r="C12" s="49">
        <v>2.62</v>
      </c>
      <c r="D12" s="29"/>
      <c r="E12" s="29"/>
      <c r="F12" s="29"/>
      <c r="G12" s="29"/>
      <c r="H12" s="29"/>
      <c r="I12" s="29"/>
      <c r="J12" s="44"/>
      <c r="K12" s="44"/>
      <c r="L12" s="44"/>
      <c r="M12" s="44"/>
      <c r="N12" s="44"/>
      <c r="O12" s="44"/>
      <c r="P12" s="44"/>
      <c r="Q12" s="137"/>
      <c r="R12" s="145"/>
      <c r="S12" s="145"/>
      <c r="T12" s="145"/>
      <c r="U12" s="145"/>
      <c r="V12" s="145"/>
      <c r="W12" s="145"/>
      <c r="X12" s="144"/>
      <c r="Y12" s="49"/>
      <c r="Z12" s="49"/>
      <c r="AA12" s="31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50"/>
      <c r="BI12" s="34"/>
      <c r="BJ12" s="35"/>
      <c r="BK12" s="34"/>
      <c r="BL12" s="41"/>
      <c r="BM12" s="36"/>
      <c r="BN12" s="37"/>
      <c r="BO12" s="34"/>
      <c r="BP12" s="34"/>
      <c r="BQ12" s="34"/>
      <c r="BR12" s="205"/>
      <c r="BS12" s="34"/>
      <c r="BT12" s="37"/>
      <c r="BU12" s="35"/>
      <c r="BV12" s="37"/>
      <c r="BW12" s="37"/>
      <c r="BX12" s="34"/>
      <c r="BY12" s="37"/>
      <c r="BZ12" s="37"/>
      <c r="CA12" s="37"/>
      <c r="CB12" s="37"/>
      <c r="CC12" s="37"/>
      <c r="CD12" s="137"/>
      <c r="CE12" s="37"/>
      <c r="CF12" s="37"/>
      <c r="CG12" s="37"/>
    </row>
    <row r="13" spans="1:85" s="138" customFormat="1" ht="15" customHeight="1">
      <c r="A13" s="137" t="s">
        <v>34</v>
      </c>
      <c r="B13" s="45"/>
      <c r="C13" s="49">
        <v>77.900000000000006</v>
      </c>
      <c r="D13" s="29"/>
      <c r="E13" s="29"/>
      <c r="F13" s="29"/>
      <c r="G13" s="29"/>
      <c r="H13" s="29"/>
      <c r="I13" s="29"/>
      <c r="J13" s="44"/>
      <c r="K13" s="44"/>
      <c r="L13" s="44"/>
      <c r="M13" s="44"/>
      <c r="N13" s="44"/>
      <c r="O13" s="44"/>
      <c r="P13" s="44"/>
      <c r="Q13" s="137"/>
      <c r="R13" s="143"/>
      <c r="S13" s="143"/>
      <c r="T13" s="143"/>
      <c r="U13" s="143"/>
      <c r="V13" s="143"/>
      <c r="W13" s="143"/>
      <c r="X13" s="144"/>
      <c r="Y13" s="49"/>
      <c r="Z13" s="49"/>
      <c r="AA13" s="31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50"/>
      <c r="BI13" s="34"/>
      <c r="BJ13" s="35"/>
      <c r="BK13" s="34"/>
      <c r="BL13" s="41"/>
      <c r="BM13" s="36"/>
      <c r="BN13" s="37"/>
      <c r="BO13" s="34"/>
      <c r="BP13" s="34"/>
      <c r="BQ13" s="34"/>
      <c r="BR13" s="205"/>
      <c r="BS13" s="34"/>
      <c r="BT13" s="37"/>
      <c r="BU13" s="35"/>
      <c r="BV13" s="37"/>
      <c r="BW13" s="37"/>
      <c r="BX13" s="34"/>
      <c r="BY13" s="37"/>
      <c r="BZ13" s="37"/>
      <c r="CA13" s="37"/>
      <c r="CB13" s="37"/>
      <c r="CC13" s="37"/>
      <c r="CD13" s="137"/>
      <c r="CE13" s="37"/>
      <c r="CF13" s="37"/>
      <c r="CG13" s="37"/>
    </row>
    <row r="14" spans="1:85" s="138" customFormat="1" ht="15" customHeight="1">
      <c r="A14" s="137" t="s">
        <v>35</v>
      </c>
      <c r="B14" s="45"/>
      <c r="C14" s="49">
        <v>0</v>
      </c>
      <c r="D14" s="29"/>
      <c r="E14" s="29"/>
      <c r="F14" s="29"/>
      <c r="G14" s="29"/>
      <c r="H14" s="29"/>
      <c r="I14" s="29"/>
      <c r="J14" s="44"/>
      <c r="K14" s="44"/>
      <c r="L14" s="44"/>
      <c r="M14" s="44"/>
      <c r="N14" s="44"/>
      <c r="O14" s="44"/>
      <c r="P14" s="44"/>
      <c r="Q14" s="137"/>
      <c r="R14" s="49"/>
      <c r="S14" s="49"/>
      <c r="T14" s="49"/>
      <c r="U14" s="49"/>
      <c r="V14" s="49"/>
      <c r="W14" s="49"/>
      <c r="X14" s="39"/>
      <c r="Y14" s="49"/>
      <c r="Z14" s="49"/>
      <c r="AA14" s="31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50"/>
      <c r="BI14" s="34"/>
      <c r="BJ14" s="35"/>
      <c r="BK14" s="34"/>
      <c r="BL14" s="41"/>
      <c r="BM14" s="36"/>
      <c r="BN14" s="37"/>
      <c r="BO14" s="34"/>
      <c r="BP14" s="34"/>
      <c r="BQ14" s="34"/>
      <c r="BR14" s="205"/>
      <c r="BS14" s="34"/>
      <c r="BT14" s="37"/>
      <c r="BU14" s="35"/>
      <c r="BV14" s="37"/>
      <c r="BW14" s="37"/>
      <c r="BX14" s="34"/>
      <c r="BY14" s="37"/>
      <c r="BZ14" s="37"/>
      <c r="CA14" s="37"/>
      <c r="CB14" s="37"/>
      <c r="CC14" s="37"/>
      <c r="CD14" s="137"/>
      <c r="CE14" s="37"/>
      <c r="CF14" s="37"/>
      <c r="CG14" s="37"/>
    </row>
    <row r="15" spans="1:85" s="138" customFormat="1" ht="15" customHeight="1">
      <c r="A15" s="137" t="s">
        <v>36</v>
      </c>
      <c r="B15" s="49"/>
      <c r="C15" s="49">
        <v>0</v>
      </c>
      <c r="D15" s="29"/>
      <c r="E15" s="29"/>
      <c r="F15" s="29"/>
      <c r="G15" s="29"/>
      <c r="H15" s="29"/>
      <c r="I15" s="29"/>
      <c r="J15" s="44"/>
      <c r="K15" s="44"/>
      <c r="L15" s="44"/>
      <c r="M15" s="44"/>
      <c r="N15" s="44"/>
      <c r="O15" s="44"/>
      <c r="P15" s="44"/>
      <c r="Q15" s="137"/>
      <c r="R15" s="49"/>
      <c r="S15" s="49"/>
      <c r="T15" s="49"/>
      <c r="U15" s="49"/>
      <c r="V15" s="49"/>
      <c r="W15" s="49"/>
      <c r="X15" s="39"/>
      <c r="Y15" s="49"/>
      <c r="Z15" s="49"/>
      <c r="AA15" s="31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50"/>
      <c r="BI15" s="34"/>
      <c r="BJ15" s="35"/>
      <c r="BK15" s="34"/>
      <c r="BL15" s="41"/>
      <c r="BM15" s="36"/>
      <c r="BN15" s="37"/>
      <c r="BO15" s="34"/>
      <c r="BP15" s="34"/>
      <c r="BQ15" s="34"/>
      <c r="BR15" s="205"/>
      <c r="BS15" s="34"/>
      <c r="BT15" s="37"/>
      <c r="BU15" s="35"/>
      <c r="BV15" s="37"/>
      <c r="BW15" s="37"/>
      <c r="BX15" s="34"/>
      <c r="BY15" s="37"/>
      <c r="BZ15" s="37"/>
      <c r="CA15" s="37"/>
      <c r="CB15" s="37"/>
      <c r="CC15" s="37"/>
      <c r="CD15" s="137"/>
      <c r="CE15" s="37"/>
      <c r="CF15" s="37"/>
      <c r="CG15" s="37"/>
    </row>
    <row r="16" spans="1:85" s="138" customFormat="1" ht="15" customHeight="1">
      <c r="A16" s="137" t="s">
        <v>37</v>
      </c>
      <c r="B16" s="49"/>
      <c r="C16" s="49">
        <v>0</v>
      </c>
      <c r="D16" s="29"/>
      <c r="E16" s="29"/>
      <c r="F16" s="29"/>
      <c r="G16" s="29"/>
      <c r="H16" s="29"/>
      <c r="I16" s="29"/>
      <c r="J16" s="44"/>
      <c r="K16" s="44"/>
      <c r="L16" s="44"/>
      <c r="M16" s="44"/>
      <c r="N16" s="44"/>
      <c r="O16" s="44"/>
      <c r="P16" s="44"/>
      <c r="Q16" s="137"/>
      <c r="R16" s="49"/>
      <c r="S16" s="49"/>
      <c r="T16" s="49"/>
      <c r="U16" s="49"/>
      <c r="V16" s="49"/>
      <c r="W16" s="49"/>
      <c r="X16" s="39"/>
      <c r="Y16" s="49"/>
      <c r="Z16" s="49"/>
      <c r="AA16" s="31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50"/>
      <c r="BI16" s="34"/>
      <c r="BJ16" s="35"/>
      <c r="BK16" s="34"/>
      <c r="BL16" s="41"/>
      <c r="BM16" s="36"/>
      <c r="BN16" s="37"/>
      <c r="BO16" s="34"/>
      <c r="BP16" s="34"/>
      <c r="BQ16" s="34"/>
      <c r="BR16" s="205"/>
      <c r="BS16" s="34"/>
      <c r="BT16" s="37"/>
      <c r="BU16" s="35"/>
      <c r="BV16" s="37"/>
      <c r="BW16" s="37"/>
      <c r="BX16" s="34"/>
      <c r="BY16" s="37"/>
      <c r="BZ16" s="37"/>
      <c r="CA16" s="37"/>
      <c r="CB16" s="37"/>
      <c r="CC16" s="37"/>
      <c r="CD16" s="137"/>
      <c r="CE16" s="37"/>
      <c r="CF16" s="37"/>
      <c r="CG16" s="37"/>
    </row>
    <row r="17" spans="1:86" s="138" customFormat="1" ht="15" customHeight="1">
      <c r="A17" s="137" t="s">
        <v>38</v>
      </c>
      <c r="B17" s="49"/>
      <c r="C17" s="49">
        <v>0</v>
      </c>
      <c r="D17" s="29"/>
      <c r="E17" s="29"/>
      <c r="F17" s="29"/>
      <c r="G17" s="29"/>
      <c r="H17" s="29"/>
      <c r="I17" s="29"/>
      <c r="J17" s="44"/>
      <c r="K17" s="44"/>
      <c r="L17" s="44"/>
      <c r="M17" s="44"/>
      <c r="N17" s="44"/>
      <c r="O17" s="44"/>
      <c r="P17" s="44"/>
      <c r="Q17" s="137"/>
      <c r="R17" s="49"/>
      <c r="S17" s="49"/>
      <c r="T17" s="49"/>
      <c r="U17" s="49"/>
      <c r="V17" s="49"/>
      <c r="W17" s="49"/>
      <c r="X17" s="39"/>
      <c r="Y17" s="49"/>
      <c r="Z17" s="49"/>
      <c r="AA17" s="31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50"/>
      <c r="BI17" s="34"/>
      <c r="BJ17" s="35"/>
      <c r="BK17" s="34"/>
      <c r="BL17" s="41"/>
      <c r="BM17" s="36"/>
      <c r="BN17" s="37"/>
      <c r="BO17" s="34"/>
      <c r="BP17" s="34"/>
      <c r="BQ17" s="34"/>
      <c r="BR17" s="205"/>
      <c r="BS17" s="34"/>
      <c r="BT17" s="37"/>
      <c r="BU17" s="35"/>
      <c r="BV17" s="37"/>
      <c r="BW17" s="37"/>
      <c r="BX17" s="34"/>
      <c r="BY17" s="37"/>
      <c r="BZ17" s="37"/>
      <c r="CA17" s="37"/>
      <c r="CB17" s="37"/>
      <c r="CC17" s="37"/>
      <c r="CD17" s="137"/>
      <c r="CE17" s="37"/>
      <c r="CF17" s="37"/>
      <c r="CG17" s="37"/>
    </row>
    <row r="18" spans="1:86" s="138" customFormat="1" ht="15" customHeight="1">
      <c r="A18" s="137" t="s">
        <v>39</v>
      </c>
      <c r="B18" s="49"/>
      <c r="C18" s="49">
        <v>0</v>
      </c>
      <c r="D18" s="29"/>
      <c r="E18" s="29"/>
      <c r="F18" s="29"/>
      <c r="G18" s="29"/>
      <c r="H18" s="29"/>
      <c r="I18" s="29"/>
      <c r="J18" s="44"/>
      <c r="K18" s="44"/>
      <c r="L18" s="44"/>
      <c r="M18" s="44"/>
      <c r="N18" s="44"/>
      <c r="O18" s="44"/>
      <c r="P18" s="44"/>
      <c r="Q18" s="137"/>
      <c r="R18" s="49"/>
      <c r="S18" s="49"/>
      <c r="T18" s="49"/>
      <c r="U18" s="49"/>
      <c r="V18" s="49"/>
      <c r="W18" s="49"/>
      <c r="X18" s="39"/>
      <c r="Y18" s="49"/>
      <c r="Z18" s="49"/>
      <c r="AA18" s="31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50"/>
      <c r="BI18" s="34"/>
      <c r="BJ18" s="35"/>
      <c r="BK18" s="34"/>
      <c r="BL18" s="41"/>
      <c r="BM18" s="36"/>
      <c r="BN18" s="37"/>
      <c r="BO18" s="34"/>
      <c r="BP18" s="34"/>
      <c r="BQ18" s="34"/>
      <c r="BR18" s="205"/>
      <c r="BS18" s="34"/>
      <c r="BT18" s="37"/>
      <c r="BU18" s="35"/>
      <c r="BV18" s="37"/>
      <c r="BW18" s="37"/>
      <c r="BX18" s="34"/>
      <c r="BY18" s="37"/>
      <c r="BZ18" s="37"/>
      <c r="CA18" s="37"/>
      <c r="CB18" s="37"/>
      <c r="CC18" s="37"/>
      <c r="CD18" s="137"/>
      <c r="CE18" s="37"/>
      <c r="CF18" s="37"/>
      <c r="CG18" s="37"/>
    </row>
    <row r="19" spans="1:86" s="138" customFormat="1" ht="15" customHeight="1">
      <c r="A19" s="137" t="s">
        <v>40</v>
      </c>
      <c r="B19" s="49"/>
      <c r="C19" s="49">
        <v>0</v>
      </c>
      <c r="D19" s="29"/>
      <c r="E19" s="29"/>
      <c r="F19" s="29"/>
      <c r="G19" s="29"/>
      <c r="H19" s="29"/>
      <c r="I19" s="29"/>
      <c r="J19" s="44"/>
      <c r="K19" s="44"/>
      <c r="L19" s="44"/>
      <c r="M19" s="44"/>
      <c r="N19" s="44"/>
      <c r="O19" s="44"/>
      <c r="P19" s="44"/>
      <c r="Q19" s="137"/>
      <c r="R19" s="49"/>
      <c r="S19" s="49"/>
      <c r="T19" s="49"/>
      <c r="U19" s="49"/>
      <c r="V19" s="49"/>
      <c r="W19" s="49"/>
      <c r="X19" s="39"/>
      <c r="Y19" s="49"/>
      <c r="Z19" s="49"/>
      <c r="AA19" s="31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50"/>
      <c r="BI19" s="34"/>
      <c r="BJ19" s="35"/>
      <c r="BK19" s="34"/>
      <c r="BL19" s="41"/>
      <c r="BM19" s="36"/>
      <c r="BN19" s="37"/>
      <c r="BO19" s="34"/>
      <c r="BP19" s="34"/>
      <c r="BQ19" s="34"/>
      <c r="BR19" s="205"/>
      <c r="BS19" s="34"/>
      <c r="BT19" s="37"/>
      <c r="BU19" s="35"/>
      <c r="BV19" s="37"/>
      <c r="BW19" s="37"/>
      <c r="BX19" s="34"/>
      <c r="BY19" s="37"/>
      <c r="BZ19" s="37"/>
      <c r="CA19" s="37"/>
      <c r="CB19" s="37"/>
      <c r="CC19" s="37"/>
      <c r="CD19" s="137"/>
      <c r="CE19" s="37"/>
      <c r="CF19" s="37"/>
      <c r="CG19" s="37"/>
    </row>
    <row r="20" spans="1:86" s="138" customFormat="1" ht="15" customHeight="1">
      <c r="A20" s="137" t="s">
        <v>41</v>
      </c>
      <c r="B20" s="49"/>
      <c r="C20" s="49">
        <v>0</v>
      </c>
      <c r="D20" s="29"/>
      <c r="E20" s="29"/>
      <c r="F20" s="29"/>
      <c r="G20" s="29"/>
      <c r="H20" s="29"/>
      <c r="I20" s="29"/>
      <c r="J20" s="44"/>
      <c r="K20" s="44"/>
      <c r="L20" s="44"/>
      <c r="M20" s="44"/>
      <c r="N20" s="44"/>
      <c r="O20" s="44"/>
      <c r="P20" s="44"/>
      <c r="Q20" s="137"/>
      <c r="R20" s="49"/>
      <c r="S20" s="49"/>
      <c r="T20" s="49"/>
      <c r="U20" s="49"/>
      <c r="V20" s="49"/>
      <c r="W20" s="49"/>
      <c r="X20" s="39"/>
      <c r="Y20" s="49"/>
      <c r="Z20" s="49"/>
      <c r="AA20" s="31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50"/>
      <c r="BI20" s="34"/>
      <c r="BJ20" s="35"/>
      <c r="BK20" s="34"/>
      <c r="BL20" s="41"/>
      <c r="BM20" s="36"/>
      <c r="BN20" s="37"/>
      <c r="BO20" s="34"/>
      <c r="BP20" s="34"/>
      <c r="BQ20" s="34"/>
      <c r="BR20" s="205"/>
      <c r="BS20" s="34"/>
      <c r="BT20" s="37"/>
      <c r="BU20" s="35"/>
      <c r="BV20" s="37"/>
      <c r="BW20" s="37"/>
      <c r="BX20" s="34"/>
      <c r="BY20" s="37"/>
      <c r="BZ20" s="37"/>
      <c r="CA20" s="37"/>
      <c r="CB20" s="37"/>
      <c r="CC20" s="37"/>
      <c r="CD20" s="137"/>
      <c r="CE20" s="37"/>
      <c r="CF20" s="37"/>
      <c r="CG20" s="37"/>
    </row>
    <row r="21" spans="1:86" s="138" customFormat="1" ht="15" customHeight="1">
      <c r="A21" s="137" t="s">
        <v>42</v>
      </c>
      <c r="B21" s="49"/>
      <c r="C21" s="49">
        <v>0</v>
      </c>
      <c r="D21" s="29"/>
      <c r="E21" s="29"/>
      <c r="F21" s="29"/>
      <c r="G21" s="29"/>
      <c r="H21" s="29"/>
      <c r="I21" s="29"/>
      <c r="J21" s="44"/>
      <c r="K21" s="44"/>
      <c r="L21" s="44"/>
      <c r="M21" s="44"/>
      <c r="N21" s="44"/>
      <c r="O21" s="44"/>
      <c r="P21" s="44"/>
      <c r="Q21" s="137"/>
      <c r="R21" s="49"/>
      <c r="S21" s="49"/>
      <c r="T21" s="49"/>
      <c r="U21" s="49"/>
      <c r="V21" s="49"/>
      <c r="W21" s="49"/>
      <c r="X21" s="39"/>
      <c r="Y21" s="49"/>
      <c r="Z21" s="49"/>
      <c r="AA21" s="31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50"/>
      <c r="BI21" s="34"/>
      <c r="BJ21" s="35"/>
      <c r="BK21" s="34"/>
      <c r="BL21" s="41"/>
      <c r="BM21" s="36"/>
      <c r="BN21" s="37"/>
      <c r="BO21" s="34"/>
      <c r="BP21" s="34"/>
      <c r="BQ21" s="34"/>
      <c r="BR21" s="205"/>
      <c r="BS21" s="34"/>
      <c r="BT21" s="37"/>
      <c r="BU21" s="35"/>
      <c r="BV21" s="37"/>
      <c r="BW21" s="37"/>
      <c r="BX21" s="34"/>
      <c r="BY21" s="37"/>
      <c r="BZ21" s="37"/>
      <c r="CA21" s="37"/>
      <c r="CB21" s="37"/>
      <c r="CC21" s="37"/>
      <c r="CD21" s="137"/>
      <c r="CE21" s="37"/>
      <c r="CF21" s="37"/>
      <c r="CG21" s="37"/>
    </row>
    <row r="22" spans="1:86" s="138" customFormat="1" ht="15" customHeight="1">
      <c r="A22" s="137" t="s">
        <v>389</v>
      </c>
      <c r="B22" s="49"/>
      <c r="C22" s="49">
        <v>0</v>
      </c>
      <c r="D22" s="29"/>
      <c r="E22" s="29"/>
      <c r="F22" s="29"/>
      <c r="G22" s="29"/>
      <c r="H22" s="29"/>
      <c r="I22" s="29"/>
      <c r="J22" s="44"/>
      <c r="K22" s="44"/>
      <c r="L22" s="44"/>
      <c r="M22" s="44"/>
      <c r="N22" s="44"/>
      <c r="O22" s="44"/>
      <c r="P22" s="44"/>
      <c r="Q22" s="137"/>
      <c r="R22" s="49"/>
      <c r="S22" s="49"/>
      <c r="T22" s="49"/>
      <c r="U22" s="49"/>
      <c r="V22" s="49"/>
      <c r="W22" s="49"/>
      <c r="X22" s="39"/>
      <c r="Y22" s="49"/>
      <c r="Z22" s="49"/>
      <c r="AA22" s="31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50"/>
      <c r="BI22" s="34"/>
      <c r="BJ22" s="35"/>
      <c r="BK22" s="34"/>
      <c r="BL22" s="41"/>
      <c r="BM22" s="36"/>
      <c r="BN22" s="37"/>
      <c r="BO22" s="34"/>
      <c r="BP22" s="34"/>
      <c r="BQ22" s="34"/>
      <c r="BR22" s="205"/>
      <c r="BS22" s="34"/>
      <c r="BT22" s="37"/>
      <c r="BU22" s="35"/>
      <c r="BV22" s="37"/>
      <c r="BW22" s="37"/>
      <c r="BX22" s="34"/>
      <c r="BY22" s="37"/>
      <c r="BZ22" s="37"/>
      <c r="CA22" s="37"/>
      <c r="CB22" s="37"/>
      <c r="CC22" s="37"/>
      <c r="CD22" s="137"/>
      <c r="CE22" s="37"/>
      <c r="CF22" s="37"/>
      <c r="CG22" s="37"/>
    </row>
    <row r="23" spans="1:86" s="138" customFormat="1" ht="15" customHeight="1">
      <c r="A23" s="137" t="s">
        <v>390</v>
      </c>
      <c r="B23" s="49"/>
      <c r="C23" s="49">
        <v>0</v>
      </c>
      <c r="D23" s="29"/>
      <c r="E23" s="29"/>
      <c r="F23" s="29"/>
      <c r="G23" s="29"/>
      <c r="H23" s="29"/>
      <c r="I23" s="29"/>
      <c r="J23" s="44"/>
      <c r="K23" s="44"/>
      <c r="L23" s="44"/>
      <c r="M23" s="44"/>
      <c r="N23" s="44"/>
      <c r="O23" s="44"/>
      <c r="P23" s="44"/>
      <c r="Q23" s="137"/>
      <c r="R23" s="49"/>
      <c r="S23" s="49"/>
      <c r="T23" s="49"/>
      <c r="U23" s="49"/>
      <c r="V23" s="49"/>
      <c r="W23" s="49"/>
      <c r="X23" s="39"/>
      <c r="Y23" s="49"/>
      <c r="Z23" s="49"/>
      <c r="AA23" s="31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50"/>
      <c r="BI23" s="34"/>
      <c r="BJ23" s="35"/>
      <c r="BK23" s="34"/>
      <c r="BL23" s="41"/>
      <c r="BM23" s="36"/>
      <c r="BN23" s="37"/>
      <c r="BO23" s="34"/>
      <c r="BP23" s="34"/>
      <c r="BQ23" s="34"/>
      <c r="BR23" s="205"/>
      <c r="BS23" s="34"/>
      <c r="BT23" s="37"/>
      <c r="BU23" s="35"/>
      <c r="BV23" s="37"/>
      <c r="BW23" s="37"/>
      <c r="BX23" s="34"/>
      <c r="BY23" s="37"/>
      <c r="BZ23" s="37"/>
      <c r="CA23" s="37"/>
      <c r="CB23" s="37"/>
      <c r="CC23" s="37"/>
      <c r="CD23" s="137"/>
      <c r="CE23" s="37"/>
      <c r="CF23" s="37"/>
      <c r="CG23" s="37"/>
    </row>
    <row r="24" spans="1:86" s="138" customFormat="1" ht="15" customHeight="1">
      <c r="A24" s="43"/>
      <c r="B24" s="45"/>
      <c r="C24" s="139"/>
      <c r="D24" s="29"/>
      <c r="E24" s="29"/>
      <c r="F24" s="29"/>
      <c r="G24" s="29"/>
      <c r="H24" s="29"/>
      <c r="I24" s="29"/>
      <c r="J24" s="44"/>
      <c r="K24" s="44"/>
      <c r="L24" s="44"/>
      <c r="M24" s="44"/>
      <c r="N24" s="44"/>
      <c r="O24" s="44"/>
      <c r="P24" s="44"/>
      <c r="Q24" s="137"/>
      <c r="R24" s="49"/>
      <c r="S24" s="49"/>
      <c r="T24" s="49"/>
      <c r="U24" s="49"/>
      <c r="V24" s="49"/>
      <c r="W24" s="49"/>
      <c r="X24" s="39"/>
      <c r="Y24" s="49"/>
      <c r="Z24" s="49"/>
      <c r="AA24" s="31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50"/>
      <c r="BI24" s="34"/>
      <c r="BJ24" s="35"/>
      <c r="BK24" s="34"/>
      <c r="BL24" s="41"/>
      <c r="BM24" s="36"/>
      <c r="BN24" s="37"/>
      <c r="BO24" s="34"/>
      <c r="BP24" s="34"/>
      <c r="BQ24" s="34"/>
      <c r="BR24" s="205"/>
      <c r="BS24" s="34"/>
      <c r="BT24" s="37"/>
      <c r="BU24" s="35"/>
      <c r="BV24" s="37"/>
      <c r="BW24" s="37"/>
      <c r="BX24" s="34"/>
      <c r="BY24" s="37"/>
      <c r="BZ24" s="37"/>
      <c r="CA24" s="37"/>
      <c r="CB24" s="37"/>
      <c r="CC24" s="37"/>
      <c r="CD24" s="137"/>
      <c r="CE24" s="37"/>
      <c r="CF24" s="37"/>
      <c r="CG24" s="37"/>
    </row>
    <row r="25" spans="1:86" s="138" customFormat="1" ht="15" customHeight="1" thickBot="1">
      <c r="A25" s="29"/>
      <c r="B25" s="29"/>
      <c r="C25" s="31"/>
      <c r="D25" s="29"/>
      <c r="E25" s="29"/>
      <c r="F25" s="29"/>
      <c r="G25" s="29"/>
      <c r="H25" s="29"/>
      <c r="I25" s="29"/>
      <c r="J25" s="44"/>
      <c r="K25" s="44"/>
      <c r="L25" s="44"/>
      <c r="M25" s="44"/>
      <c r="N25" s="44"/>
      <c r="O25" s="44"/>
      <c r="P25" s="44"/>
      <c r="Q25" s="49"/>
      <c r="R25" s="49"/>
      <c r="S25" s="49"/>
      <c r="T25" s="49"/>
      <c r="U25" s="49"/>
      <c r="V25" s="49"/>
      <c r="W25" s="49"/>
      <c r="X25" s="39"/>
      <c r="Y25" s="49"/>
      <c r="Z25" s="49"/>
      <c r="AA25" s="31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3"/>
      <c r="BI25" s="34"/>
      <c r="BJ25" s="35"/>
      <c r="BK25" s="34"/>
      <c r="BL25" s="41"/>
      <c r="BM25" s="36"/>
      <c r="BN25" s="37"/>
      <c r="BO25" s="34"/>
      <c r="BP25" s="34"/>
      <c r="BQ25" s="34"/>
      <c r="BR25" s="205"/>
      <c r="BS25" s="34"/>
      <c r="BT25" s="37"/>
      <c r="BU25" s="35"/>
      <c r="BV25" s="37"/>
      <c r="BW25" s="37"/>
      <c r="BX25" s="34"/>
      <c r="BY25" s="37"/>
      <c r="BZ25" s="37"/>
      <c r="CA25" s="37"/>
      <c r="CB25" s="37"/>
      <c r="CC25" s="37"/>
      <c r="CD25" s="137"/>
      <c r="CE25" s="37"/>
      <c r="CF25" s="37"/>
      <c r="CG25" s="37"/>
    </row>
    <row r="26" spans="1:86" s="138" customFormat="1" ht="30" customHeight="1" thickBot="1">
      <c r="A26" s="146" t="s">
        <v>43</v>
      </c>
      <c r="B26" s="147" t="s">
        <v>44</v>
      </c>
      <c r="C26" s="148" t="s">
        <v>45</v>
      </c>
      <c r="D26" s="149" t="s">
        <v>46</v>
      </c>
      <c r="E26" s="149" t="s">
        <v>47</v>
      </c>
      <c r="F26" s="149" t="s">
        <v>48</v>
      </c>
      <c r="G26" s="149" t="s">
        <v>49</v>
      </c>
      <c r="H26" s="150" t="s">
        <v>50</v>
      </c>
      <c r="I26" s="150" t="s">
        <v>51</v>
      </c>
      <c r="J26" s="151" t="s">
        <v>52</v>
      </c>
      <c r="K26" s="151" t="s">
        <v>53</v>
      </c>
      <c r="L26" s="151" t="s">
        <v>54</v>
      </c>
      <c r="M26" s="151" t="s">
        <v>55</v>
      </c>
      <c r="N26" s="151" t="s">
        <v>56</v>
      </c>
      <c r="O26" s="151" t="s">
        <v>57</v>
      </c>
      <c r="P26" s="150" t="s">
        <v>58</v>
      </c>
      <c r="Q26" s="149" t="s">
        <v>59</v>
      </c>
      <c r="R26" s="152" t="s">
        <v>60</v>
      </c>
      <c r="S26" s="152" t="s">
        <v>61</v>
      </c>
      <c r="T26" s="152" t="s">
        <v>62</v>
      </c>
      <c r="U26" s="152" t="s">
        <v>63</v>
      </c>
      <c r="V26" s="152" t="s">
        <v>64</v>
      </c>
      <c r="W26" s="152" t="s">
        <v>65</v>
      </c>
      <c r="X26" s="153" t="s">
        <v>66</v>
      </c>
      <c r="Y26" s="154" t="s">
        <v>67</v>
      </c>
      <c r="Z26" s="150" t="s">
        <v>68</v>
      </c>
      <c r="AA26" s="150" t="s">
        <v>69</v>
      </c>
      <c r="AB26" s="154" t="s">
        <v>70</v>
      </c>
      <c r="AC26" s="154"/>
      <c r="AD26" s="154" t="s">
        <v>52</v>
      </c>
      <c r="AE26" s="154" t="s">
        <v>71</v>
      </c>
      <c r="AF26" s="154" t="s">
        <v>72</v>
      </c>
      <c r="AG26" s="154" t="s">
        <v>73</v>
      </c>
      <c r="AH26" s="154" t="s">
        <v>74</v>
      </c>
      <c r="AI26" s="154" t="s">
        <v>75</v>
      </c>
      <c r="AJ26" s="155" t="s">
        <v>76</v>
      </c>
      <c r="AK26" s="156" t="s">
        <v>77</v>
      </c>
      <c r="AL26" s="392" t="s">
        <v>391</v>
      </c>
      <c r="AM26" s="159" t="s">
        <v>79</v>
      </c>
      <c r="AN26" s="159" t="s">
        <v>79</v>
      </c>
      <c r="AO26" s="159" t="s">
        <v>80</v>
      </c>
      <c r="AP26" s="159" t="s">
        <v>80</v>
      </c>
      <c r="AQ26" s="159" t="s">
        <v>81</v>
      </c>
      <c r="AR26" s="159" t="s">
        <v>81</v>
      </c>
      <c r="AS26" s="159" t="s">
        <v>82</v>
      </c>
      <c r="AT26" s="159" t="s">
        <v>82</v>
      </c>
      <c r="AU26" s="159" t="s">
        <v>83</v>
      </c>
      <c r="AV26" s="159" t="s">
        <v>83</v>
      </c>
      <c r="AW26" s="159" t="s">
        <v>84</v>
      </c>
      <c r="AX26" s="159" t="s">
        <v>84</v>
      </c>
      <c r="AY26" s="159" t="s">
        <v>85</v>
      </c>
      <c r="AZ26" s="159" t="s">
        <v>85</v>
      </c>
      <c r="BA26" s="159" t="s">
        <v>146</v>
      </c>
      <c r="BB26" s="159" t="s">
        <v>146</v>
      </c>
      <c r="BC26" s="159" t="s">
        <v>147</v>
      </c>
      <c r="BD26" s="159" t="s">
        <v>147</v>
      </c>
      <c r="BE26" s="159" t="s">
        <v>148</v>
      </c>
      <c r="BF26" s="159" t="s">
        <v>148</v>
      </c>
      <c r="BG26" s="156" t="s">
        <v>88</v>
      </c>
      <c r="BH26" s="157" t="s">
        <v>89</v>
      </c>
      <c r="BI26" s="158" t="s">
        <v>90</v>
      </c>
      <c r="BJ26" s="159" t="s">
        <v>91</v>
      </c>
      <c r="BK26" s="160" t="s">
        <v>92</v>
      </c>
      <c r="BL26" s="161" t="s">
        <v>93</v>
      </c>
      <c r="BM26" s="162" t="s">
        <v>94</v>
      </c>
      <c r="BN26" s="163" t="s">
        <v>95</v>
      </c>
      <c r="BO26" s="162" t="s">
        <v>96</v>
      </c>
      <c r="BP26" s="162" t="s">
        <v>97</v>
      </c>
      <c r="BQ26" s="162" t="s">
        <v>98</v>
      </c>
      <c r="BR26" s="206" t="s">
        <v>99</v>
      </c>
      <c r="BS26" s="162" t="s">
        <v>100</v>
      </c>
      <c r="BT26" s="162" t="s">
        <v>8</v>
      </c>
      <c r="BU26" s="154" t="s">
        <v>101</v>
      </c>
      <c r="BV26" s="151" t="s">
        <v>102</v>
      </c>
      <c r="BW26" s="150" t="s">
        <v>103</v>
      </c>
      <c r="BX26" s="162" t="s">
        <v>104</v>
      </c>
      <c r="BY26" s="162" t="s">
        <v>105</v>
      </c>
      <c r="BZ26" s="150" t="s">
        <v>106</v>
      </c>
      <c r="CA26" s="150"/>
      <c r="CB26" s="150"/>
      <c r="CC26" s="154" t="s">
        <v>107</v>
      </c>
      <c r="CD26" s="150" t="s">
        <v>108</v>
      </c>
      <c r="CE26" s="154" t="s">
        <v>109</v>
      </c>
      <c r="CF26" s="164" t="s">
        <v>151</v>
      </c>
      <c r="CG26" s="165"/>
    </row>
    <row r="27" spans="1:86" s="138" customFormat="1" ht="15" customHeight="1">
      <c r="A27" s="48" t="s">
        <v>306</v>
      </c>
      <c r="B27" s="29" t="s">
        <v>111</v>
      </c>
      <c r="C27" s="168">
        <v>45658</v>
      </c>
      <c r="D27" s="48" t="s">
        <v>307</v>
      </c>
      <c r="E27" s="29" t="s">
        <v>113</v>
      </c>
      <c r="F27" s="48" t="s">
        <v>114</v>
      </c>
      <c r="G27" s="48" t="s">
        <v>130</v>
      </c>
      <c r="H27" s="48" t="s">
        <v>116</v>
      </c>
      <c r="I27" s="48" t="s">
        <v>214</v>
      </c>
      <c r="J27" s="170" t="s">
        <v>116</v>
      </c>
      <c r="K27" s="170" t="b">
        <v>0</v>
      </c>
      <c r="L27" s="170" t="s">
        <v>116</v>
      </c>
      <c r="M27" s="170" t="s">
        <v>116</v>
      </c>
      <c r="N27" s="170" t="s">
        <v>116</v>
      </c>
      <c r="O27" s="170" t="s">
        <v>118</v>
      </c>
      <c r="P27" s="48" t="s">
        <v>308</v>
      </c>
      <c r="Q27" s="48" t="s">
        <v>309</v>
      </c>
      <c r="R27" s="170" t="s">
        <v>116</v>
      </c>
      <c r="S27" s="170" t="s">
        <v>116</v>
      </c>
      <c r="T27" s="170" t="s">
        <v>116</v>
      </c>
      <c r="U27" s="170" t="s">
        <v>116</v>
      </c>
      <c r="V27" s="170" t="s">
        <v>116</v>
      </c>
      <c r="W27" s="170" t="s">
        <v>116</v>
      </c>
      <c r="X27" s="173" t="s">
        <v>310</v>
      </c>
      <c r="Y27" s="167">
        <v>178.18</v>
      </c>
      <c r="Z27" s="48" t="s">
        <v>123</v>
      </c>
      <c r="AA27" s="48">
        <v>1</v>
      </c>
      <c r="AB27" s="174">
        <v>0</v>
      </c>
      <c r="AC27" s="174"/>
      <c r="AD27" s="174">
        <v>0</v>
      </c>
      <c r="AE27" s="174">
        <v>0</v>
      </c>
      <c r="AF27" s="174">
        <v>0</v>
      </c>
      <c r="AG27" s="174">
        <v>0</v>
      </c>
      <c r="AH27" s="174">
        <v>0</v>
      </c>
      <c r="AI27" s="174">
        <v>0</v>
      </c>
      <c r="AJ27" s="174">
        <v>0.92</v>
      </c>
      <c r="AK27" s="174">
        <v>40.42</v>
      </c>
      <c r="AL27" s="174">
        <v>0</v>
      </c>
      <c r="AM27" s="174">
        <v>0</v>
      </c>
      <c r="AN27" s="174">
        <v>0</v>
      </c>
      <c r="AO27" s="174">
        <v>0</v>
      </c>
      <c r="AP27" s="174">
        <v>0</v>
      </c>
      <c r="AQ27" s="174">
        <v>0</v>
      </c>
      <c r="AR27" s="174">
        <v>0</v>
      </c>
      <c r="AS27" s="174">
        <v>0</v>
      </c>
      <c r="AT27" s="174">
        <v>0</v>
      </c>
      <c r="AU27" s="174">
        <v>0</v>
      </c>
      <c r="AV27" s="174">
        <v>0</v>
      </c>
      <c r="AW27" s="174">
        <v>0</v>
      </c>
      <c r="AX27" s="174">
        <v>0</v>
      </c>
      <c r="AY27" s="174">
        <v>0</v>
      </c>
      <c r="AZ27" s="174">
        <v>0</v>
      </c>
      <c r="BA27" s="174">
        <v>0</v>
      </c>
      <c r="BB27" s="174">
        <v>0</v>
      </c>
      <c r="BC27" s="174">
        <v>0</v>
      </c>
      <c r="BD27" s="174">
        <v>0</v>
      </c>
      <c r="BE27" s="174">
        <v>0</v>
      </c>
      <c r="BF27" s="174">
        <v>0</v>
      </c>
      <c r="BG27" s="174">
        <f>SUM(AJ27,AK27)</f>
        <v>41.34</v>
      </c>
      <c r="BH27" s="175" t="s">
        <v>311</v>
      </c>
      <c r="BI27" s="166">
        <v>46011</v>
      </c>
      <c r="BJ27" s="167">
        <v>504.9</v>
      </c>
      <c r="BK27" s="168"/>
      <c r="BL27" s="56"/>
      <c r="BM27" s="168" t="s">
        <v>308</v>
      </c>
      <c r="BN27" s="169" t="s">
        <v>386</v>
      </c>
      <c r="BO27" s="168"/>
      <c r="BP27" s="168"/>
      <c r="BQ27" s="168"/>
      <c r="BR27" s="207"/>
      <c r="BS27" s="168"/>
      <c r="BT27" s="168"/>
      <c r="BU27" s="167"/>
      <c r="BV27" s="170"/>
      <c r="BW27" s="48"/>
      <c r="BX27" s="168"/>
      <c r="BY27" s="168"/>
      <c r="BZ27" s="48"/>
      <c r="CA27" s="48"/>
      <c r="CB27" s="48"/>
      <c r="CC27" s="167"/>
      <c r="CD27" s="137"/>
      <c r="CE27" s="171"/>
      <c r="CF27" s="172" t="s">
        <v>166</v>
      </c>
      <c r="CG27" s="165"/>
    </row>
    <row r="28" spans="1:86" s="138" customFormat="1" ht="15" customHeight="1">
      <c r="A28" s="48" t="s">
        <v>213</v>
      </c>
      <c r="B28" s="29" t="s">
        <v>111</v>
      </c>
      <c r="C28" s="168">
        <v>44927</v>
      </c>
      <c r="D28" s="48" t="s">
        <v>112</v>
      </c>
      <c r="E28" s="29" t="s">
        <v>113</v>
      </c>
      <c r="F28" s="48" t="s">
        <v>114</v>
      </c>
      <c r="G28" s="48" t="s">
        <v>153</v>
      </c>
      <c r="H28" s="48" t="s">
        <v>116</v>
      </c>
      <c r="I28" s="48" t="s">
        <v>214</v>
      </c>
      <c r="J28" s="170" t="s">
        <v>116</v>
      </c>
      <c r="K28" s="170" t="b">
        <v>0</v>
      </c>
      <c r="L28" s="170" t="s">
        <v>116</v>
      </c>
      <c r="M28" s="170" t="s">
        <v>116</v>
      </c>
      <c r="N28" s="170" t="s">
        <v>116</v>
      </c>
      <c r="O28" s="170" t="s">
        <v>118</v>
      </c>
      <c r="P28" s="48" t="s">
        <v>308</v>
      </c>
      <c r="Q28" s="48" t="s">
        <v>309</v>
      </c>
      <c r="R28" s="170" t="s">
        <v>138</v>
      </c>
      <c r="S28" s="170" t="s">
        <v>116</v>
      </c>
      <c r="T28" s="170" t="s">
        <v>116</v>
      </c>
      <c r="U28" s="170" t="s">
        <v>116</v>
      </c>
      <c r="V28" s="170" t="s">
        <v>116</v>
      </c>
      <c r="W28" s="170" t="s">
        <v>116</v>
      </c>
      <c r="X28" s="173" t="s">
        <v>215</v>
      </c>
      <c r="Y28" s="167">
        <v>170.35</v>
      </c>
      <c r="Z28" s="48" t="s">
        <v>123</v>
      </c>
      <c r="AA28" s="48">
        <v>1</v>
      </c>
      <c r="AB28" s="174">
        <v>0</v>
      </c>
      <c r="AC28" s="174"/>
      <c r="AD28" s="174">
        <v>0</v>
      </c>
      <c r="AE28" s="174">
        <v>0</v>
      </c>
      <c r="AF28" s="174">
        <v>0</v>
      </c>
      <c r="AG28" s="174">
        <v>0</v>
      </c>
      <c r="AH28" s="174">
        <v>0</v>
      </c>
      <c r="AI28" s="174">
        <v>0</v>
      </c>
      <c r="AJ28" s="174">
        <v>1.7</v>
      </c>
      <c r="AK28" s="174">
        <v>37.479999999999997</v>
      </c>
      <c r="AL28" s="174">
        <v>0</v>
      </c>
      <c r="AM28" s="174">
        <v>0</v>
      </c>
      <c r="AN28" s="174">
        <v>0</v>
      </c>
      <c r="AO28" s="174">
        <v>0</v>
      </c>
      <c r="AP28" s="174">
        <v>0</v>
      </c>
      <c r="AQ28" s="174">
        <v>0</v>
      </c>
      <c r="AR28" s="174">
        <v>0</v>
      </c>
      <c r="AS28" s="174">
        <v>0</v>
      </c>
      <c r="AT28" s="174">
        <v>0</v>
      </c>
      <c r="AU28" s="174">
        <v>0</v>
      </c>
      <c r="AV28" s="174">
        <v>0</v>
      </c>
      <c r="AW28" s="174">
        <v>0</v>
      </c>
      <c r="AX28" s="174">
        <v>0</v>
      </c>
      <c r="AY28" s="174">
        <v>0</v>
      </c>
      <c r="AZ28" s="174">
        <v>0</v>
      </c>
      <c r="BA28" s="174">
        <v>0</v>
      </c>
      <c r="BB28" s="174">
        <v>0</v>
      </c>
      <c r="BC28" s="174">
        <v>0</v>
      </c>
      <c r="BD28" s="174">
        <v>0</v>
      </c>
      <c r="BE28" s="174">
        <v>0</v>
      </c>
      <c r="BF28" s="174">
        <v>0</v>
      </c>
      <c r="BG28" s="174">
        <f>SUM(AJ28,AK28)</f>
        <v>39.18</v>
      </c>
      <c r="BH28" s="175" t="s">
        <v>312</v>
      </c>
      <c r="BI28" s="166">
        <v>46018</v>
      </c>
      <c r="BJ28" s="167">
        <v>42.59</v>
      </c>
      <c r="BK28" s="168"/>
      <c r="BL28" s="56"/>
      <c r="BM28" s="168" t="s">
        <v>308</v>
      </c>
      <c r="BN28" s="169" t="s">
        <v>386</v>
      </c>
      <c r="BO28" s="168"/>
      <c r="BP28" s="168"/>
      <c r="BQ28" s="168"/>
      <c r="BR28" s="207"/>
      <c r="BS28" s="168"/>
      <c r="BT28" s="168"/>
      <c r="BU28" s="167"/>
      <c r="BV28" s="170"/>
      <c r="BW28" s="48"/>
      <c r="BX28" s="168"/>
      <c r="BY28" s="168"/>
      <c r="BZ28" s="48"/>
      <c r="CA28" s="48"/>
      <c r="CB28" s="48"/>
      <c r="CC28" s="167"/>
      <c r="CD28" s="137"/>
      <c r="CE28" s="171"/>
      <c r="CF28" s="172" t="s">
        <v>157</v>
      </c>
      <c r="CG28" s="165"/>
    </row>
    <row r="29" spans="1:86" s="138" customFormat="1" ht="15" customHeight="1">
      <c r="A29" s="48"/>
      <c r="B29" s="29"/>
      <c r="C29" s="168"/>
      <c r="D29" s="48"/>
      <c r="E29" s="29"/>
      <c r="F29" s="48"/>
      <c r="G29" s="48"/>
      <c r="H29" s="48"/>
      <c r="I29" s="48"/>
      <c r="J29" s="170"/>
      <c r="K29" s="170"/>
      <c r="L29" s="170"/>
      <c r="M29" s="170"/>
      <c r="N29" s="170"/>
      <c r="O29" s="170"/>
      <c r="P29" s="48"/>
      <c r="Q29" s="48"/>
      <c r="R29" s="170"/>
      <c r="S29" s="170"/>
      <c r="T29" s="170"/>
      <c r="U29" s="170"/>
      <c r="V29" s="170"/>
      <c r="W29" s="170"/>
      <c r="X29" s="173"/>
      <c r="Y29" s="167"/>
      <c r="Z29" s="48"/>
      <c r="AA29" s="48"/>
      <c r="AB29" s="174"/>
      <c r="AC29" s="174"/>
      <c r="AD29" s="174"/>
      <c r="AE29" s="174"/>
      <c r="AF29" s="174"/>
      <c r="AG29" s="174"/>
      <c r="AH29" s="174"/>
      <c r="AI29" s="174"/>
      <c r="AJ29" s="174"/>
      <c r="AK29" s="174"/>
      <c r="AL29" s="174"/>
      <c r="AM29" s="174"/>
      <c r="AN29" s="174"/>
      <c r="AO29" s="174"/>
      <c r="AP29" s="174"/>
      <c r="AQ29" s="174"/>
      <c r="AR29" s="174"/>
      <c r="AS29" s="174"/>
      <c r="AT29" s="174"/>
      <c r="AU29" s="174"/>
      <c r="AV29" s="174"/>
      <c r="AW29" s="174"/>
      <c r="AX29" s="174"/>
      <c r="AY29" s="174"/>
      <c r="AZ29" s="174"/>
      <c r="BA29" s="174"/>
      <c r="BB29" s="174"/>
      <c r="BC29" s="174"/>
      <c r="BD29" s="174"/>
      <c r="BE29" s="174"/>
      <c r="BF29" s="174"/>
      <c r="BG29" s="174"/>
      <c r="BH29" s="175"/>
      <c r="BI29" s="166"/>
      <c r="BJ29" s="167"/>
      <c r="BK29" s="168"/>
      <c r="BL29" s="56"/>
      <c r="BM29" s="168"/>
      <c r="BN29" s="169"/>
      <c r="BO29" s="168"/>
      <c r="BP29" s="168"/>
      <c r="BQ29" s="168"/>
      <c r="BR29" s="207"/>
      <c r="BS29" s="168"/>
      <c r="BT29" s="168"/>
      <c r="BU29" s="167"/>
      <c r="BV29" s="170"/>
      <c r="BW29" s="48"/>
      <c r="BX29" s="168"/>
      <c r="BY29" s="168"/>
      <c r="BZ29" s="48"/>
      <c r="CA29" s="48"/>
      <c r="CB29" s="48"/>
      <c r="CC29" s="167"/>
      <c r="CD29" s="137"/>
      <c r="CE29" s="171"/>
      <c r="CF29" s="172"/>
      <c r="CG29" s="165"/>
    </row>
    <row r="30" spans="1:86" s="138" customFormat="1" ht="15" customHeight="1">
      <c r="A30" s="29"/>
      <c r="B30" s="29"/>
      <c r="C30" s="31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176"/>
      <c r="R30" s="176"/>
      <c r="S30" s="176"/>
      <c r="T30" s="176"/>
      <c r="U30" s="176"/>
      <c r="V30" s="176"/>
      <c r="W30" s="176"/>
      <c r="X30" s="177" t="s">
        <v>140</v>
      </c>
      <c r="Y30" s="178"/>
      <c r="Z30" s="179"/>
      <c r="AA30" s="179">
        <f t="shared" ref="AA30:AH30" si="0">SUM(AA27:AA28)</f>
        <v>2</v>
      </c>
      <c r="AB30" s="180">
        <f t="shared" si="0"/>
        <v>0</v>
      </c>
      <c r="AC30" s="180">
        <f t="shared" si="0"/>
        <v>0</v>
      </c>
      <c r="AD30" s="180">
        <f t="shared" si="0"/>
        <v>0</v>
      </c>
      <c r="AE30" s="180">
        <f t="shared" si="0"/>
        <v>0</v>
      </c>
      <c r="AF30" s="180">
        <f t="shared" si="0"/>
        <v>0</v>
      </c>
      <c r="AG30" s="180">
        <f t="shared" si="0"/>
        <v>0</v>
      </c>
      <c r="AH30" s="180">
        <f t="shared" si="0"/>
        <v>0</v>
      </c>
      <c r="AI30" s="180">
        <f t="shared" ref="AI30:BG30" si="1">SUM(AI27:AI29)</f>
        <v>0</v>
      </c>
      <c r="AJ30" s="180">
        <f t="shared" si="1"/>
        <v>2.62</v>
      </c>
      <c r="AK30" s="180">
        <f t="shared" si="1"/>
        <v>77.900000000000006</v>
      </c>
      <c r="AL30" s="180">
        <f t="shared" si="1"/>
        <v>0</v>
      </c>
      <c r="AM30" s="180">
        <f t="shared" si="1"/>
        <v>0</v>
      </c>
      <c r="AN30" s="180">
        <f t="shared" si="1"/>
        <v>0</v>
      </c>
      <c r="AO30" s="180">
        <f t="shared" si="1"/>
        <v>0</v>
      </c>
      <c r="AP30" s="180">
        <f t="shared" si="1"/>
        <v>0</v>
      </c>
      <c r="AQ30" s="180">
        <f t="shared" si="1"/>
        <v>0</v>
      </c>
      <c r="AR30" s="180">
        <f t="shared" si="1"/>
        <v>0</v>
      </c>
      <c r="AS30" s="180">
        <f t="shared" si="1"/>
        <v>0</v>
      </c>
      <c r="AT30" s="180">
        <f t="shared" si="1"/>
        <v>0</v>
      </c>
      <c r="AU30" s="180">
        <f t="shared" si="1"/>
        <v>0</v>
      </c>
      <c r="AV30" s="180">
        <f t="shared" si="1"/>
        <v>0</v>
      </c>
      <c r="AW30" s="180">
        <f t="shared" si="1"/>
        <v>0</v>
      </c>
      <c r="AX30" s="180">
        <f t="shared" si="1"/>
        <v>0</v>
      </c>
      <c r="AY30" s="180">
        <f t="shared" si="1"/>
        <v>0</v>
      </c>
      <c r="AZ30" s="180">
        <f t="shared" si="1"/>
        <v>0</v>
      </c>
      <c r="BA30" s="180">
        <f t="shared" si="1"/>
        <v>0</v>
      </c>
      <c r="BB30" s="180">
        <f t="shared" si="1"/>
        <v>0</v>
      </c>
      <c r="BC30" s="180">
        <f t="shared" si="1"/>
        <v>0</v>
      </c>
      <c r="BD30" s="180">
        <f t="shared" si="1"/>
        <v>0</v>
      </c>
      <c r="BE30" s="180">
        <f t="shared" si="1"/>
        <v>0</v>
      </c>
      <c r="BF30" s="180">
        <f t="shared" si="1"/>
        <v>0</v>
      </c>
      <c r="BG30" s="180">
        <f t="shared" si="1"/>
        <v>80.52000000000001</v>
      </c>
      <c r="BH30" s="181"/>
      <c r="BI30" s="31"/>
      <c r="BJ30" s="182"/>
      <c r="BK30" s="31"/>
      <c r="BL30" s="56"/>
      <c r="BM30" s="29"/>
      <c r="BN30" s="183"/>
      <c r="BO30" s="31"/>
      <c r="BP30" s="31"/>
      <c r="BQ30" s="31"/>
      <c r="BR30" s="208"/>
      <c r="BS30" s="31"/>
      <c r="BT30" s="183"/>
      <c r="BU30" s="182"/>
      <c r="BV30" s="183"/>
      <c r="BW30" s="183"/>
      <c r="BX30" s="31"/>
      <c r="BY30" s="183"/>
      <c r="BZ30" s="183"/>
      <c r="CA30" s="183"/>
      <c r="CB30" s="183"/>
      <c r="CC30" s="184"/>
      <c r="CD30" s="137"/>
      <c r="CE30" s="183"/>
      <c r="CF30" s="183"/>
      <c r="CG30" s="183"/>
      <c r="CH30" s="183"/>
    </row>
    <row r="31" spans="1:86" s="138" customFormat="1" ht="15" customHeight="1">
      <c r="A31" s="48"/>
      <c r="B31" s="29"/>
      <c r="C31" s="168"/>
      <c r="D31" s="48"/>
      <c r="E31" s="29"/>
      <c r="F31" s="48"/>
      <c r="G31" s="48"/>
      <c r="H31" s="48"/>
      <c r="I31" s="48"/>
      <c r="J31" s="170"/>
      <c r="K31" s="170"/>
      <c r="L31" s="170"/>
      <c r="M31" s="170"/>
      <c r="N31" s="170"/>
      <c r="O31" s="170"/>
      <c r="P31" s="48"/>
      <c r="Q31" s="48"/>
      <c r="R31" s="170"/>
      <c r="S31" s="170"/>
      <c r="T31" s="170"/>
      <c r="U31" s="170"/>
      <c r="V31" s="170"/>
      <c r="W31" s="170"/>
      <c r="X31" s="173"/>
      <c r="Y31" s="167"/>
      <c r="Z31" s="48"/>
      <c r="AA31" s="48"/>
      <c r="AB31" s="174"/>
      <c r="AC31" s="174"/>
      <c r="AD31" s="174"/>
      <c r="AE31" s="174"/>
      <c r="AF31" s="174"/>
      <c r="AG31" s="174"/>
      <c r="AH31" s="174"/>
      <c r="AI31" s="174"/>
      <c r="AJ31" s="174"/>
      <c r="AK31" s="174"/>
      <c r="AL31" s="174"/>
      <c r="AM31" s="174"/>
      <c r="AN31" s="174"/>
      <c r="AO31" s="174"/>
      <c r="AP31" s="174"/>
      <c r="AQ31" s="174"/>
      <c r="AR31" s="174"/>
      <c r="AS31" s="174"/>
      <c r="AT31" s="174"/>
      <c r="AU31" s="174"/>
      <c r="AV31" s="174"/>
      <c r="AW31" s="174"/>
      <c r="AX31" s="174"/>
      <c r="AY31" s="174"/>
      <c r="AZ31" s="174"/>
      <c r="BA31" s="174"/>
      <c r="BB31" s="174"/>
      <c r="BC31" s="174"/>
      <c r="BD31" s="174"/>
      <c r="BE31" s="174"/>
      <c r="BF31" s="174"/>
      <c r="BG31" s="174"/>
      <c r="BH31" s="175"/>
      <c r="BI31" s="166"/>
      <c r="BJ31" s="167"/>
      <c r="BK31" s="168"/>
      <c r="BL31" s="56"/>
      <c r="BM31" s="168"/>
      <c r="BN31" s="169"/>
      <c r="BO31" s="168"/>
      <c r="BP31" s="168"/>
      <c r="BQ31" s="168"/>
      <c r="BR31" s="207"/>
      <c r="BS31" s="168"/>
      <c r="BT31" s="168"/>
      <c r="BU31" s="167"/>
      <c r="BV31" s="170"/>
      <c r="BW31" s="48"/>
      <c r="BX31" s="168"/>
      <c r="BY31" s="168"/>
      <c r="BZ31" s="48"/>
      <c r="CA31" s="48"/>
      <c r="CB31" s="48"/>
      <c r="CC31" s="167"/>
      <c r="CD31" s="137"/>
      <c r="CE31" s="171"/>
      <c r="CF31" s="172"/>
      <c r="CG31" s="165"/>
    </row>
    <row r="32" spans="1:86" s="138" customFormat="1" ht="15" customHeight="1">
      <c r="A32" s="48"/>
      <c r="B32" s="29"/>
      <c r="C32" s="168"/>
      <c r="D32" s="48"/>
      <c r="E32" s="29"/>
      <c r="F32" s="48"/>
      <c r="G32" s="48"/>
      <c r="H32" s="48"/>
      <c r="I32" s="48"/>
      <c r="J32" s="170"/>
      <c r="K32" s="170"/>
      <c r="L32" s="170"/>
      <c r="M32" s="170"/>
      <c r="N32" s="170"/>
      <c r="O32" s="170"/>
      <c r="P32" s="48"/>
      <c r="Q32" s="48"/>
      <c r="R32" s="170"/>
      <c r="S32" s="170"/>
      <c r="T32" s="170"/>
      <c r="U32" s="170"/>
      <c r="V32" s="170"/>
      <c r="W32" s="170"/>
      <c r="X32" s="173"/>
      <c r="Y32" s="167"/>
      <c r="Z32" s="48"/>
      <c r="AA32" s="48"/>
      <c r="AB32" s="174"/>
      <c r="AC32" s="174"/>
      <c r="AD32" s="174"/>
      <c r="AE32" s="174"/>
      <c r="AF32" s="174"/>
      <c r="AG32" s="174"/>
      <c r="AH32" s="174"/>
      <c r="AI32" s="174"/>
      <c r="AJ32" s="174"/>
      <c r="AK32" s="174"/>
      <c r="AL32" s="174"/>
      <c r="AM32" s="174"/>
      <c r="AN32" s="174"/>
      <c r="AO32" s="174"/>
      <c r="AP32" s="174"/>
      <c r="AQ32" s="174"/>
      <c r="AR32" s="174"/>
      <c r="AS32" s="174"/>
      <c r="AT32" s="174"/>
      <c r="AU32" s="174"/>
      <c r="AV32" s="174"/>
      <c r="AW32" s="174"/>
      <c r="AX32" s="174"/>
      <c r="AY32" s="174"/>
      <c r="AZ32" s="174"/>
      <c r="BA32" s="174"/>
      <c r="BB32" s="174"/>
      <c r="BC32" s="174"/>
      <c r="BD32" s="174"/>
      <c r="BE32" s="174"/>
      <c r="BF32" s="174"/>
      <c r="BG32" s="174"/>
      <c r="BH32" s="175"/>
      <c r="BI32" s="166"/>
      <c r="BJ32" s="167"/>
      <c r="BK32" s="168"/>
      <c r="BL32" s="56"/>
      <c r="BM32" s="168"/>
      <c r="BN32" s="169"/>
      <c r="BO32" s="168"/>
      <c r="BP32" s="168"/>
      <c r="BQ32" s="168"/>
      <c r="BR32" s="207"/>
      <c r="BS32" s="168"/>
      <c r="BT32" s="168"/>
      <c r="BU32" s="167"/>
      <c r="BV32" s="170"/>
      <c r="BW32" s="48"/>
      <c r="BX32" s="168"/>
      <c r="BY32" s="168"/>
      <c r="BZ32" s="48"/>
      <c r="CA32" s="48"/>
      <c r="CB32" s="48"/>
      <c r="CC32" s="167"/>
      <c r="CD32" s="137"/>
      <c r="CE32" s="171"/>
      <c r="CF32" s="172"/>
      <c r="CG32" s="165"/>
    </row>
    <row r="33" spans="1:85" s="138" customFormat="1" ht="15" customHeight="1">
      <c r="A33" s="48"/>
      <c r="B33" s="29"/>
      <c r="C33" s="168"/>
      <c r="D33" s="48"/>
      <c r="E33" s="29"/>
      <c r="F33" s="48"/>
      <c r="G33" s="48"/>
      <c r="H33" s="48"/>
      <c r="I33" s="48"/>
      <c r="J33" s="170"/>
      <c r="K33" s="170"/>
      <c r="L33" s="170"/>
      <c r="M33" s="170"/>
      <c r="N33" s="170"/>
      <c r="O33" s="170"/>
      <c r="P33" s="48"/>
      <c r="Q33" s="48"/>
      <c r="R33" s="170"/>
      <c r="S33" s="170"/>
      <c r="T33" s="170"/>
      <c r="U33" s="170"/>
      <c r="V33" s="170"/>
      <c r="W33" s="170"/>
      <c r="X33" s="173"/>
      <c r="Y33" s="167"/>
      <c r="Z33" s="48"/>
      <c r="AA33" s="48"/>
      <c r="AB33" s="174"/>
      <c r="AC33" s="174"/>
      <c r="AD33" s="174"/>
      <c r="AE33" s="174"/>
      <c r="AF33" s="174"/>
      <c r="AG33" s="174"/>
      <c r="AH33" s="174"/>
      <c r="AI33" s="174"/>
      <c r="AJ33" s="174"/>
      <c r="AK33" s="174"/>
      <c r="AL33" s="174"/>
      <c r="AM33" s="174"/>
      <c r="AN33" s="174"/>
      <c r="AO33" s="174"/>
      <c r="AP33" s="174"/>
      <c r="AQ33" s="174"/>
      <c r="AR33" s="174"/>
      <c r="AS33" s="174"/>
      <c r="AT33" s="174"/>
      <c r="AU33" s="174"/>
      <c r="AV33" s="174"/>
      <c r="AW33" s="174"/>
      <c r="AX33" s="174"/>
      <c r="AY33" s="174"/>
      <c r="AZ33" s="174"/>
      <c r="BA33" s="174"/>
      <c r="BB33" s="174"/>
      <c r="BC33" s="174"/>
      <c r="BD33" s="174"/>
      <c r="BE33" s="174"/>
      <c r="BF33" s="174"/>
      <c r="BG33" s="174"/>
      <c r="BH33" s="175"/>
      <c r="BI33" s="166"/>
      <c r="BJ33" s="167"/>
      <c r="BK33" s="168"/>
      <c r="BL33" s="56"/>
      <c r="BM33" s="168"/>
      <c r="BN33" s="169"/>
      <c r="BO33" s="168"/>
      <c r="BP33" s="168"/>
      <c r="BQ33" s="168"/>
      <c r="BR33" s="207"/>
      <c r="BS33" s="168"/>
      <c r="BT33" s="168"/>
      <c r="BU33" s="167"/>
      <c r="BV33" s="170"/>
      <c r="BW33" s="48"/>
      <c r="BX33" s="168"/>
      <c r="BY33" s="168"/>
      <c r="BZ33" s="48"/>
      <c r="CA33" s="48"/>
      <c r="CB33" s="48"/>
      <c r="CC33" s="167"/>
      <c r="CD33" s="137"/>
      <c r="CE33" s="171"/>
      <c r="CF33" s="172"/>
      <c r="CG33" s="165"/>
    </row>
    <row r="34" spans="1:85" s="138" customFormat="1" ht="15" customHeight="1">
      <c r="A34" s="48"/>
      <c r="B34" s="29"/>
      <c r="C34" s="168"/>
      <c r="D34" s="48"/>
      <c r="E34" s="29"/>
      <c r="F34" s="48"/>
      <c r="G34" s="48"/>
      <c r="H34" s="48"/>
      <c r="I34" s="48"/>
      <c r="J34" s="170"/>
      <c r="K34" s="170"/>
      <c r="L34" s="170"/>
      <c r="M34" s="170"/>
      <c r="N34" s="170"/>
      <c r="O34" s="170"/>
      <c r="P34" s="48"/>
      <c r="Q34" s="48"/>
      <c r="R34" s="170"/>
      <c r="S34" s="170"/>
      <c r="T34" s="170"/>
      <c r="U34" s="170"/>
      <c r="V34" s="170"/>
      <c r="W34" s="170"/>
      <c r="X34" s="173"/>
      <c r="Y34" s="167"/>
      <c r="Z34" s="48"/>
      <c r="AA34" s="48"/>
      <c r="AB34" s="174"/>
      <c r="AC34" s="174"/>
      <c r="AD34" s="174"/>
      <c r="AE34" s="174"/>
      <c r="AF34" s="174"/>
      <c r="AG34" s="174"/>
      <c r="AH34" s="174"/>
      <c r="AI34" s="174"/>
      <c r="AJ34" s="174"/>
      <c r="AK34" s="174"/>
      <c r="AL34" s="174"/>
      <c r="AM34" s="174"/>
      <c r="AN34" s="174"/>
      <c r="AO34" s="174"/>
      <c r="AP34" s="174"/>
      <c r="AQ34" s="174"/>
      <c r="AR34" s="174"/>
      <c r="AS34" s="174"/>
      <c r="AT34" s="174"/>
      <c r="AU34" s="174"/>
      <c r="AV34" s="174"/>
      <c r="AW34" s="174"/>
      <c r="AX34" s="174"/>
      <c r="AY34" s="174"/>
      <c r="AZ34" s="174"/>
      <c r="BA34" s="174"/>
      <c r="BB34" s="174"/>
      <c r="BC34" s="174"/>
      <c r="BD34" s="174"/>
      <c r="BE34" s="174"/>
      <c r="BF34" s="174"/>
      <c r="BG34" s="174"/>
      <c r="BH34" s="175"/>
      <c r="BI34" s="166"/>
      <c r="BJ34" s="167"/>
      <c r="BK34" s="168"/>
      <c r="BL34" s="56"/>
      <c r="BM34" s="168"/>
      <c r="BN34" s="169"/>
      <c r="BO34" s="168"/>
      <c r="BP34" s="168"/>
      <c r="BQ34" s="168"/>
      <c r="BR34" s="207"/>
      <c r="BS34" s="168"/>
      <c r="BT34" s="168"/>
      <c r="BU34" s="167"/>
      <c r="BV34" s="170"/>
      <c r="BW34" s="48"/>
      <c r="BX34" s="168"/>
      <c r="BY34" s="168"/>
      <c r="BZ34" s="48"/>
      <c r="CA34" s="48"/>
      <c r="CB34" s="48"/>
      <c r="CC34" s="167"/>
      <c r="CD34" s="137"/>
      <c r="CE34" s="171"/>
      <c r="CF34" s="172"/>
      <c r="CG34" s="165"/>
    </row>
    <row r="35" spans="1:85" s="138" customFormat="1" ht="15" customHeight="1">
      <c r="A35" s="48"/>
      <c r="B35" s="29"/>
      <c r="C35" s="168"/>
      <c r="D35" s="48"/>
      <c r="E35" s="29"/>
      <c r="F35" s="48"/>
      <c r="G35" s="48"/>
      <c r="H35" s="48"/>
      <c r="I35" s="48"/>
      <c r="J35" s="170"/>
      <c r="K35" s="170"/>
      <c r="L35" s="170"/>
      <c r="M35" s="170"/>
      <c r="N35" s="170"/>
      <c r="O35" s="170"/>
      <c r="P35" s="48"/>
      <c r="Q35" s="48"/>
      <c r="R35" s="170"/>
      <c r="S35" s="170"/>
      <c r="T35" s="170"/>
      <c r="U35" s="170"/>
      <c r="V35" s="170"/>
      <c r="W35" s="170"/>
      <c r="X35" s="173"/>
      <c r="Y35" s="167"/>
      <c r="Z35" s="48"/>
      <c r="AA35" s="48"/>
      <c r="AB35" s="174"/>
      <c r="AC35" s="174"/>
      <c r="AD35" s="174"/>
      <c r="AE35" s="174"/>
      <c r="AF35" s="174"/>
      <c r="AG35" s="174"/>
      <c r="AH35" s="174"/>
      <c r="AI35" s="174"/>
      <c r="AJ35" s="174"/>
      <c r="AK35" s="174"/>
      <c r="AL35" s="174"/>
      <c r="AM35" s="174"/>
      <c r="AN35" s="174"/>
      <c r="AO35" s="174"/>
      <c r="AP35" s="174"/>
      <c r="AQ35" s="174"/>
      <c r="AR35" s="174"/>
      <c r="AS35" s="174"/>
      <c r="AT35" s="174"/>
      <c r="AU35" s="174"/>
      <c r="AV35" s="174"/>
      <c r="AW35" s="174"/>
      <c r="AX35" s="174"/>
      <c r="AY35" s="174"/>
      <c r="AZ35" s="174"/>
      <c r="BA35" s="174"/>
      <c r="BB35" s="174"/>
      <c r="BC35" s="174"/>
      <c r="BD35" s="174"/>
      <c r="BE35" s="174"/>
      <c r="BF35" s="174"/>
      <c r="BG35" s="174"/>
      <c r="BH35" s="175"/>
      <c r="BI35" s="166"/>
      <c r="BJ35" s="167"/>
      <c r="BK35" s="168"/>
      <c r="BL35" s="56"/>
      <c r="BM35" s="168"/>
      <c r="BN35" s="169"/>
      <c r="BO35" s="168"/>
      <c r="BP35" s="168"/>
      <c r="BQ35" s="168"/>
      <c r="BR35" s="207"/>
      <c r="BS35" s="168"/>
      <c r="BT35" s="168"/>
      <c r="BU35" s="167"/>
      <c r="BV35" s="170"/>
      <c r="BW35" s="48"/>
      <c r="BX35" s="168"/>
      <c r="BY35" s="168"/>
      <c r="BZ35" s="48"/>
      <c r="CA35" s="48"/>
      <c r="CB35" s="48"/>
      <c r="CC35" s="167"/>
      <c r="CD35" s="137"/>
      <c r="CE35" s="171"/>
      <c r="CF35" s="172"/>
      <c r="CG35" s="165"/>
    </row>
    <row r="36" spans="1:85" s="138" customFormat="1" ht="15.6">
      <c r="C36" s="185"/>
      <c r="X36" s="186"/>
      <c r="BL36" s="187"/>
    </row>
    <row r="37" spans="1:85" s="138" customFormat="1" ht="15.6">
      <c r="C37" s="185"/>
      <c r="X37" s="186"/>
      <c r="BL37" s="187"/>
    </row>
    <row r="38" spans="1:85" s="138" customFormat="1" ht="15.6">
      <c r="C38" s="185"/>
      <c r="X38" s="186"/>
      <c r="BL38" s="187"/>
    </row>
    <row r="39" spans="1:85" s="138" customFormat="1" ht="15.6">
      <c r="C39" s="185"/>
      <c r="X39" s="186"/>
      <c r="BL39" s="187"/>
    </row>
  </sheetData>
  <autoFilter ref="A26:CH26" xr:uid="{0B3BE0A8-94D9-4943-B51D-CC52050FCF99}"/>
  <printOptions horizontalCentered="1"/>
  <pageMargins left="0.5" right="0.5" top="0.5" bottom="0.5" header="0.3" footer="0.3"/>
  <pageSetup scale="25" fitToHeight="0" orientation="landscape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0B835-2253-4498-8A19-9C5E237407C8}">
  <sheetPr>
    <tabColor theme="2" tint="-0.249977111117893"/>
    <pageSetUpPr fitToPage="1"/>
  </sheetPr>
  <dimension ref="A1:CH51"/>
  <sheetViews>
    <sheetView topLeftCell="A10" zoomScale="80" zoomScaleNormal="80" workbookViewId="0">
      <selection activeCell="A27" sqref="A27:XFD33"/>
    </sheetView>
  </sheetViews>
  <sheetFormatPr defaultColWidth="8.85546875" defaultRowHeight="14.45"/>
  <cols>
    <col min="1" max="1" width="29.140625" style="136" customWidth="1"/>
    <col min="2" max="2" width="7.28515625" style="136" hidden="1" customWidth="1"/>
    <col min="3" max="3" width="16.42578125" style="188" bestFit="1" customWidth="1"/>
    <col min="4" max="4" width="6.7109375" style="136" bestFit="1" customWidth="1"/>
    <col min="5" max="5" width="9.28515625" style="136" customWidth="1"/>
    <col min="6" max="6" width="11.28515625" style="136" bestFit="1" customWidth="1"/>
    <col min="7" max="7" width="12.7109375" style="136" bestFit="1" customWidth="1"/>
    <col min="8" max="15" width="0.85546875" style="136" hidden="1" customWidth="1"/>
    <col min="16" max="16" width="3.42578125" style="136" hidden="1" customWidth="1"/>
    <col min="17" max="17" width="22.140625" style="136" customWidth="1"/>
    <col min="18" max="21" width="2.85546875" style="136" hidden="1" customWidth="1"/>
    <col min="22" max="22" width="19.85546875" style="136" hidden="1" customWidth="1"/>
    <col min="23" max="23" width="1.42578125" style="136" hidden="1" customWidth="1"/>
    <col min="24" max="24" width="22.140625" style="189" customWidth="1"/>
    <col min="25" max="25" width="5.140625" style="136" hidden="1" customWidth="1"/>
    <col min="26" max="26" width="19" style="136" hidden="1" customWidth="1"/>
    <col min="27" max="27" width="14.140625" style="136" hidden="1" customWidth="1"/>
    <col min="28" max="28" width="7.42578125" style="136" hidden="1" customWidth="1"/>
    <col min="29" max="29" width="1.7109375" style="136" hidden="1" customWidth="1"/>
    <col min="30" max="30" width="7.42578125" style="136" hidden="1" customWidth="1"/>
    <col min="31" max="34" width="1" style="136" hidden="1" customWidth="1"/>
    <col min="35" max="35" width="9.42578125" style="136" hidden="1" customWidth="1"/>
    <col min="36" max="36" width="10.28515625" style="136" customWidth="1"/>
    <col min="37" max="37" width="18.140625" style="136" customWidth="1"/>
    <col min="38" max="38" width="10.42578125" style="136" hidden="1" customWidth="1"/>
    <col min="39" max="40" width="1.42578125" style="136" hidden="1" customWidth="1"/>
    <col min="41" max="58" width="2.7109375" style="136" hidden="1" customWidth="1"/>
    <col min="59" max="59" width="10.140625" style="136" bestFit="1" customWidth="1"/>
    <col min="60" max="60" width="12.7109375" style="136" bestFit="1" customWidth="1"/>
    <col min="61" max="61" width="9.42578125" style="136" bestFit="1" customWidth="1"/>
    <col min="62" max="62" width="12.42578125" style="136" bestFit="1" customWidth="1"/>
    <col min="63" max="63" width="17.140625" style="136" bestFit="1" customWidth="1"/>
    <col min="64" max="64" width="32.28515625" style="190" bestFit="1" customWidth="1"/>
    <col min="65" max="65" width="18" style="136" bestFit="1" customWidth="1"/>
    <col min="66" max="66" width="8.85546875" style="136"/>
    <col min="67" max="67" width="0.5703125" style="136" customWidth="1"/>
    <col min="68" max="68" width="10.7109375" style="136" bestFit="1" customWidth="1"/>
    <col min="69" max="69" width="1" style="136" customWidth="1"/>
    <col min="70" max="70" width="19.5703125" style="136" bestFit="1" customWidth="1"/>
    <col min="71" max="74" width="0.7109375" style="136" customWidth="1"/>
    <col min="75" max="80" width="0.5703125" style="136" customWidth="1"/>
    <col min="81" max="81" width="13.7109375" style="136" bestFit="1" customWidth="1"/>
    <col min="82" max="82" width="14.7109375" style="136" bestFit="1" customWidth="1"/>
    <col min="83" max="83" width="8.85546875" style="136"/>
    <col min="84" max="84" width="17.140625" style="136" bestFit="1" customWidth="1"/>
    <col min="85" max="16384" width="8.85546875" style="136"/>
  </cols>
  <sheetData>
    <row r="1" spans="1:85" ht="25.9">
      <c r="A1" s="132" t="s">
        <v>25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3"/>
      <c r="R1" s="132"/>
      <c r="S1" s="132"/>
      <c r="T1" s="132"/>
      <c r="U1" s="132"/>
      <c r="V1" s="132"/>
      <c r="W1" s="132"/>
      <c r="X1" s="134"/>
      <c r="Y1" s="6"/>
      <c r="Z1" s="6"/>
      <c r="AA1" s="2"/>
      <c r="AB1" s="26"/>
      <c r="AC1" s="26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7"/>
      <c r="BI1" s="3"/>
      <c r="BJ1" s="8"/>
      <c r="BK1" s="3"/>
      <c r="BL1" s="40"/>
      <c r="BM1" s="28"/>
      <c r="BN1" s="5"/>
      <c r="BO1" s="3"/>
      <c r="BP1" s="3"/>
      <c r="BQ1" s="3"/>
      <c r="BR1" s="200"/>
      <c r="BS1" s="3"/>
      <c r="BT1" s="5"/>
      <c r="BU1" s="8"/>
      <c r="BV1" s="5"/>
      <c r="BW1" s="5"/>
      <c r="BX1" s="3"/>
      <c r="BY1" s="5"/>
      <c r="BZ1" s="5"/>
      <c r="CA1" s="5"/>
      <c r="CB1" s="5"/>
      <c r="CC1" s="5"/>
      <c r="CD1" s="135"/>
      <c r="CE1" s="5"/>
      <c r="CF1" s="5"/>
      <c r="CG1" s="5"/>
    </row>
    <row r="2" spans="1:85" s="138" customFormat="1" ht="15" customHeight="1">
      <c r="A2" s="43" t="s">
        <v>26</v>
      </c>
      <c r="B2" s="44"/>
      <c r="C2" s="46" t="s">
        <v>397</v>
      </c>
      <c r="D2" s="44"/>
      <c r="E2" s="44"/>
      <c r="F2" s="44"/>
      <c r="G2" s="29"/>
      <c r="H2" s="29"/>
      <c r="I2" s="29"/>
      <c r="J2" s="29"/>
      <c r="K2" s="29"/>
      <c r="L2" s="29"/>
      <c r="M2" s="29"/>
      <c r="N2" s="29"/>
      <c r="O2" s="29"/>
      <c r="P2" s="29"/>
      <c r="Q2" s="137"/>
      <c r="R2" s="30"/>
      <c r="S2" s="30"/>
      <c r="T2" s="30"/>
      <c r="U2" s="30"/>
      <c r="V2" s="30"/>
      <c r="W2" s="30"/>
      <c r="X2" s="39"/>
      <c r="Y2" s="30"/>
      <c r="Z2" s="30"/>
      <c r="AA2" s="31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3"/>
      <c r="BI2" s="34"/>
      <c r="BJ2" s="35"/>
      <c r="BK2" s="34"/>
      <c r="BL2" s="41"/>
      <c r="BM2" s="36"/>
      <c r="BN2" s="37"/>
      <c r="BO2" s="34"/>
      <c r="BP2" s="34"/>
      <c r="BQ2" s="34"/>
      <c r="BR2" s="205"/>
      <c r="BS2" s="34"/>
      <c r="BT2" s="37"/>
      <c r="BU2" s="35"/>
      <c r="BV2" s="37"/>
      <c r="BW2" s="37"/>
      <c r="BX2" s="34"/>
      <c r="BY2" s="37"/>
      <c r="BZ2" s="37"/>
      <c r="CA2" s="37"/>
      <c r="CB2" s="37"/>
      <c r="CC2" s="37"/>
      <c r="CD2" s="137"/>
      <c r="CE2" s="37"/>
      <c r="CF2" s="37"/>
      <c r="CG2" s="37"/>
    </row>
    <row r="3" spans="1:85" s="138" customFormat="1" ht="15" customHeight="1">
      <c r="A3" s="47" t="s">
        <v>27</v>
      </c>
      <c r="B3" s="29"/>
      <c r="C3" s="46" t="s">
        <v>387</v>
      </c>
      <c r="D3" s="48"/>
      <c r="E3" s="48"/>
      <c r="F3" s="48"/>
      <c r="G3" s="29"/>
      <c r="H3" s="29"/>
      <c r="I3" s="29"/>
      <c r="J3" s="29"/>
      <c r="K3" s="29"/>
      <c r="L3" s="29"/>
      <c r="M3" s="29"/>
      <c r="N3" s="29"/>
      <c r="O3" s="29"/>
      <c r="P3" s="29"/>
      <c r="Q3" s="137"/>
      <c r="R3" s="30"/>
      <c r="S3" s="30"/>
      <c r="T3" s="30"/>
      <c r="U3" s="30"/>
      <c r="V3" s="30"/>
      <c r="W3" s="30"/>
      <c r="X3" s="39"/>
      <c r="Y3" s="30"/>
      <c r="Z3" s="30"/>
      <c r="AA3" s="31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3"/>
      <c r="BI3" s="34"/>
      <c r="BJ3" s="35"/>
      <c r="BK3" s="34"/>
      <c r="BL3" s="41"/>
      <c r="BM3" s="36"/>
      <c r="BN3" s="37"/>
      <c r="BO3" s="34"/>
      <c r="BP3" s="34"/>
      <c r="BQ3" s="34"/>
      <c r="BR3" s="205"/>
      <c r="BS3" s="34"/>
      <c r="BT3" s="37"/>
      <c r="BU3" s="35"/>
      <c r="BV3" s="37"/>
      <c r="BW3" s="37"/>
      <c r="BX3" s="34"/>
      <c r="BY3" s="37"/>
      <c r="BZ3" s="37"/>
      <c r="CA3" s="37"/>
      <c r="CB3" s="37"/>
      <c r="CC3" s="37"/>
      <c r="CD3" s="137"/>
      <c r="CE3" s="37"/>
      <c r="CF3" s="37"/>
      <c r="CG3" s="37"/>
    </row>
    <row r="4" spans="1:85" s="138" customFormat="1" ht="15" customHeight="1">
      <c r="A4" s="43" t="s">
        <v>29</v>
      </c>
      <c r="B4" s="45"/>
      <c r="C4" s="46"/>
      <c r="D4" s="29"/>
      <c r="E4" s="29"/>
      <c r="F4" s="29"/>
      <c r="G4" s="29"/>
      <c r="H4" s="29"/>
      <c r="I4" s="29"/>
      <c r="J4" s="44"/>
      <c r="K4" s="44"/>
      <c r="L4" s="44"/>
      <c r="M4" s="44"/>
      <c r="N4" s="44"/>
      <c r="O4" s="44"/>
      <c r="P4" s="44"/>
      <c r="Q4" s="137"/>
      <c r="R4" s="49"/>
      <c r="S4" s="49"/>
      <c r="T4" s="49"/>
      <c r="U4" s="49"/>
      <c r="V4" s="49"/>
      <c r="W4" s="49"/>
      <c r="X4" s="39"/>
      <c r="Y4" s="49"/>
      <c r="Z4" s="49"/>
      <c r="AA4" s="31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50"/>
      <c r="BI4" s="34"/>
      <c r="BJ4" s="35"/>
      <c r="BK4" s="34"/>
      <c r="BL4" s="41"/>
      <c r="BM4" s="36"/>
      <c r="BN4" s="37"/>
      <c r="BO4" s="34"/>
      <c r="BP4" s="34"/>
      <c r="BQ4" s="34"/>
      <c r="BR4" s="205"/>
      <c r="BS4" s="34"/>
      <c r="BT4" s="37"/>
      <c r="BU4" s="35"/>
      <c r="BV4" s="37"/>
      <c r="BW4" s="37"/>
      <c r="BX4" s="34"/>
      <c r="BY4" s="37"/>
      <c r="BZ4" s="37"/>
      <c r="CA4" s="37"/>
      <c r="CB4" s="37"/>
      <c r="CC4" s="37"/>
      <c r="CD4" s="137"/>
      <c r="CE4" s="37"/>
      <c r="CF4" s="37"/>
      <c r="CG4" s="37"/>
    </row>
    <row r="5" spans="1:85" s="138" customFormat="1" ht="15" customHeight="1">
      <c r="A5" s="43" t="s">
        <v>30</v>
      </c>
      <c r="B5" s="45"/>
      <c r="C5" s="139">
        <v>1</v>
      </c>
      <c r="D5" s="29"/>
      <c r="E5" s="29"/>
      <c r="F5" s="29"/>
      <c r="G5" s="29"/>
      <c r="H5" s="29"/>
      <c r="I5" s="29"/>
      <c r="J5" s="44"/>
      <c r="K5" s="44"/>
      <c r="L5" s="44"/>
      <c r="M5" s="44"/>
      <c r="N5" s="44"/>
      <c r="O5" s="44"/>
      <c r="P5" s="44"/>
      <c r="Q5" s="137"/>
      <c r="R5" s="49"/>
      <c r="S5" s="49"/>
      <c r="T5" s="49"/>
      <c r="U5" s="49"/>
      <c r="V5" s="49"/>
      <c r="W5" s="49"/>
      <c r="X5" s="39"/>
      <c r="Y5" s="49"/>
      <c r="Z5" s="49"/>
      <c r="AA5" s="31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50"/>
      <c r="BI5" s="34"/>
      <c r="BJ5" s="35"/>
      <c r="BK5" s="34"/>
      <c r="BL5" s="41"/>
      <c r="BM5" s="36"/>
      <c r="BN5" s="37"/>
      <c r="BO5" s="34"/>
      <c r="BP5" s="34"/>
      <c r="BQ5" s="34"/>
      <c r="BR5" s="205"/>
      <c r="BS5" s="34"/>
      <c r="BT5" s="37"/>
      <c r="BU5" s="35"/>
      <c r="BV5" s="37"/>
      <c r="BW5" s="37"/>
      <c r="BX5" s="34"/>
      <c r="BY5" s="37"/>
      <c r="BZ5" s="37"/>
      <c r="CA5" s="37"/>
      <c r="CB5" s="37"/>
      <c r="CC5" s="37"/>
      <c r="CD5" s="137"/>
      <c r="CE5" s="37"/>
      <c r="CF5" s="37"/>
      <c r="CG5" s="37"/>
    </row>
    <row r="6" spans="1:85" s="138" customFormat="1" ht="15" customHeight="1">
      <c r="A6" s="43"/>
      <c r="B6" s="45"/>
      <c r="C6" s="139"/>
      <c r="D6" s="29"/>
      <c r="E6" s="29"/>
      <c r="F6" s="29"/>
      <c r="G6" s="29"/>
      <c r="H6" s="29"/>
      <c r="I6" s="29"/>
      <c r="J6" s="44"/>
      <c r="K6" s="44"/>
      <c r="L6" s="44"/>
      <c r="M6" s="44"/>
      <c r="N6" s="44"/>
      <c r="O6" s="44"/>
      <c r="P6" s="44"/>
      <c r="Q6" s="137"/>
      <c r="R6" s="49"/>
      <c r="S6" s="49"/>
      <c r="T6" s="49"/>
      <c r="U6" s="49"/>
      <c r="V6" s="49"/>
      <c r="W6" s="49"/>
      <c r="X6" s="39"/>
      <c r="Y6" s="49"/>
      <c r="Z6" s="49"/>
      <c r="AA6" s="31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50"/>
      <c r="BI6" s="34"/>
      <c r="BJ6" s="35"/>
      <c r="BK6" s="34"/>
      <c r="BL6" s="41"/>
      <c r="BM6" s="36"/>
      <c r="BN6" s="37"/>
      <c r="BO6" s="34"/>
      <c r="BP6" s="34"/>
      <c r="BQ6" s="34"/>
      <c r="BR6" s="205"/>
      <c r="BS6" s="34"/>
      <c r="BT6" s="37"/>
      <c r="BU6" s="35"/>
      <c r="BV6" s="37"/>
      <c r="BW6" s="37"/>
      <c r="BX6" s="34"/>
      <c r="BY6" s="37"/>
      <c r="BZ6" s="37"/>
      <c r="CA6" s="37"/>
      <c r="CB6" s="37"/>
      <c r="CC6" s="37"/>
      <c r="CD6" s="137"/>
      <c r="CE6" s="37"/>
      <c r="CF6" s="37"/>
      <c r="CG6" s="37"/>
    </row>
    <row r="7" spans="1:85" s="138" customFormat="1" ht="15" customHeight="1" thickBot="1">
      <c r="A7" s="43"/>
      <c r="B7" s="45"/>
      <c r="C7" s="139"/>
      <c r="D7" s="29"/>
      <c r="E7" s="29"/>
      <c r="F7" s="29"/>
      <c r="G7" s="29"/>
      <c r="H7" s="29"/>
      <c r="I7" s="29"/>
      <c r="J7" s="44"/>
      <c r="K7" s="44"/>
      <c r="L7" s="44"/>
      <c r="M7" s="44"/>
      <c r="N7" s="44"/>
      <c r="O7" s="44"/>
      <c r="P7" s="44"/>
      <c r="Q7" s="137"/>
      <c r="R7" s="49"/>
      <c r="S7" s="49"/>
      <c r="T7" s="49"/>
      <c r="U7" s="49"/>
      <c r="V7" s="49"/>
      <c r="W7" s="49"/>
      <c r="X7" s="39"/>
      <c r="Y7" s="49"/>
      <c r="Z7" s="49"/>
      <c r="AA7" s="31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50"/>
      <c r="BI7" s="34"/>
      <c r="BJ7" s="35"/>
      <c r="BK7" s="34"/>
      <c r="BL7" s="41"/>
      <c r="BM7" s="36"/>
      <c r="BN7" s="37"/>
      <c r="BO7" s="34"/>
      <c r="BP7" s="34"/>
      <c r="BQ7" s="34"/>
      <c r="BR7" s="205"/>
      <c r="BS7" s="34"/>
      <c r="BT7" s="37"/>
      <c r="BU7" s="35"/>
      <c r="BV7" s="37"/>
      <c r="BW7" s="37"/>
      <c r="BX7" s="34"/>
      <c r="BY7" s="37"/>
      <c r="BZ7" s="37"/>
      <c r="CA7" s="37"/>
      <c r="CB7" s="37"/>
      <c r="CC7" s="37"/>
      <c r="CD7" s="137"/>
      <c r="CE7" s="37"/>
      <c r="CF7" s="37"/>
      <c r="CG7" s="37"/>
    </row>
    <row r="8" spans="1:85" s="138" customFormat="1" ht="15" customHeight="1" thickBot="1">
      <c r="A8" s="140" t="s">
        <v>31</v>
      </c>
      <c r="B8" s="141"/>
      <c r="C8" s="142">
        <v>88.19</v>
      </c>
      <c r="D8" s="29"/>
      <c r="E8" s="29"/>
      <c r="F8" s="29"/>
      <c r="G8" s="29"/>
      <c r="H8" s="29"/>
      <c r="I8" s="29"/>
      <c r="J8" s="44"/>
      <c r="K8" s="44"/>
      <c r="L8" s="44"/>
      <c r="M8" s="44"/>
      <c r="N8" s="44"/>
      <c r="O8" s="44"/>
      <c r="P8" s="44"/>
      <c r="Q8" s="137"/>
      <c r="R8" s="49"/>
      <c r="S8" s="49"/>
      <c r="T8" s="49"/>
      <c r="U8" s="49"/>
      <c r="V8" s="49"/>
      <c r="W8" s="49"/>
      <c r="X8" s="39"/>
      <c r="Y8" s="49"/>
      <c r="Z8" s="49"/>
      <c r="AA8" s="31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50"/>
      <c r="BI8" s="34"/>
      <c r="BJ8" s="35"/>
      <c r="BK8" s="34"/>
      <c r="BL8" s="41"/>
      <c r="BM8" s="36"/>
      <c r="BN8" s="37"/>
      <c r="BO8" s="34"/>
      <c r="BP8" s="34"/>
      <c r="BQ8" s="34"/>
      <c r="BR8" s="205"/>
      <c r="BS8" s="34"/>
      <c r="BT8" s="37"/>
      <c r="BU8" s="35"/>
      <c r="BV8" s="37"/>
      <c r="BW8" s="37"/>
      <c r="BX8" s="34"/>
      <c r="BY8" s="37"/>
      <c r="BZ8" s="37"/>
      <c r="CA8" s="37"/>
      <c r="CB8" s="37"/>
      <c r="CC8" s="37"/>
      <c r="CD8" s="137"/>
      <c r="CE8" s="37"/>
      <c r="CF8" s="37"/>
      <c r="CG8" s="37"/>
    </row>
    <row r="9" spans="1:85" s="138" customFormat="1" ht="15" customHeight="1">
      <c r="A9" s="137"/>
      <c r="B9" s="45"/>
      <c r="C9" s="49"/>
      <c r="D9" s="29"/>
      <c r="E9" s="29"/>
      <c r="F9" s="29"/>
      <c r="G9" s="29"/>
      <c r="H9" s="29"/>
      <c r="I9" s="29"/>
      <c r="J9" s="44"/>
      <c r="K9" s="44"/>
      <c r="L9" s="44"/>
      <c r="M9" s="44"/>
      <c r="N9" s="44"/>
      <c r="O9" s="44"/>
      <c r="P9" s="44"/>
      <c r="Q9" s="137"/>
      <c r="R9" s="143"/>
      <c r="S9" s="143"/>
      <c r="T9" s="143"/>
      <c r="U9" s="143"/>
      <c r="V9" s="143"/>
      <c r="W9" s="143"/>
      <c r="X9" s="144"/>
      <c r="Y9" s="49"/>
      <c r="Z9" s="49"/>
      <c r="AA9" s="31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50"/>
      <c r="BI9" s="34"/>
      <c r="BJ9" s="35"/>
      <c r="BK9" s="34"/>
      <c r="BL9" s="41"/>
      <c r="BM9" s="36"/>
      <c r="BN9" s="37"/>
      <c r="BO9" s="34"/>
      <c r="BP9" s="34"/>
      <c r="BQ9" s="34"/>
      <c r="BR9" s="205"/>
      <c r="BS9" s="34"/>
      <c r="BT9" s="37"/>
      <c r="BU9" s="35"/>
      <c r="BV9" s="37"/>
      <c r="BW9" s="37"/>
      <c r="BX9" s="34"/>
      <c r="BY9" s="37"/>
      <c r="BZ9" s="37"/>
      <c r="CA9" s="37"/>
      <c r="CB9" s="37"/>
      <c r="CC9" s="37"/>
      <c r="CD9" s="137"/>
      <c r="CE9" s="37"/>
      <c r="CF9" s="37"/>
      <c r="CG9" s="37"/>
    </row>
    <row r="10" spans="1:85" s="138" customFormat="1" ht="15" customHeight="1">
      <c r="A10" s="137" t="s">
        <v>388</v>
      </c>
      <c r="B10" s="45"/>
      <c r="C10" s="49">
        <v>0</v>
      </c>
      <c r="D10" s="29"/>
      <c r="E10" s="29"/>
      <c r="F10" s="29"/>
      <c r="G10" s="29"/>
      <c r="H10" s="29"/>
      <c r="I10" s="29"/>
      <c r="J10" s="44"/>
      <c r="K10" s="44"/>
      <c r="L10" s="44"/>
      <c r="M10" s="44"/>
      <c r="N10" s="44"/>
      <c r="O10" s="44"/>
      <c r="P10" s="44"/>
      <c r="Q10" s="137"/>
      <c r="R10" s="143"/>
      <c r="S10" s="143"/>
      <c r="T10" s="143"/>
      <c r="U10" s="143"/>
      <c r="V10" s="143"/>
      <c r="W10" s="143"/>
      <c r="X10" s="144"/>
      <c r="Y10" s="49"/>
      <c r="Z10" s="49"/>
      <c r="AA10" s="31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50"/>
      <c r="BI10" s="34"/>
      <c r="BJ10" s="35"/>
      <c r="BK10" s="34"/>
      <c r="BL10" s="41"/>
      <c r="BM10" s="36"/>
      <c r="BN10" s="37"/>
      <c r="BO10" s="34"/>
      <c r="BP10" s="34"/>
      <c r="BQ10" s="34"/>
      <c r="BR10" s="205"/>
      <c r="BS10" s="34"/>
      <c r="BT10" s="37"/>
      <c r="BU10" s="35"/>
      <c r="BV10" s="37"/>
      <c r="BW10" s="37"/>
      <c r="BX10" s="34"/>
      <c r="BY10" s="37"/>
      <c r="BZ10" s="37"/>
      <c r="CA10" s="37"/>
      <c r="CB10" s="37"/>
      <c r="CC10" s="37"/>
      <c r="CD10" s="137"/>
      <c r="CE10" s="37"/>
      <c r="CF10" s="37"/>
      <c r="CG10" s="37"/>
    </row>
    <row r="11" spans="1:85" s="138" customFormat="1" ht="15" customHeight="1">
      <c r="A11" s="137" t="s">
        <v>32</v>
      </c>
      <c r="B11" s="45"/>
      <c r="C11" s="49">
        <v>0</v>
      </c>
      <c r="D11" s="29"/>
      <c r="E11" s="29"/>
      <c r="F11" s="29"/>
      <c r="G11" s="29"/>
      <c r="H11" s="29"/>
      <c r="I11" s="29"/>
      <c r="J11" s="44"/>
      <c r="K11" s="44"/>
      <c r="L11" s="44"/>
      <c r="M11" s="44"/>
      <c r="N11" s="44"/>
      <c r="O11" s="44"/>
      <c r="P11" s="44"/>
      <c r="Q11" s="137"/>
      <c r="R11" s="145"/>
      <c r="S11" s="145"/>
      <c r="T11" s="145"/>
      <c r="U11" s="145"/>
      <c r="V11" s="145"/>
      <c r="W11" s="145"/>
      <c r="X11" s="144"/>
      <c r="Y11" s="49"/>
      <c r="Z11" s="49"/>
      <c r="AA11" s="31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50"/>
      <c r="BI11" s="34"/>
      <c r="BJ11" s="35"/>
      <c r="BK11" s="34"/>
      <c r="BL11" s="41"/>
      <c r="BM11" s="36"/>
      <c r="BN11" s="37"/>
      <c r="BO11" s="34"/>
      <c r="BP11" s="34"/>
      <c r="BQ11" s="34"/>
      <c r="BR11" s="205"/>
      <c r="BS11" s="34"/>
      <c r="BT11" s="37"/>
      <c r="BU11" s="35"/>
      <c r="BV11" s="37"/>
      <c r="BW11" s="37"/>
      <c r="BX11" s="34"/>
      <c r="BY11" s="37"/>
      <c r="BZ11" s="37"/>
      <c r="CA11" s="37"/>
      <c r="CB11" s="37"/>
      <c r="CC11" s="37"/>
      <c r="CD11" s="137"/>
      <c r="CE11" s="37"/>
      <c r="CF11" s="37"/>
      <c r="CG11" s="37"/>
    </row>
    <row r="12" spans="1:85" s="138" customFormat="1" ht="15" customHeight="1">
      <c r="A12" s="137" t="s">
        <v>33</v>
      </c>
      <c r="B12" s="45"/>
      <c r="C12" s="49">
        <v>18.239999999999998</v>
      </c>
      <c r="D12" s="29"/>
      <c r="E12" s="29"/>
      <c r="F12" s="29"/>
      <c r="G12" s="29"/>
      <c r="H12" s="29"/>
      <c r="I12" s="29"/>
      <c r="J12" s="44"/>
      <c r="K12" s="44"/>
      <c r="L12" s="44"/>
      <c r="M12" s="44"/>
      <c r="N12" s="44"/>
      <c r="O12" s="44"/>
      <c r="P12" s="44"/>
      <c r="Q12" s="137"/>
      <c r="R12" s="145"/>
      <c r="S12" s="145"/>
      <c r="T12" s="145"/>
      <c r="U12" s="145"/>
      <c r="V12" s="145"/>
      <c r="W12" s="145"/>
      <c r="X12" s="144"/>
      <c r="Y12" s="49"/>
      <c r="Z12" s="49"/>
      <c r="AA12" s="31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50"/>
      <c r="BI12" s="34"/>
      <c r="BJ12" s="35"/>
      <c r="BK12" s="34"/>
      <c r="BL12" s="41"/>
      <c r="BM12" s="36"/>
      <c r="BN12" s="37"/>
      <c r="BO12" s="34"/>
      <c r="BP12" s="34"/>
      <c r="BQ12" s="34"/>
      <c r="BR12" s="205"/>
      <c r="BS12" s="34"/>
      <c r="BT12" s="37"/>
      <c r="BU12" s="35"/>
      <c r="BV12" s="37"/>
      <c r="BW12" s="37"/>
      <c r="BX12" s="34"/>
      <c r="BY12" s="37"/>
      <c r="BZ12" s="37"/>
      <c r="CA12" s="37"/>
      <c r="CB12" s="37"/>
      <c r="CC12" s="37"/>
      <c r="CD12" s="137"/>
      <c r="CE12" s="37"/>
      <c r="CF12" s="37"/>
      <c r="CG12" s="37"/>
    </row>
    <row r="13" spans="1:85" s="138" customFormat="1" ht="15" customHeight="1">
      <c r="A13" s="137" t="s">
        <v>34</v>
      </c>
      <c r="B13" s="45"/>
      <c r="C13" s="49">
        <v>69.95</v>
      </c>
      <c r="D13" s="29"/>
      <c r="E13" s="29"/>
      <c r="F13" s="29"/>
      <c r="G13" s="29"/>
      <c r="H13" s="29"/>
      <c r="I13" s="29"/>
      <c r="J13" s="44"/>
      <c r="K13" s="44"/>
      <c r="L13" s="44"/>
      <c r="M13" s="44"/>
      <c r="N13" s="44"/>
      <c r="O13" s="44"/>
      <c r="P13" s="44"/>
      <c r="Q13" s="137"/>
      <c r="R13" s="143"/>
      <c r="S13" s="143"/>
      <c r="T13" s="143"/>
      <c r="U13" s="143"/>
      <c r="V13" s="143"/>
      <c r="W13" s="143"/>
      <c r="X13" s="144"/>
      <c r="Y13" s="49"/>
      <c r="Z13" s="49"/>
      <c r="AA13" s="31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50"/>
      <c r="BI13" s="34"/>
      <c r="BJ13" s="35"/>
      <c r="BK13" s="34"/>
      <c r="BL13" s="41"/>
      <c r="BM13" s="36"/>
      <c r="BN13" s="37"/>
      <c r="BO13" s="34"/>
      <c r="BP13" s="34"/>
      <c r="BQ13" s="34"/>
      <c r="BR13" s="205"/>
      <c r="BS13" s="34"/>
      <c r="BT13" s="37"/>
      <c r="BU13" s="35"/>
      <c r="BV13" s="37"/>
      <c r="BW13" s="37"/>
      <c r="BX13" s="34"/>
      <c r="BY13" s="37"/>
      <c r="BZ13" s="37"/>
      <c r="CA13" s="37"/>
      <c r="CB13" s="37"/>
      <c r="CC13" s="37"/>
      <c r="CD13" s="137"/>
      <c r="CE13" s="37"/>
      <c r="CF13" s="37"/>
      <c r="CG13" s="37"/>
    </row>
    <row r="14" spans="1:85" s="138" customFormat="1" ht="15" customHeight="1">
      <c r="A14" s="137" t="s">
        <v>35</v>
      </c>
      <c r="B14" s="45"/>
      <c r="C14" s="49">
        <v>0</v>
      </c>
      <c r="D14" s="29"/>
      <c r="E14" s="29"/>
      <c r="F14" s="29"/>
      <c r="G14" s="29"/>
      <c r="H14" s="29"/>
      <c r="I14" s="29"/>
      <c r="J14" s="44"/>
      <c r="K14" s="44"/>
      <c r="L14" s="44"/>
      <c r="M14" s="44"/>
      <c r="N14" s="44"/>
      <c r="O14" s="44"/>
      <c r="P14" s="44"/>
      <c r="Q14" s="137"/>
      <c r="R14" s="49"/>
      <c r="S14" s="49"/>
      <c r="T14" s="49"/>
      <c r="U14" s="49"/>
      <c r="V14" s="49"/>
      <c r="W14" s="49"/>
      <c r="X14" s="39"/>
      <c r="Y14" s="49"/>
      <c r="Z14" s="49"/>
      <c r="AA14" s="31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50"/>
      <c r="BI14" s="34"/>
      <c r="BJ14" s="35"/>
      <c r="BK14" s="34"/>
      <c r="BL14" s="41"/>
      <c r="BM14" s="36"/>
      <c r="BN14" s="37"/>
      <c r="BO14" s="34"/>
      <c r="BP14" s="34"/>
      <c r="BQ14" s="34"/>
      <c r="BR14" s="205"/>
      <c r="BS14" s="34"/>
      <c r="BT14" s="37"/>
      <c r="BU14" s="35"/>
      <c r="BV14" s="37"/>
      <c r="BW14" s="37"/>
      <c r="BX14" s="34"/>
      <c r="BY14" s="37"/>
      <c r="BZ14" s="37"/>
      <c r="CA14" s="37"/>
      <c r="CB14" s="37"/>
      <c r="CC14" s="37"/>
      <c r="CD14" s="137"/>
      <c r="CE14" s="37"/>
      <c r="CF14" s="37"/>
      <c r="CG14" s="37"/>
    </row>
    <row r="15" spans="1:85" s="138" customFormat="1" ht="15" customHeight="1">
      <c r="A15" s="137" t="s">
        <v>36</v>
      </c>
      <c r="B15" s="49"/>
      <c r="C15" s="49">
        <v>0</v>
      </c>
      <c r="D15" s="29"/>
      <c r="E15" s="29"/>
      <c r="F15" s="29"/>
      <c r="G15" s="29"/>
      <c r="H15" s="29"/>
      <c r="I15" s="29"/>
      <c r="J15" s="44"/>
      <c r="K15" s="44"/>
      <c r="L15" s="44"/>
      <c r="M15" s="44"/>
      <c r="N15" s="44"/>
      <c r="O15" s="44"/>
      <c r="P15" s="44"/>
      <c r="Q15" s="137"/>
      <c r="R15" s="49"/>
      <c r="S15" s="49"/>
      <c r="T15" s="49"/>
      <c r="U15" s="49"/>
      <c r="V15" s="49"/>
      <c r="W15" s="49"/>
      <c r="X15" s="39"/>
      <c r="Y15" s="49"/>
      <c r="Z15" s="49"/>
      <c r="AA15" s="31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50"/>
      <c r="BI15" s="34"/>
      <c r="BJ15" s="35"/>
      <c r="BK15" s="34"/>
      <c r="BL15" s="41"/>
      <c r="BM15" s="36"/>
      <c r="BN15" s="37"/>
      <c r="BO15" s="34"/>
      <c r="BP15" s="34"/>
      <c r="BQ15" s="34"/>
      <c r="BR15" s="205"/>
      <c r="BS15" s="34"/>
      <c r="BT15" s="37"/>
      <c r="BU15" s="35"/>
      <c r="BV15" s="37"/>
      <c r="BW15" s="37"/>
      <c r="BX15" s="34"/>
      <c r="BY15" s="37"/>
      <c r="BZ15" s="37"/>
      <c r="CA15" s="37"/>
      <c r="CB15" s="37"/>
      <c r="CC15" s="37"/>
      <c r="CD15" s="137"/>
      <c r="CE15" s="37"/>
      <c r="CF15" s="37"/>
      <c r="CG15" s="37"/>
    </row>
    <row r="16" spans="1:85" s="138" customFormat="1" ht="15" customHeight="1">
      <c r="A16" s="137" t="s">
        <v>37</v>
      </c>
      <c r="B16" s="49"/>
      <c r="C16" s="49">
        <v>0</v>
      </c>
      <c r="D16" s="29"/>
      <c r="E16" s="29"/>
      <c r="F16" s="29"/>
      <c r="G16" s="29"/>
      <c r="H16" s="29"/>
      <c r="I16" s="29"/>
      <c r="J16" s="44"/>
      <c r="K16" s="44"/>
      <c r="L16" s="44"/>
      <c r="M16" s="44"/>
      <c r="N16" s="44"/>
      <c r="O16" s="44"/>
      <c r="P16" s="44"/>
      <c r="Q16" s="137"/>
      <c r="R16" s="49"/>
      <c r="S16" s="49"/>
      <c r="T16" s="49"/>
      <c r="U16" s="49"/>
      <c r="V16" s="49"/>
      <c r="W16" s="49"/>
      <c r="X16" s="39"/>
      <c r="Y16" s="49"/>
      <c r="Z16" s="49"/>
      <c r="AA16" s="31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50"/>
      <c r="BI16" s="34"/>
      <c r="BJ16" s="35"/>
      <c r="BK16" s="34"/>
      <c r="BL16" s="41"/>
      <c r="BM16" s="36"/>
      <c r="BN16" s="37"/>
      <c r="BO16" s="34"/>
      <c r="BP16" s="34"/>
      <c r="BQ16" s="34"/>
      <c r="BR16" s="205"/>
      <c r="BS16" s="34"/>
      <c r="BT16" s="37"/>
      <c r="BU16" s="35"/>
      <c r="BV16" s="37"/>
      <c r="BW16" s="37"/>
      <c r="BX16" s="34"/>
      <c r="BY16" s="37"/>
      <c r="BZ16" s="37"/>
      <c r="CA16" s="37"/>
      <c r="CB16" s="37"/>
      <c r="CC16" s="37"/>
      <c r="CD16" s="137"/>
      <c r="CE16" s="37"/>
      <c r="CF16" s="37"/>
      <c r="CG16" s="37"/>
    </row>
    <row r="17" spans="1:85" s="138" customFormat="1" ht="15" customHeight="1">
      <c r="A17" s="137" t="s">
        <v>38</v>
      </c>
      <c r="B17" s="49"/>
      <c r="C17" s="49">
        <v>0</v>
      </c>
      <c r="D17" s="29"/>
      <c r="E17" s="29"/>
      <c r="F17" s="29"/>
      <c r="G17" s="29"/>
      <c r="H17" s="29"/>
      <c r="I17" s="29"/>
      <c r="J17" s="44"/>
      <c r="K17" s="44"/>
      <c r="L17" s="44"/>
      <c r="M17" s="44"/>
      <c r="N17" s="44"/>
      <c r="O17" s="44"/>
      <c r="P17" s="44"/>
      <c r="Q17" s="137"/>
      <c r="R17" s="49"/>
      <c r="S17" s="49"/>
      <c r="T17" s="49"/>
      <c r="U17" s="49"/>
      <c r="V17" s="49"/>
      <c r="W17" s="49"/>
      <c r="X17" s="39"/>
      <c r="Y17" s="49"/>
      <c r="Z17" s="49"/>
      <c r="AA17" s="31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50"/>
      <c r="BI17" s="34"/>
      <c r="BJ17" s="35"/>
      <c r="BK17" s="34"/>
      <c r="BL17" s="41"/>
      <c r="BM17" s="36"/>
      <c r="BN17" s="37"/>
      <c r="BO17" s="34"/>
      <c r="BP17" s="34"/>
      <c r="BQ17" s="34"/>
      <c r="BR17" s="205"/>
      <c r="BS17" s="34"/>
      <c r="BT17" s="37"/>
      <c r="BU17" s="35"/>
      <c r="BV17" s="37"/>
      <c r="BW17" s="37"/>
      <c r="BX17" s="34"/>
      <c r="BY17" s="37"/>
      <c r="BZ17" s="37"/>
      <c r="CA17" s="37"/>
      <c r="CB17" s="37"/>
      <c r="CC17" s="37"/>
      <c r="CD17" s="137"/>
      <c r="CE17" s="37"/>
      <c r="CF17" s="37"/>
      <c r="CG17" s="37"/>
    </row>
    <row r="18" spans="1:85" s="138" customFormat="1" ht="15" customHeight="1">
      <c r="A18" s="137" t="s">
        <v>39</v>
      </c>
      <c r="B18" s="49"/>
      <c r="C18" s="49">
        <v>0</v>
      </c>
      <c r="D18" s="29"/>
      <c r="E18" s="29"/>
      <c r="F18" s="29"/>
      <c r="G18" s="29"/>
      <c r="H18" s="29"/>
      <c r="I18" s="29"/>
      <c r="J18" s="44"/>
      <c r="K18" s="44"/>
      <c r="L18" s="44"/>
      <c r="M18" s="44"/>
      <c r="N18" s="44"/>
      <c r="O18" s="44"/>
      <c r="P18" s="44"/>
      <c r="Q18" s="137"/>
      <c r="R18" s="49"/>
      <c r="S18" s="49"/>
      <c r="T18" s="49"/>
      <c r="U18" s="49"/>
      <c r="V18" s="49"/>
      <c r="W18" s="49"/>
      <c r="X18" s="39"/>
      <c r="Y18" s="49"/>
      <c r="Z18" s="49"/>
      <c r="AA18" s="31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50"/>
      <c r="BI18" s="34"/>
      <c r="BJ18" s="35"/>
      <c r="BK18" s="34"/>
      <c r="BL18" s="41"/>
      <c r="BM18" s="36"/>
      <c r="BN18" s="37"/>
      <c r="BO18" s="34"/>
      <c r="BP18" s="34"/>
      <c r="BQ18" s="34"/>
      <c r="BR18" s="205"/>
      <c r="BS18" s="34"/>
      <c r="BT18" s="37"/>
      <c r="BU18" s="35"/>
      <c r="BV18" s="37"/>
      <c r="BW18" s="37"/>
      <c r="BX18" s="34"/>
      <c r="BY18" s="37"/>
      <c r="BZ18" s="37"/>
      <c r="CA18" s="37"/>
      <c r="CB18" s="37"/>
      <c r="CC18" s="37"/>
      <c r="CD18" s="137"/>
      <c r="CE18" s="37"/>
      <c r="CF18" s="37"/>
      <c r="CG18" s="37"/>
    </row>
    <row r="19" spans="1:85" s="138" customFormat="1" ht="15" customHeight="1">
      <c r="A19" s="137" t="s">
        <v>40</v>
      </c>
      <c r="B19" s="49"/>
      <c r="C19" s="49">
        <v>0</v>
      </c>
      <c r="D19" s="29"/>
      <c r="E19" s="29"/>
      <c r="F19" s="29"/>
      <c r="G19" s="29"/>
      <c r="H19" s="29"/>
      <c r="I19" s="29"/>
      <c r="J19" s="44"/>
      <c r="K19" s="44"/>
      <c r="L19" s="44"/>
      <c r="M19" s="44"/>
      <c r="N19" s="44"/>
      <c r="O19" s="44"/>
      <c r="P19" s="44"/>
      <c r="Q19" s="137"/>
      <c r="R19" s="49"/>
      <c r="S19" s="49"/>
      <c r="T19" s="49"/>
      <c r="U19" s="49"/>
      <c r="V19" s="49"/>
      <c r="W19" s="49"/>
      <c r="X19" s="39"/>
      <c r="Y19" s="49"/>
      <c r="Z19" s="49"/>
      <c r="AA19" s="31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50"/>
      <c r="BI19" s="34"/>
      <c r="BJ19" s="35"/>
      <c r="BK19" s="34"/>
      <c r="BL19" s="41"/>
      <c r="BM19" s="36"/>
      <c r="BN19" s="37"/>
      <c r="BO19" s="34"/>
      <c r="BP19" s="34"/>
      <c r="BQ19" s="34"/>
      <c r="BR19" s="205"/>
      <c r="BS19" s="34"/>
      <c r="BT19" s="37"/>
      <c r="BU19" s="35"/>
      <c r="BV19" s="37"/>
      <c r="BW19" s="37"/>
      <c r="BX19" s="34"/>
      <c r="BY19" s="37"/>
      <c r="BZ19" s="37"/>
      <c r="CA19" s="37"/>
      <c r="CB19" s="37"/>
      <c r="CC19" s="37"/>
      <c r="CD19" s="137"/>
      <c r="CE19" s="37"/>
      <c r="CF19" s="37"/>
      <c r="CG19" s="37"/>
    </row>
    <row r="20" spans="1:85" s="138" customFormat="1" ht="15" customHeight="1">
      <c r="A20" s="137" t="s">
        <v>41</v>
      </c>
      <c r="B20" s="49"/>
      <c r="C20" s="49">
        <v>0</v>
      </c>
      <c r="D20" s="29"/>
      <c r="E20" s="29"/>
      <c r="F20" s="29"/>
      <c r="G20" s="29"/>
      <c r="H20" s="29"/>
      <c r="I20" s="29"/>
      <c r="J20" s="44"/>
      <c r="K20" s="44"/>
      <c r="L20" s="44"/>
      <c r="M20" s="44"/>
      <c r="N20" s="44"/>
      <c r="O20" s="44"/>
      <c r="P20" s="44"/>
      <c r="Q20" s="137"/>
      <c r="R20" s="49"/>
      <c r="S20" s="49"/>
      <c r="T20" s="49"/>
      <c r="U20" s="49"/>
      <c r="V20" s="49"/>
      <c r="W20" s="49"/>
      <c r="X20" s="39"/>
      <c r="Y20" s="49"/>
      <c r="Z20" s="49"/>
      <c r="AA20" s="31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50"/>
      <c r="BI20" s="34"/>
      <c r="BJ20" s="35"/>
      <c r="BK20" s="34"/>
      <c r="BL20" s="41"/>
      <c r="BM20" s="36"/>
      <c r="BN20" s="37"/>
      <c r="BO20" s="34"/>
      <c r="BP20" s="34"/>
      <c r="BQ20" s="34"/>
      <c r="BR20" s="205"/>
      <c r="BS20" s="34"/>
      <c r="BT20" s="37"/>
      <c r="BU20" s="35"/>
      <c r="BV20" s="37"/>
      <c r="BW20" s="37"/>
      <c r="BX20" s="34"/>
      <c r="BY20" s="37"/>
      <c r="BZ20" s="37"/>
      <c r="CA20" s="37"/>
      <c r="CB20" s="37"/>
      <c r="CC20" s="37"/>
      <c r="CD20" s="137"/>
      <c r="CE20" s="37"/>
      <c r="CF20" s="37"/>
      <c r="CG20" s="37"/>
    </row>
    <row r="21" spans="1:85" s="138" customFormat="1" ht="15" customHeight="1">
      <c r="A21" s="137" t="s">
        <v>42</v>
      </c>
      <c r="B21" s="49"/>
      <c r="C21" s="49">
        <v>0</v>
      </c>
      <c r="D21" s="29"/>
      <c r="E21" s="29"/>
      <c r="F21" s="29"/>
      <c r="G21" s="29"/>
      <c r="H21" s="29"/>
      <c r="I21" s="29"/>
      <c r="J21" s="44"/>
      <c r="K21" s="44"/>
      <c r="L21" s="44"/>
      <c r="M21" s="44"/>
      <c r="N21" s="44"/>
      <c r="O21" s="44"/>
      <c r="P21" s="44"/>
      <c r="Q21" s="137"/>
      <c r="R21" s="49"/>
      <c r="S21" s="49"/>
      <c r="T21" s="49"/>
      <c r="U21" s="49"/>
      <c r="V21" s="49"/>
      <c r="W21" s="49"/>
      <c r="X21" s="39"/>
      <c r="Y21" s="49"/>
      <c r="Z21" s="49"/>
      <c r="AA21" s="31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50"/>
      <c r="BI21" s="34"/>
      <c r="BJ21" s="35"/>
      <c r="BK21" s="34"/>
      <c r="BL21" s="41"/>
      <c r="BM21" s="36"/>
      <c r="BN21" s="37"/>
      <c r="BO21" s="34"/>
      <c r="BP21" s="34"/>
      <c r="BQ21" s="34"/>
      <c r="BR21" s="205"/>
      <c r="BS21" s="34"/>
      <c r="BT21" s="37"/>
      <c r="BU21" s="35"/>
      <c r="BV21" s="37"/>
      <c r="BW21" s="37"/>
      <c r="BX21" s="34"/>
      <c r="BY21" s="37"/>
      <c r="BZ21" s="37"/>
      <c r="CA21" s="37"/>
      <c r="CB21" s="37"/>
      <c r="CC21" s="37"/>
      <c r="CD21" s="137"/>
      <c r="CE21" s="37"/>
      <c r="CF21" s="37"/>
      <c r="CG21" s="37"/>
    </row>
    <row r="22" spans="1:85" s="138" customFormat="1" ht="15" customHeight="1">
      <c r="A22" s="137" t="s">
        <v>389</v>
      </c>
      <c r="B22" s="49"/>
      <c r="C22" s="49">
        <v>0</v>
      </c>
      <c r="D22" s="29"/>
      <c r="E22" s="29"/>
      <c r="F22" s="29"/>
      <c r="G22" s="29"/>
      <c r="H22" s="29"/>
      <c r="I22" s="29"/>
      <c r="J22" s="44"/>
      <c r="K22" s="44"/>
      <c r="L22" s="44"/>
      <c r="M22" s="44"/>
      <c r="N22" s="44"/>
      <c r="O22" s="44"/>
      <c r="P22" s="44"/>
      <c r="Q22" s="137"/>
      <c r="R22" s="49"/>
      <c r="S22" s="49"/>
      <c r="T22" s="49"/>
      <c r="U22" s="49"/>
      <c r="V22" s="49"/>
      <c r="W22" s="49"/>
      <c r="X22" s="39"/>
      <c r="Y22" s="49"/>
      <c r="Z22" s="49"/>
      <c r="AA22" s="31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50"/>
      <c r="BI22" s="34"/>
      <c r="BJ22" s="35"/>
      <c r="BK22" s="34"/>
      <c r="BL22" s="41"/>
      <c r="BM22" s="36"/>
      <c r="BN22" s="37"/>
      <c r="BO22" s="34"/>
      <c r="BP22" s="34"/>
      <c r="BQ22" s="34"/>
      <c r="BR22" s="205"/>
      <c r="BS22" s="34"/>
      <c r="BT22" s="37"/>
      <c r="BU22" s="35"/>
      <c r="BV22" s="37"/>
      <c r="BW22" s="37"/>
      <c r="BX22" s="34"/>
      <c r="BY22" s="37"/>
      <c r="BZ22" s="37"/>
      <c r="CA22" s="37"/>
      <c r="CB22" s="37"/>
      <c r="CC22" s="37"/>
      <c r="CD22" s="137"/>
      <c r="CE22" s="37"/>
      <c r="CF22" s="37"/>
      <c r="CG22" s="37"/>
    </row>
    <row r="23" spans="1:85" s="138" customFormat="1" ht="15" customHeight="1">
      <c r="A23" s="137" t="s">
        <v>390</v>
      </c>
      <c r="B23" s="49"/>
      <c r="C23" s="49">
        <v>0</v>
      </c>
      <c r="D23" s="29"/>
      <c r="E23" s="29"/>
      <c r="F23" s="29"/>
      <c r="G23" s="29"/>
      <c r="H23" s="29"/>
      <c r="I23" s="29"/>
      <c r="J23" s="44"/>
      <c r="K23" s="44"/>
      <c r="L23" s="44"/>
      <c r="M23" s="44"/>
      <c r="N23" s="44"/>
      <c r="O23" s="44"/>
      <c r="P23" s="44"/>
      <c r="Q23" s="137"/>
      <c r="R23" s="49"/>
      <c r="S23" s="49"/>
      <c r="T23" s="49"/>
      <c r="U23" s="49"/>
      <c r="V23" s="49"/>
      <c r="W23" s="49"/>
      <c r="X23" s="39"/>
      <c r="Y23" s="49"/>
      <c r="Z23" s="49"/>
      <c r="AA23" s="31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50"/>
      <c r="BI23" s="34"/>
      <c r="BJ23" s="35"/>
      <c r="BK23" s="34"/>
      <c r="BL23" s="41"/>
      <c r="BM23" s="36"/>
      <c r="BN23" s="37"/>
      <c r="BO23" s="34"/>
      <c r="BP23" s="34"/>
      <c r="BQ23" s="34"/>
      <c r="BR23" s="205"/>
      <c r="BS23" s="34"/>
      <c r="BT23" s="37"/>
      <c r="BU23" s="35"/>
      <c r="BV23" s="37"/>
      <c r="BW23" s="37"/>
      <c r="BX23" s="34"/>
      <c r="BY23" s="37"/>
      <c r="BZ23" s="37"/>
      <c r="CA23" s="37"/>
      <c r="CB23" s="37"/>
      <c r="CC23" s="37"/>
      <c r="CD23" s="137"/>
      <c r="CE23" s="37"/>
      <c r="CF23" s="37"/>
      <c r="CG23" s="37"/>
    </row>
    <row r="24" spans="1:85" s="138" customFormat="1" ht="15" customHeight="1">
      <c r="A24" s="43"/>
      <c r="B24" s="45"/>
      <c r="C24" s="139"/>
      <c r="D24" s="29"/>
      <c r="E24" s="29"/>
      <c r="F24" s="29"/>
      <c r="G24" s="29"/>
      <c r="H24" s="29"/>
      <c r="I24" s="29"/>
      <c r="J24" s="44"/>
      <c r="K24" s="44"/>
      <c r="L24" s="44"/>
      <c r="M24" s="44"/>
      <c r="N24" s="44"/>
      <c r="O24" s="44"/>
      <c r="P24" s="44"/>
      <c r="Q24" s="137"/>
      <c r="R24" s="49"/>
      <c r="S24" s="49"/>
      <c r="T24" s="49"/>
      <c r="U24" s="49"/>
      <c r="V24" s="49"/>
      <c r="W24" s="49"/>
      <c r="X24" s="39"/>
      <c r="Y24" s="49"/>
      <c r="Z24" s="49"/>
      <c r="AA24" s="31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50"/>
      <c r="BI24" s="34"/>
      <c r="BJ24" s="35"/>
      <c r="BK24" s="34"/>
      <c r="BL24" s="41"/>
      <c r="BM24" s="36"/>
      <c r="BN24" s="37"/>
      <c r="BO24" s="34"/>
      <c r="BP24" s="34"/>
      <c r="BQ24" s="34"/>
      <c r="BR24" s="205"/>
      <c r="BS24" s="34"/>
      <c r="BT24" s="37"/>
      <c r="BU24" s="35"/>
      <c r="BV24" s="37"/>
      <c r="BW24" s="37"/>
      <c r="BX24" s="34"/>
      <c r="BY24" s="37"/>
      <c r="BZ24" s="37"/>
      <c r="CA24" s="37"/>
      <c r="CB24" s="37"/>
      <c r="CC24" s="37"/>
      <c r="CD24" s="137"/>
      <c r="CE24" s="37"/>
      <c r="CF24" s="37"/>
      <c r="CG24" s="37"/>
    </row>
    <row r="25" spans="1:85" s="138" customFormat="1" ht="15" customHeight="1" thickBot="1">
      <c r="A25" s="29"/>
      <c r="B25" s="29"/>
      <c r="C25" s="31"/>
      <c r="D25" s="29"/>
      <c r="E25" s="29"/>
      <c r="F25" s="29"/>
      <c r="G25" s="29"/>
      <c r="H25" s="29"/>
      <c r="I25" s="29"/>
      <c r="J25" s="44"/>
      <c r="K25" s="44"/>
      <c r="L25" s="44"/>
      <c r="M25" s="44"/>
      <c r="N25" s="44"/>
      <c r="O25" s="44"/>
      <c r="P25" s="44"/>
      <c r="Q25" s="49"/>
      <c r="R25" s="49"/>
      <c r="S25" s="49"/>
      <c r="T25" s="49"/>
      <c r="U25" s="49"/>
      <c r="V25" s="49"/>
      <c r="W25" s="49"/>
      <c r="X25" s="39"/>
      <c r="Y25" s="49"/>
      <c r="Z25" s="49"/>
      <c r="AA25" s="31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3"/>
      <c r="BI25" s="34"/>
      <c r="BJ25" s="35"/>
      <c r="BK25" s="34"/>
      <c r="BL25" s="41"/>
      <c r="BM25" s="36"/>
      <c r="BN25" s="37"/>
      <c r="BO25" s="34"/>
      <c r="BP25" s="34"/>
      <c r="BQ25" s="34"/>
      <c r="BR25" s="205"/>
      <c r="BS25" s="34"/>
      <c r="BT25" s="37"/>
      <c r="BU25" s="35"/>
      <c r="BV25" s="37"/>
      <c r="BW25" s="37"/>
      <c r="BX25" s="34"/>
      <c r="BY25" s="37"/>
      <c r="BZ25" s="37"/>
      <c r="CA25" s="37"/>
      <c r="CB25" s="37"/>
      <c r="CC25" s="37"/>
      <c r="CD25" s="137"/>
      <c r="CE25" s="37"/>
      <c r="CF25" s="37"/>
      <c r="CG25" s="37"/>
    </row>
    <row r="26" spans="1:85" s="138" customFormat="1" ht="30" customHeight="1" thickBot="1">
      <c r="A26" s="146" t="s">
        <v>43</v>
      </c>
      <c r="B26" s="147" t="s">
        <v>44</v>
      </c>
      <c r="C26" s="148" t="s">
        <v>45</v>
      </c>
      <c r="D26" s="149" t="s">
        <v>46</v>
      </c>
      <c r="E26" s="149" t="s">
        <v>47</v>
      </c>
      <c r="F26" s="149" t="s">
        <v>48</v>
      </c>
      <c r="G26" s="149" t="s">
        <v>49</v>
      </c>
      <c r="H26" s="150" t="s">
        <v>50</v>
      </c>
      <c r="I26" s="150" t="s">
        <v>51</v>
      </c>
      <c r="J26" s="151" t="s">
        <v>52</v>
      </c>
      <c r="K26" s="151" t="s">
        <v>53</v>
      </c>
      <c r="L26" s="151" t="s">
        <v>54</v>
      </c>
      <c r="M26" s="151" t="s">
        <v>55</v>
      </c>
      <c r="N26" s="151" t="s">
        <v>56</v>
      </c>
      <c r="O26" s="151" t="s">
        <v>57</v>
      </c>
      <c r="P26" s="150" t="s">
        <v>58</v>
      </c>
      <c r="Q26" s="149" t="s">
        <v>59</v>
      </c>
      <c r="R26" s="152" t="s">
        <v>60</v>
      </c>
      <c r="S26" s="152" t="s">
        <v>61</v>
      </c>
      <c r="T26" s="152" t="s">
        <v>62</v>
      </c>
      <c r="U26" s="152" t="s">
        <v>63</v>
      </c>
      <c r="V26" s="152" t="s">
        <v>64</v>
      </c>
      <c r="W26" s="152" t="s">
        <v>65</v>
      </c>
      <c r="X26" s="153" t="s">
        <v>66</v>
      </c>
      <c r="Y26" s="154" t="s">
        <v>67</v>
      </c>
      <c r="Z26" s="150" t="s">
        <v>68</v>
      </c>
      <c r="AA26" s="150" t="s">
        <v>69</v>
      </c>
      <c r="AB26" s="154" t="s">
        <v>70</v>
      </c>
      <c r="AC26" s="154"/>
      <c r="AD26" s="154" t="s">
        <v>52</v>
      </c>
      <c r="AE26" s="154" t="s">
        <v>71</v>
      </c>
      <c r="AF26" s="154" t="s">
        <v>72</v>
      </c>
      <c r="AG26" s="154" t="s">
        <v>73</v>
      </c>
      <c r="AH26" s="154" t="s">
        <v>74</v>
      </c>
      <c r="AI26" s="154" t="s">
        <v>75</v>
      </c>
      <c r="AJ26" s="155" t="s">
        <v>76</v>
      </c>
      <c r="AK26" s="156" t="s">
        <v>77</v>
      </c>
      <c r="AL26" s="392" t="s">
        <v>391</v>
      </c>
      <c r="AM26" s="159" t="s">
        <v>79</v>
      </c>
      <c r="AN26" s="159" t="s">
        <v>79</v>
      </c>
      <c r="AO26" s="159" t="s">
        <v>80</v>
      </c>
      <c r="AP26" s="159" t="s">
        <v>80</v>
      </c>
      <c r="AQ26" s="159" t="s">
        <v>81</v>
      </c>
      <c r="AR26" s="159" t="s">
        <v>81</v>
      </c>
      <c r="AS26" s="159" t="s">
        <v>82</v>
      </c>
      <c r="AT26" s="159" t="s">
        <v>82</v>
      </c>
      <c r="AU26" s="159" t="s">
        <v>83</v>
      </c>
      <c r="AV26" s="159" t="s">
        <v>83</v>
      </c>
      <c r="AW26" s="159" t="s">
        <v>84</v>
      </c>
      <c r="AX26" s="159" t="s">
        <v>84</v>
      </c>
      <c r="AY26" s="159" t="s">
        <v>85</v>
      </c>
      <c r="AZ26" s="159" t="s">
        <v>85</v>
      </c>
      <c r="BA26" s="159" t="s">
        <v>146</v>
      </c>
      <c r="BB26" s="159" t="s">
        <v>146</v>
      </c>
      <c r="BC26" s="159" t="s">
        <v>147</v>
      </c>
      <c r="BD26" s="159" t="s">
        <v>147</v>
      </c>
      <c r="BE26" s="159" t="s">
        <v>148</v>
      </c>
      <c r="BF26" s="159" t="s">
        <v>148</v>
      </c>
      <c r="BG26" s="156" t="s">
        <v>88</v>
      </c>
      <c r="BH26" s="157" t="s">
        <v>89</v>
      </c>
      <c r="BI26" s="158" t="s">
        <v>90</v>
      </c>
      <c r="BJ26" s="159" t="s">
        <v>91</v>
      </c>
      <c r="BK26" s="160" t="s">
        <v>92</v>
      </c>
      <c r="BL26" s="161" t="s">
        <v>93</v>
      </c>
      <c r="BM26" s="162" t="s">
        <v>94</v>
      </c>
      <c r="BN26" s="163" t="s">
        <v>95</v>
      </c>
      <c r="BO26" s="162" t="s">
        <v>96</v>
      </c>
      <c r="BP26" s="162" t="s">
        <v>97</v>
      </c>
      <c r="BQ26" s="162" t="s">
        <v>98</v>
      </c>
      <c r="BR26" s="206" t="s">
        <v>99</v>
      </c>
      <c r="BS26" s="162" t="s">
        <v>100</v>
      </c>
      <c r="BT26" s="162" t="s">
        <v>8</v>
      </c>
      <c r="BU26" s="154" t="s">
        <v>101</v>
      </c>
      <c r="BV26" s="151" t="s">
        <v>102</v>
      </c>
      <c r="BW26" s="150" t="s">
        <v>103</v>
      </c>
      <c r="BX26" s="162" t="s">
        <v>104</v>
      </c>
      <c r="BY26" s="162" t="s">
        <v>105</v>
      </c>
      <c r="BZ26" s="150" t="s">
        <v>106</v>
      </c>
      <c r="CA26" s="150"/>
      <c r="CB26" s="150"/>
      <c r="CC26" s="154" t="s">
        <v>107</v>
      </c>
      <c r="CD26" s="150" t="s">
        <v>108</v>
      </c>
      <c r="CE26" s="154" t="s">
        <v>109</v>
      </c>
      <c r="CF26" s="164" t="s">
        <v>151</v>
      </c>
      <c r="CG26" s="165"/>
    </row>
    <row r="27" spans="1:85" s="138" customFormat="1" ht="15" customHeight="1">
      <c r="A27" s="48" t="s">
        <v>178</v>
      </c>
      <c r="B27" s="29" t="s">
        <v>111</v>
      </c>
      <c r="C27" s="168">
        <v>46023</v>
      </c>
      <c r="D27" s="48" t="s">
        <v>179</v>
      </c>
      <c r="E27" s="29" t="s">
        <v>113</v>
      </c>
      <c r="F27" s="48" t="s">
        <v>114</v>
      </c>
      <c r="G27" s="48" t="s">
        <v>130</v>
      </c>
      <c r="H27" s="48" t="s">
        <v>116</v>
      </c>
      <c r="I27" s="48" t="s">
        <v>116</v>
      </c>
      <c r="J27" s="170" t="s">
        <v>116</v>
      </c>
      <c r="K27" s="170" t="b">
        <v>0</v>
      </c>
      <c r="L27" s="170" t="s">
        <v>116</v>
      </c>
      <c r="M27" s="170" t="s">
        <v>116</v>
      </c>
      <c r="N27" s="170" t="s">
        <v>116</v>
      </c>
      <c r="O27" s="170" t="s">
        <v>118</v>
      </c>
      <c r="P27" s="48" t="s">
        <v>180</v>
      </c>
      <c r="Q27" s="48" t="s">
        <v>181</v>
      </c>
      <c r="R27" s="170" t="s">
        <v>116</v>
      </c>
      <c r="S27" s="170" t="s">
        <v>116</v>
      </c>
      <c r="T27" s="170" t="s">
        <v>116</v>
      </c>
      <c r="U27" s="170" t="s">
        <v>116</v>
      </c>
      <c r="V27" s="170" t="s">
        <v>116</v>
      </c>
      <c r="W27" s="170" t="s">
        <v>116</v>
      </c>
      <c r="X27" s="173" t="s">
        <v>398</v>
      </c>
      <c r="Y27" s="167">
        <v>149.69</v>
      </c>
      <c r="Z27" s="48" t="s">
        <v>123</v>
      </c>
      <c r="AA27" s="48">
        <v>1</v>
      </c>
      <c r="AB27" s="174">
        <v>0</v>
      </c>
      <c r="AC27" s="174"/>
      <c r="AD27" s="174">
        <v>0</v>
      </c>
      <c r="AE27" s="174">
        <v>0</v>
      </c>
      <c r="AF27" s="174">
        <v>0</v>
      </c>
      <c r="AG27" s="174">
        <v>0</v>
      </c>
      <c r="AH27" s="174">
        <v>0</v>
      </c>
      <c r="AI27" s="174">
        <v>0</v>
      </c>
      <c r="AJ27" s="174">
        <v>1.5</v>
      </c>
      <c r="AK27" s="174">
        <v>0</v>
      </c>
      <c r="AL27" s="174">
        <v>0</v>
      </c>
      <c r="AM27" s="174">
        <v>0</v>
      </c>
      <c r="AN27" s="174">
        <v>0</v>
      </c>
      <c r="AO27" s="174">
        <v>0</v>
      </c>
      <c r="AP27" s="174">
        <v>0</v>
      </c>
      <c r="AQ27" s="174">
        <v>0</v>
      </c>
      <c r="AR27" s="174">
        <v>0</v>
      </c>
      <c r="AS27" s="174">
        <v>0</v>
      </c>
      <c r="AT27" s="174">
        <v>0</v>
      </c>
      <c r="AU27" s="174">
        <v>0</v>
      </c>
      <c r="AV27" s="174">
        <v>0</v>
      </c>
      <c r="AW27" s="174">
        <v>0</v>
      </c>
      <c r="AX27" s="174">
        <v>0</v>
      </c>
      <c r="AY27" s="174">
        <v>0</v>
      </c>
      <c r="AZ27" s="174">
        <v>0</v>
      </c>
      <c r="BA27" s="174">
        <v>0</v>
      </c>
      <c r="BB27" s="174">
        <v>0</v>
      </c>
      <c r="BC27" s="174">
        <v>0</v>
      </c>
      <c r="BD27" s="174">
        <v>0</v>
      </c>
      <c r="BE27" s="174">
        <v>0</v>
      </c>
      <c r="BF27" s="174">
        <v>0</v>
      </c>
      <c r="BG27" s="174">
        <f>SUM(AJ27,AK27)</f>
        <v>1.5</v>
      </c>
      <c r="BH27" s="175" t="s">
        <v>177</v>
      </c>
      <c r="BI27" s="166">
        <v>46011</v>
      </c>
      <c r="BJ27" s="167">
        <v>504.9</v>
      </c>
      <c r="BK27" s="168"/>
      <c r="BL27" s="56"/>
      <c r="BM27" s="168" t="s">
        <v>397</v>
      </c>
      <c r="BN27" s="169" t="s">
        <v>386</v>
      </c>
      <c r="BO27" s="168"/>
      <c r="BP27" s="168"/>
      <c r="BQ27" s="168"/>
      <c r="BR27" s="207"/>
      <c r="BS27" s="168"/>
      <c r="BT27" s="168"/>
      <c r="BU27" s="167"/>
      <c r="BV27" s="170"/>
      <c r="BW27" s="48"/>
      <c r="BX27" s="168"/>
      <c r="BY27" s="168"/>
      <c r="BZ27" s="48"/>
      <c r="CA27" s="48"/>
      <c r="CB27" s="48"/>
      <c r="CC27" s="167"/>
      <c r="CD27" s="137"/>
      <c r="CE27" s="171"/>
      <c r="CF27" s="172" t="s">
        <v>166</v>
      </c>
      <c r="CG27" s="165"/>
    </row>
    <row r="28" spans="1:85" s="138" customFormat="1" ht="15" customHeight="1">
      <c r="A28" s="48" t="s">
        <v>183</v>
      </c>
      <c r="B28" s="29" t="s">
        <v>111</v>
      </c>
      <c r="C28" s="168">
        <v>45809</v>
      </c>
      <c r="D28" s="48" t="s">
        <v>179</v>
      </c>
      <c r="E28" s="29" t="s">
        <v>113</v>
      </c>
      <c r="F28" s="48" t="s">
        <v>114</v>
      </c>
      <c r="G28" s="48" t="s">
        <v>153</v>
      </c>
      <c r="H28" s="48" t="s">
        <v>116</v>
      </c>
      <c r="I28" s="48" t="s">
        <v>116</v>
      </c>
      <c r="J28" s="170" t="s">
        <v>116</v>
      </c>
      <c r="K28" s="170" t="b">
        <v>0</v>
      </c>
      <c r="L28" s="170" t="s">
        <v>116</v>
      </c>
      <c r="M28" s="170" t="s">
        <v>116</v>
      </c>
      <c r="N28" s="170" t="s">
        <v>116</v>
      </c>
      <c r="O28" s="170" t="s">
        <v>118</v>
      </c>
      <c r="P28" s="48" t="s">
        <v>180</v>
      </c>
      <c r="Q28" s="48" t="s">
        <v>181</v>
      </c>
      <c r="R28" s="170" t="s">
        <v>116</v>
      </c>
      <c r="S28" s="170" t="s">
        <v>116</v>
      </c>
      <c r="T28" s="170" t="s">
        <v>116</v>
      </c>
      <c r="U28" s="170" t="s">
        <v>116</v>
      </c>
      <c r="V28" s="170" t="s">
        <v>116</v>
      </c>
      <c r="W28" s="170" t="s">
        <v>116</v>
      </c>
      <c r="X28" s="173" t="s">
        <v>398</v>
      </c>
      <c r="Y28" s="167">
        <v>99.7</v>
      </c>
      <c r="Z28" s="48" t="s">
        <v>123</v>
      </c>
      <c r="AA28" s="48">
        <v>1</v>
      </c>
      <c r="AB28" s="174">
        <v>0</v>
      </c>
      <c r="AC28" s="174"/>
      <c r="AD28" s="174">
        <v>0</v>
      </c>
      <c r="AE28" s="174">
        <v>0</v>
      </c>
      <c r="AF28" s="174">
        <v>0</v>
      </c>
      <c r="AG28" s="174">
        <v>0</v>
      </c>
      <c r="AH28" s="174">
        <v>0</v>
      </c>
      <c r="AI28" s="174">
        <v>0</v>
      </c>
      <c r="AJ28" s="174">
        <v>1</v>
      </c>
      <c r="AK28" s="174">
        <v>0</v>
      </c>
      <c r="AL28" s="174">
        <v>0</v>
      </c>
      <c r="AM28" s="174">
        <v>0</v>
      </c>
      <c r="AN28" s="174">
        <v>0</v>
      </c>
      <c r="AO28" s="174">
        <v>0</v>
      </c>
      <c r="AP28" s="174">
        <v>0</v>
      </c>
      <c r="AQ28" s="174">
        <v>0</v>
      </c>
      <c r="AR28" s="174">
        <v>0</v>
      </c>
      <c r="AS28" s="174">
        <v>0</v>
      </c>
      <c r="AT28" s="174">
        <v>0</v>
      </c>
      <c r="AU28" s="174">
        <v>0</v>
      </c>
      <c r="AV28" s="174">
        <v>0</v>
      </c>
      <c r="AW28" s="174">
        <v>0</v>
      </c>
      <c r="AX28" s="174">
        <v>0</v>
      </c>
      <c r="AY28" s="174">
        <v>0</v>
      </c>
      <c r="AZ28" s="174">
        <v>0</v>
      </c>
      <c r="BA28" s="174">
        <v>0</v>
      </c>
      <c r="BB28" s="174">
        <v>0</v>
      </c>
      <c r="BC28" s="174">
        <v>0</v>
      </c>
      <c r="BD28" s="174">
        <v>0</v>
      </c>
      <c r="BE28" s="174">
        <v>0</v>
      </c>
      <c r="BF28" s="174">
        <v>0</v>
      </c>
      <c r="BG28" s="174">
        <f t="shared" ref="BG28:BG40" si="0">SUM(AJ28,AK28)</f>
        <v>1</v>
      </c>
      <c r="BH28" s="175" t="s">
        <v>165</v>
      </c>
      <c r="BI28" s="166">
        <v>46011</v>
      </c>
      <c r="BJ28" s="167">
        <v>504.9</v>
      </c>
      <c r="BK28" s="168"/>
      <c r="BL28" s="56"/>
      <c r="BM28" s="168" t="s">
        <v>397</v>
      </c>
      <c r="BN28" s="169" t="s">
        <v>386</v>
      </c>
      <c r="BO28" s="168"/>
      <c r="BP28" s="168"/>
      <c r="BQ28" s="168"/>
      <c r="BR28" s="207"/>
      <c r="BS28" s="168"/>
      <c r="BT28" s="168"/>
      <c r="BU28" s="167"/>
      <c r="BV28" s="170"/>
      <c r="BW28" s="48"/>
      <c r="BX28" s="168"/>
      <c r="BY28" s="168"/>
      <c r="BZ28" s="48"/>
      <c r="CA28" s="48"/>
      <c r="CB28" s="48"/>
      <c r="CC28" s="167"/>
      <c r="CD28" s="137"/>
      <c r="CE28" s="171"/>
      <c r="CF28" s="172" t="s">
        <v>166</v>
      </c>
      <c r="CG28" s="165"/>
    </row>
    <row r="29" spans="1:85" s="138" customFormat="1" ht="15" customHeight="1">
      <c r="A29" s="48" t="s">
        <v>185</v>
      </c>
      <c r="B29" s="29" t="s">
        <v>111</v>
      </c>
      <c r="C29" s="168">
        <v>46023</v>
      </c>
      <c r="D29" s="48" t="s">
        <v>179</v>
      </c>
      <c r="E29" s="29" t="s">
        <v>113</v>
      </c>
      <c r="F29" s="48" t="s">
        <v>114</v>
      </c>
      <c r="G29" s="48" t="s">
        <v>130</v>
      </c>
      <c r="H29" s="48" t="s">
        <v>116</v>
      </c>
      <c r="I29" s="48" t="s">
        <v>116</v>
      </c>
      <c r="J29" s="170" t="s">
        <v>116</v>
      </c>
      <c r="K29" s="170" t="b">
        <v>0</v>
      </c>
      <c r="L29" s="170" t="s">
        <v>116</v>
      </c>
      <c r="M29" s="170" t="s">
        <v>116</v>
      </c>
      <c r="N29" s="170" t="s">
        <v>116</v>
      </c>
      <c r="O29" s="170" t="s">
        <v>118</v>
      </c>
      <c r="P29" s="48" t="s">
        <v>180</v>
      </c>
      <c r="Q29" s="48" t="s">
        <v>181</v>
      </c>
      <c r="R29" s="170" t="s">
        <v>116</v>
      </c>
      <c r="S29" s="170" t="s">
        <v>116</v>
      </c>
      <c r="T29" s="170" t="s">
        <v>116</v>
      </c>
      <c r="U29" s="170" t="s">
        <v>116</v>
      </c>
      <c r="V29" s="170" t="s">
        <v>116</v>
      </c>
      <c r="W29" s="170" t="s">
        <v>116</v>
      </c>
      <c r="X29" s="173" t="s">
        <v>398</v>
      </c>
      <c r="Y29" s="167">
        <v>201.49</v>
      </c>
      <c r="Z29" s="48" t="s">
        <v>123</v>
      </c>
      <c r="AA29" s="48">
        <v>1</v>
      </c>
      <c r="AB29" s="174">
        <v>0</v>
      </c>
      <c r="AC29" s="174"/>
      <c r="AD29" s="174">
        <v>0</v>
      </c>
      <c r="AE29" s="174">
        <v>0</v>
      </c>
      <c r="AF29" s="174">
        <v>0</v>
      </c>
      <c r="AG29" s="174">
        <v>0</v>
      </c>
      <c r="AH29" s="174">
        <v>0</v>
      </c>
      <c r="AI29" s="174">
        <v>0</v>
      </c>
      <c r="AJ29" s="174">
        <v>2.0099999999999998</v>
      </c>
      <c r="AK29" s="174">
        <v>0</v>
      </c>
      <c r="AL29" s="174">
        <v>0</v>
      </c>
      <c r="AM29" s="174">
        <v>0</v>
      </c>
      <c r="AN29" s="174">
        <v>0</v>
      </c>
      <c r="AO29" s="174">
        <v>0</v>
      </c>
      <c r="AP29" s="174">
        <v>0</v>
      </c>
      <c r="AQ29" s="174">
        <v>0</v>
      </c>
      <c r="AR29" s="174">
        <v>0</v>
      </c>
      <c r="AS29" s="174">
        <v>0</v>
      </c>
      <c r="AT29" s="174">
        <v>0</v>
      </c>
      <c r="AU29" s="174">
        <v>0</v>
      </c>
      <c r="AV29" s="174">
        <v>0</v>
      </c>
      <c r="AW29" s="174">
        <v>0</v>
      </c>
      <c r="AX29" s="174">
        <v>0</v>
      </c>
      <c r="AY29" s="174">
        <v>0</v>
      </c>
      <c r="AZ29" s="174">
        <v>0</v>
      </c>
      <c r="BA29" s="174">
        <v>0</v>
      </c>
      <c r="BB29" s="174">
        <v>0</v>
      </c>
      <c r="BC29" s="174">
        <v>0</v>
      </c>
      <c r="BD29" s="174">
        <v>0</v>
      </c>
      <c r="BE29" s="174">
        <v>0</v>
      </c>
      <c r="BF29" s="174">
        <v>0</v>
      </c>
      <c r="BG29" s="174">
        <f t="shared" si="0"/>
        <v>2.0099999999999998</v>
      </c>
      <c r="BH29" s="175" t="s">
        <v>177</v>
      </c>
      <c r="BI29" s="166">
        <v>46011</v>
      </c>
      <c r="BJ29" s="167">
        <v>504.9</v>
      </c>
      <c r="BK29" s="168"/>
      <c r="BL29" s="56"/>
      <c r="BM29" s="168" t="s">
        <v>397</v>
      </c>
      <c r="BN29" s="169" t="s">
        <v>386</v>
      </c>
      <c r="BO29" s="168"/>
      <c r="BP29" s="168"/>
      <c r="BQ29" s="168"/>
      <c r="BR29" s="207"/>
      <c r="BS29" s="168"/>
      <c r="BT29" s="168"/>
      <c r="BU29" s="167"/>
      <c r="BV29" s="170"/>
      <c r="BW29" s="48"/>
      <c r="BX29" s="168"/>
      <c r="BY29" s="168"/>
      <c r="BZ29" s="48"/>
      <c r="CA29" s="48"/>
      <c r="CB29" s="48"/>
      <c r="CC29" s="167"/>
      <c r="CD29" s="137"/>
      <c r="CE29" s="171"/>
      <c r="CF29" s="172" t="s">
        <v>166</v>
      </c>
      <c r="CG29" s="165"/>
    </row>
    <row r="30" spans="1:85" s="138" customFormat="1" ht="15" customHeight="1">
      <c r="A30" s="48" t="s">
        <v>187</v>
      </c>
      <c r="B30" s="29" t="s">
        <v>111</v>
      </c>
      <c r="C30" s="168">
        <v>45931</v>
      </c>
      <c r="D30" s="48" t="s">
        <v>179</v>
      </c>
      <c r="E30" s="29" t="s">
        <v>113</v>
      </c>
      <c r="F30" s="48" t="s">
        <v>114</v>
      </c>
      <c r="G30" s="48"/>
      <c r="H30" s="48"/>
      <c r="I30" s="48"/>
      <c r="J30" s="170"/>
      <c r="K30" s="170"/>
      <c r="L30" s="170"/>
      <c r="M30" s="170"/>
      <c r="N30" s="170"/>
      <c r="O30" s="170" t="s">
        <v>118</v>
      </c>
      <c r="P30" s="48" t="s">
        <v>180</v>
      </c>
      <c r="Q30" s="48" t="s">
        <v>181</v>
      </c>
      <c r="R30" s="170"/>
      <c r="S30" s="170"/>
      <c r="T30" s="170"/>
      <c r="U30" s="170"/>
      <c r="V30" s="170"/>
      <c r="W30" s="170"/>
      <c r="X30" s="173" t="s">
        <v>398</v>
      </c>
      <c r="Y30" s="167"/>
      <c r="Z30" s="48"/>
      <c r="AA30" s="48">
        <v>1</v>
      </c>
      <c r="AB30" s="174">
        <v>0</v>
      </c>
      <c r="AC30" s="174"/>
      <c r="AD30" s="174">
        <v>0</v>
      </c>
      <c r="AE30" s="174">
        <v>0</v>
      </c>
      <c r="AF30" s="174">
        <v>0</v>
      </c>
      <c r="AG30" s="174">
        <v>0</v>
      </c>
      <c r="AH30" s="174">
        <v>0</v>
      </c>
      <c r="AI30" s="174">
        <v>0</v>
      </c>
      <c r="AJ30" s="174">
        <v>1.47</v>
      </c>
      <c r="AK30" s="174">
        <v>0</v>
      </c>
      <c r="AL30" s="174">
        <v>0</v>
      </c>
      <c r="AM30" s="174">
        <v>0</v>
      </c>
      <c r="AN30" s="174">
        <v>0</v>
      </c>
      <c r="AO30" s="174">
        <v>0</v>
      </c>
      <c r="AP30" s="174">
        <v>0</v>
      </c>
      <c r="AQ30" s="174">
        <v>0</v>
      </c>
      <c r="AR30" s="174">
        <v>0</v>
      </c>
      <c r="AS30" s="174">
        <v>0</v>
      </c>
      <c r="AT30" s="174">
        <v>0</v>
      </c>
      <c r="AU30" s="174">
        <v>0</v>
      </c>
      <c r="AV30" s="174">
        <v>0</v>
      </c>
      <c r="AW30" s="174">
        <v>0</v>
      </c>
      <c r="AX30" s="174">
        <v>0</v>
      </c>
      <c r="AY30" s="174">
        <v>0</v>
      </c>
      <c r="AZ30" s="174">
        <v>0</v>
      </c>
      <c r="BA30" s="174">
        <v>0</v>
      </c>
      <c r="BB30" s="174">
        <v>0</v>
      </c>
      <c r="BC30" s="174">
        <v>0</v>
      </c>
      <c r="BD30" s="174">
        <v>0</v>
      </c>
      <c r="BE30" s="174">
        <v>0</v>
      </c>
      <c r="BF30" s="174">
        <v>0</v>
      </c>
      <c r="BG30" s="174">
        <f t="shared" si="0"/>
        <v>1.47</v>
      </c>
      <c r="BH30" s="175" t="s">
        <v>189</v>
      </c>
      <c r="BI30" s="166">
        <v>45998</v>
      </c>
      <c r="BJ30" s="167">
        <v>233.1</v>
      </c>
      <c r="BK30" s="168"/>
      <c r="BL30" s="56"/>
      <c r="BM30" s="168" t="s">
        <v>397</v>
      </c>
      <c r="BN30" s="169" t="s">
        <v>386</v>
      </c>
      <c r="BO30" s="168"/>
      <c r="BP30" s="168"/>
      <c r="BQ30" s="168"/>
      <c r="BR30" s="207"/>
      <c r="BS30" s="168"/>
      <c r="BT30" s="168"/>
      <c r="BU30" s="167"/>
      <c r="BV30" s="170"/>
      <c r="BW30" s="48"/>
      <c r="BX30" s="168"/>
      <c r="BY30" s="168"/>
      <c r="BZ30" s="48"/>
      <c r="CA30" s="48"/>
      <c r="CB30" s="48"/>
      <c r="CC30" s="167"/>
      <c r="CD30" s="137"/>
      <c r="CE30" s="171"/>
      <c r="CF30" s="172" t="s">
        <v>166</v>
      </c>
      <c r="CG30" s="165"/>
    </row>
    <row r="31" spans="1:85" s="138" customFormat="1" ht="15" customHeight="1">
      <c r="A31" s="48" t="s">
        <v>190</v>
      </c>
      <c r="B31" s="29" t="s">
        <v>111</v>
      </c>
      <c r="C31" s="168">
        <v>45931</v>
      </c>
      <c r="D31" s="48" t="s">
        <v>179</v>
      </c>
      <c r="E31" s="29" t="s">
        <v>113</v>
      </c>
      <c r="F31" s="48" t="s">
        <v>114</v>
      </c>
      <c r="G31" s="48"/>
      <c r="H31" s="48"/>
      <c r="I31" s="48"/>
      <c r="J31" s="170"/>
      <c r="K31" s="170"/>
      <c r="L31" s="170"/>
      <c r="M31" s="170"/>
      <c r="N31" s="170"/>
      <c r="O31" s="170" t="s">
        <v>118</v>
      </c>
      <c r="P31" s="48" t="s">
        <v>180</v>
      </c>
      <c r="Q31" s="48" t="s">
        <v>181</v>
      </c>
      <c r="R31" s="170"/>
      <c r="S31" s="170"/>
      <c r="T31" s="170"/>
      <c r="U31" s="170"/>
      <c r="V31" s="170"/>
      <c r="W31" s="170"/>
      <c r="X31" s="173" t="s">
        <v>398</v>
      </c>
      <c r="Y31" s="167"/>
      <c r="Z31" s="48"/>
      <c r="AA31" s="48">
        <v>1</v>
      </c>
      <c r="AB31" s="174">
        <v>0</v>
      </c>
      <c r="AC31" s="174"/>
      <c r="AD31" s="174">
        <v>0</v>
      </c>
      <c r="AE31" s="174">
        <v>0</v>
      </c>
      <c r="AF31" s="174">
        <v>0</v>
      </c>
      <c r="AG31" s="174">
        <v>0</v>
      </c>
      <c r="AH31" s="174">
        <v>0</v>
      </c>
      <c r="AI31" s="174">
        <v>0</v>
      </c>
      <c r="AJ31" s="174">
        <v>1.69</v>
      </c>
      <c r="AK31" s="174">
        <v>0</v>
      </c>
      <c r="AL31" s="174">
        <v>0</v>
      </c>
      <c r="AM31" s="174">
        <v>0</v>
      </c>
      <c r="AN31" s="174">
        <v>0</v>
      </c>
      <c r="AO31" s="174">
        <v>0</v>
      </c>
      <c r="AP31" s="174">
        <v>0</v>
      </c>
      <c r="AQ31" s="174">
        <v>0</v>
      </c>
      <c r="AR31" s="174">
        <v>0</v>
      </c>
      <c r="AS31" s="174">
        <v>0</v>
      </c>
      <c r="AT31" s="174">
        <v>0</v>
      </c>
      <c r="AU31" s="174">
        <v>0</v>
      </c>
      <c r="AV31" s="174">
        <v>0</v>
      </c>
      <c r="AW31" s="174">
        <v>0</v>
      </c>
      <c r="AX31" s="174">
        <v>0</v>
      </c>
      <c r="AY31" s="174">
        <v>0</v>
      </c>
      <c r="AZ31" s="174">
        <v>0</v>
      </c>
      <c r="BA31" s="174">
        <v>0</v>
      </c>
      <c r="BB31" s="174">
        <v>0</v>
      </c>
      <c r="BC31" s="174">
        <v>0</v>
      </c>
      <c r="BD31" s="174">
        <v>0</v>
      </c>
      <c r="BE31" s="174">
        <v>0</v>
      </c>
      <c r="BF31" s="174">
        <v>0</v>
      </c>
      <c r="BG31" s="174">
        <f t="shared" si="0"/>
        <v>1.69</v>
      </c>
      <c r="BH31" s="175" t="s">
        <v>189</v>
      </c>
      <c r="BI31" s="166">
        <v>45998</v>
      </c>
      <c r="BJ31" s="167">
        <v>233.1</v>
      </c>
      <c r="BK31" s="168"/>
      <c r="BL31" s="56"/>
      <c r="BM31" s="168" t="s">
        <v>397</v>
      </c>
      <c r="BN31" s="169" t="s">
        <v>386</v>
      </c>
      <c r="BO31" s="168"/>
      <c r="BP31" s="168"/>
      <c r="BQ31" s="168"/>
      <c r="BR31" s="207"/>
      <c r="BS31" s="168"/>
      <c r="BT31" s="168"/>
      <c r="BU31" s="167"/>
      <c r="BV31" s="170"/>
      <c r="BW31" s="48"/>
      <c r="BX31" s="168"/>
      <c r="BY31" s="168"/>
      <c r="BZ31" s="48"/>
      <c r="CA31" s="48"/>
      <c r="CB31" s="48"/>
      <c r="CC31" s="167"/>
      <c r="CD31" s="137"/>
      <c r="CE31" s="171"/>
      <c r="CF31" s="172" t="s">
        <v>166</v>
      </c>
      <c r="CG31" s="165"/>
    </row>
    <row r="32" spans="1:85" s="138" customFormat="1" ht="15" customHeight="1">
      <c r="A32" s="48" t="s">
        <v>192</v>
      </c>
      <c r="B32" s="29" t="s">
        <v>111</v>
      </c>
      <c r="C32" s="168">
        <v>45597</v>
      </c>
      <c r="D32" s="48" t="s">
        <v>179</v>
      </c>
      <c r="E32" s="29" t="s">
        <v>113</v>
      </c>
      <c r="F32" s="48" t="s">
        <v>114</v>
      </c>
      <c r="G32" s="48" t="s">
        <v>153</v>
      </c>
      <c r="H32" s="48" t="s">
        <v>116</v>
      </c>
      <c r="I32" s="48" t="s">
        <v>116</v>
      </c>
      <c r="J32" s="170" t="s">
        <v>116</v>
      </c>
      <c r="K32" s="170" t="b">
        <v>0</v>
      </c>
      <c r="L32" s="170" t="s">
        <v>116</v>
      </c>
      <c r="M32" s="170" t="s">
        <v>116</v>
      </c>
      <c r="N32" s="170" t="s">
        <v>116</v>
      </c>
      <c r="O32" s="170" t="s">
        <v>118</v>
      </c>
      <c r="P32" s="48" t="s">
        <v>180</v>
      </c>
      <c r="Q32" s="48" t="s">
        <v>181</v>
      </c>
      <c r="R32" s="170" t="s">
        <v>116</v>
      </c>
      <c r="S32" s="170" t="s">
        <v>116</v>
      </c>
      <c r="T32" s="170" t="s">
        <v>116</v>
      </c>
      <c r="U32" s="170" t="s">
        <v>116</v>
      </c>
      <c r="V32" s="170" t="s">
        <v>116</v>
      </c>
      <c r="W32" s="170" t="s">
        <v>116</v>
      </c>
      <c r="X32" s="173" t="s">
        <v>398</v>
      </c>
      <c r="Y32" s="167" t="s">
        <v>116</v>
      </c>
      <c r="Z32" s="48" t="s">
        <v>116</v>
      </c>
      <c r="AA32" s="48">
        <v>1</v>
      </c>
      <c r="AB32" s="174">
        <v>0</v>
      </c>
      <c r="AC32" s="174"/>
      <c r="AD32" s="174">
        <v>0</v>
      </c>
      <c r="AE32" s="174">
        <v>0</v>
      </c>
      <c r="AF32" s="174">
        <v>0</v>
      </c>
      <c r="AG32" s="174">
        <v>0</v>
      </c>
      <c r="AH32" s="174">
        <v>0</v>
      </c>
      <c r="AI32" s="174">
        <v>0</v>
      </c>
      <c r="AJ32" s="174">
        <v>0.55000000000000004</v>
      </c>
      <c r="AK32" s="174">
        <v>0</v>
      </c>
      <c r="AL32" s="174">
        <v>0</v>
      </c>
      <c r="AM32" s="174">
        <v>0</v>
      </c>
      <c r="AN32" s="174">
        <v>0</v>
      </c>
      <c r="AO32" s="174">
        <v>0</v>
      </c>
      <c r="AP32" s="174">
        <v>0</v>
      </c>
      <c r="AQ32" s="174">
        <v>0</v>
      </c>
      <c r="AR32" s="174">
        <v>0</v>
      </c>
      <c r="AS32" s="174">
        <v>0</v>
      </c>
      <c r="AT32" s="174">
        <v>0</v>
      </c>
      <c r="AU32" s="174">
        <v>0</v>
      </c>
      <c r="AV32" s="174">
        <v>0</v>
      </c>
      <c r="AW32" s="174">
        <v>0</v>
      </c>
      <c r="AX32" s="174">
        <v>0</v>
      </c>
      <c r="AY32" s="174">
        <v>0</v>
      </c>
      <c r="AZ32" s="174">
        <v>0</v>
      </c>
      <c r="BA32" s="174">
        <v>0</v>
      </c>
      <c r="BB32" s="174">
        <v>0</v>
      </c>
      <c r="BC32" s="174">
        <v>0</v>
      </c>
      <c r="BD32" s="174">
        <v>0</v>
      </c>
      <c r="BE32" s="174">
        <v>0</v>
      </c>
      <c r="BF32" s="174">
        <v>0</v>
      </c>
      <c r="BG32" s="174">
        <f t="shared" si="0"/>
        <v>0.55000000000000004</v>
      </c>
      <c r="BH32" s="175" t="s">
        <v>194</v>
      </c>
      <c r="BI32" s="166">
        <v>45998</v>
      </c>
      <c r="BJ32" s="167">
        <v>233.1</v>
      </c>
      <c r="BK32" s="168"/>
      <c r="BL32" s="56"/>
      <c r="BM32" s="168" t="s">
        <v>397</v>
      </c>
      <c r="BN32" s="169" t="s">
        <v>386</v>
      </c>
      <c r="BO32" s="168"/>
      <c r="BP32" s="168"/>
      <c r="BQ32" s="168"/>
      <c r="BR32" s="207"/>
      <c r="BS32" s="168"/>
      <c r="BT32" s="168"/>
      <c r="BU32" s="167"/>
      <c r="BV32" s="170"/>
      <c r="BW32" s="48"/>
      <c r="BX32" s="168"/>
      <c r="BY32" s="168"/>
      <c r="BZ32" s="48"/>
      <c r="CA32" s="48"/>
      <c r="CB32" s="48"/>
      <c r="CC32" s="167"/>
      <c r="CD32" s="137"/>
      <c r="CE32" s="171"/>
      <c r="CF32" s="172" t="s">
        <v>166</v>
      </c>
      <c r="CG32" s="165"/>
    </row>
    <row r="33" spans="1:86" s="138" customFormat="1" ht="15" customHeight="1">
      <c r="A33" s="48" t="s">
        <v>195</v>
      </c>
      <c r="B33" s="29" t="s">
        <v>111</v>
      </c>
      <c r="C33" s="168">
        <v>45901</v>
      </c>
      <c r="D33" s="48" t="s">
        <v>179</v>
      </c>
      <c r="E33" s="29" t="s">
        <v>113</v>
      </c>
      <c r="F33" s="48" t="s">
        <v>114</v>
      </c>
      <c r="G33" s="48" t="s">
        <v>130</v>
      </c>
      <c r="H33" s="48" t="s">
        <v>116</v>
      </c>
      <c r="I33" s="48" t="s">
        <v>116</v>
      </c>
      <c r="J33" s="170" t="s">
        <v>116</v>
      </c>
      <c r="K33" s="170" t="b">
        <v>0</v>
      </c>
      <c r="L33" s="170" t="s">
        <v>116</v>
      </c>
      <c r="M33" s="170" t="s">
        <v>116</v>
      </c>
      <c r="N33" s="170" t="s">
        <v>116</v>
      </c>
      <c r="O33" s="170" t="s">
        <v>118</v>
      </c>
      <c r="P33" s="48" t="s">
        <v>180</v>
      </c>
      <c r="Q33" s="48" t="s">
        <v>181</v>
      </c>
      <c r="R33" s="170" t="s">
        <v>116</v>
      </c>
      <c r="S33" s="170" t="s">
        <v>116</v>
      </c>
      <c r="T33" s="170" t="s">
        <v>116</v>
      </c>
      <c r="U33" s="170" t="s">
        <v>116</v>
      </c>
      <c r="V33" s="170" t="s">
        <v>116</v>
      </c>
      <c r="W33" s="170" t="s">
        <v>116</v>
      </c>
      <c r="X33" s="173" t="s">
        <v>398</v>
      </c>
      <c r="Y33" s="167">
        <v>146.76</v>
      </c>
      <c r="Z33" s="48" t="s">
        <v>123</v>
      </c>
      <c r="AA33" s="48">
        <v>1</v>
      </c>
      <c r="AB33" s="174">
        <v>0</v>
      </c>
      <c r="AC33" s="174"/>
      <c r="AD33" s="174">
        <v>0</v>
      </c>
      <c r="AE33" s="174">
        <v>0</v>
      </c>
      <c r="AF33" s="174">
        <v>0</v>
      </c>
      <c r="AG33" s="174">
        <v>0</v>
      </c>
      <c r="AH33" s="174">
        <v>0</v>
      </c>
      <c r="AI33" s="174">
        <v>0</v>
      </c>
      <c r="AJ33" s="174">
        <v>1.47</v>
      </c>
      <c r="AK33" s="174">
        <v>0</v>
      </c>
      <c r="AL33" s="174">
        <v>0</v>
      </c>
      <c r="AM33" s="174">
        <v>0</v>
      </c>
      <c r="AN33" s="174">
        <v>0</v>
      </c>
      <c r="AO33" s="174">
        <v>0</v>
      </c>
      <c r="AP33" s="174">
        <v>0</v>
      </c>
      <c r="AQ33" s="174">
        <v>0</v>
      </c>
      <c r="AR33" s="174">
        <v>0</v>
      </c>
      <c r="AS33" s="174">
        <v>0</v>
      </c>
      <c r="AT33" s="174">
        <v>0</v>
      </c>
      <c r="AU33" s="174">
        <v>0</v>
      </c>
      <c r="AV33" s="174">
        <v>0</v>
      </c>
      <c r="AW33" s="174">
        <v>0</v>
      </c>
      <c r="AX33" s="174">
        <v>0</v>
      </c>
      <c r="AY33" s="174">
        <v>0</v>
      </c>
      <c r="AZ33" s="174">
        <v>0</v>
      </c>
      <c r="BA33" s="174">
        <v>0</v>
      </c>
      <c r="BB33" s="174">
        <v>0</v>
      </c>
      <c r="BC33" s="174">
        <v>0</v>
      </c>
      <c r="BD33" s="174">
        <v>0</v>
      </c>
      <c r="BE33" s="174">
        <v>0</v>
      </c>
      <c r="BF33" s="174">
        <v>0</v>
      </c>
      <c r="BG33" s="174">
        <f t="shared" si="0"/>
        <v>1.47</v>
      </c>
      <c r="BH33" s="175" t="s">
        <v>197</v>
      </c>
      <c r="BI33" s="166">
        <v>46011</v>
      </c>
      <c r="BJ33" s="167">
        <v>504.9</v>
      </c>
      <c r="BK33" s="168"/>
      <c r="BL33" s="56"/>
      <c r="BM33" s="168" t="s">
        <v>397</v>
      </c>
      <c r="BN33" s="169" t="s">
        <v>386</v>
      </c>
      <c r="BO33" s="168"/>
      <c r="BP33" s="168"/>
      <c r="BQ33" s="168"/>
      <c r="BR33" s="207"/>
      <c r="BS33" s="168"/>
      <c r="BT33" s="168"/>
      <c r="BU33" s="167"/>
      <c r="BV33" s="170"/>
      <c r="BW33" s="48"/>
      <c r="BX33" s="168"/>
      <c r="BY33" s="168"/>
      <c r="BZ33" s="48"/>
      <c r="CA33" s="48"/>
      <c r="CB33" s="48"/>
      <c r="CC33" s="167"/>
      <c r="CD33" s="137"/>
      <c r="CE33" s="171"/>
      <c r="CF33" s="172" t="s">
        <v>166</v>
      </c>
      <c r="CG33" s="165"/>
    </row>
    <row r="34" spans="1:86" s="138" customFormat="1" ht="15" customHeight="1">
      <c r="A34" s="48" t="s">
        <v>198</v>
      </c>
      <c r="B34" s="29" t="s">
        <v>111</v>
      </c>
      <c r="C34" s="168">
        <v>45901</v>
      </c>
      <c r="D34" s="48" t="s">
        <v>179</v>
      </c>
      <c r="E34" s="29" t="s">
        <v>113</v>
      </c>
      <c r="F34" s="48" t="s">
        <v>114</v>
      </c>
      <c r="G34" s="48" t="s">
        <v>130</v>
      </c>
      <c r="H34" s="48" t="s">
        <v>116</v>
      </c>
      <c r="I34" s="48" t="s">
        <v>116</v>
      </c>
      <c r="J34" s="170" t="s">
        <v>116</v>
      </c>
      <c r="K34" s="170" t="b">
        <v>0</v>
      </c>
      <c r="L34" s="170" t="s">
        <v>116</v>
      </c>
      <c r="M34" s="170" t="s">
        <v>116</v>
      </c>
      <c r="N34" s="170" t="s">
        <v>116</v>
      </c>
      <c r="O34" s="170" t="s">
        <v>118</v>
      </c>
      <c r="P34" s="48" t="s">
        <v>180</v>
      </c>
      <c r="Q34" s="48" t="s">
        <v>181</v>
      </c>
      <c r="R34" s="170" t="s">
        <v>116</v>
      </c>
      <c r="S34" s="170" t="s">
        <v>116</v>
      </c>
      <c r="T34" s="170" t="s">
        <v>116</v>
      </c>
      <c r="U34" s="170" t="s">
        <v>116</v>
      </c>
      <c r="V34" s="170" t="s">
        <v>116</v>
      </c>
      <c r="W34" s="170" t="s">
        <v>116</v>
      </c>
      <c r="X34" s="173" t="s">
        <v>398</v>
      </c>
      <c r="Y34" s="167">
        <v>168.77</v>
      </c>
      <c r="Z34" s="48" t="s">
        <v>123</v>
      </c>
      <c r="AA34" s="48">
        <v>1</v>
      </c>
      <c r="AB34" s="174">
        <v>0</v>
      </c>
      <c r="AC34" s="174"/>
      <c r="AD34" s="174">
        <v>0</v>
      </c>
      <c r="AE34" s="174">
        <v>0</v>
      </c>
      <c r="AF34" s="174">
        <v>0</v>
      </c>
      <c r="AG34" s="174">
        <v>0</v>
      </c>
      <c r="AH34" s="174">
        <v>0</v>
      </c>
      <c r="AI34" s="174">
        <v>0</v>
      </c>
      <c r="AJ34" s="174">
        <v>1.69</v>
      </c>
      <c r="AK34" s="174">
        <v>0</v>
      </c>
      <c r="AL34" s="174">
        <v>0</v>
      </c>
      <c r="AM34" s="174">
        <v>0</v>
      </c>
      <c r="AN34" s="174">
        <v>0</v>
      </c>
      <c r="AO34" s="174">
        <v>0</v>
      </c>
      <c r="AP34" s="174">
        <v>0</v>
      </c>
      <c r="AQ34" s="174">
        <v>0</v>
      </c>
      <c r="AR34" s="174">
        <v>0</v>
      </c>
      <c r="AS34" s="174">
        <v>0</v>
      </c>
      <c r="AT34" s="174">
        <v>0</v>
      </c>
      <c r="AU34" s="174">
        <v>0</v>
      </c>
      <c r="AV34" s="174">
        <v>0</v>
      </c>
      <c r="AW34" s="174">
        <v>0</v>
      </c>
      <c r="AX34" s="174">
        <v>0</v>
      </c>
      <c r="AY34" s="174">
        <v>0</v>
      </c>
      <c r="AZ34" s="174">
        <v>0</v>
      </c>
      <c r="BA34" s="174">
        <v>0</v>
      </c>
      <c r="BB34" s="174">
        <v>0</v>
      </c>
      <c r="BC34" s="174">
        <v>0</v>
      </c>
      <c r="BD34" s="174">
        <v>0</v>
      </c>
      <c r="BE34" s="174">
        <v>0</v>
      </c>
      <c r="BF34" s="174">
        <v>0</v>
      </c>
      <c r="BG34" s="174">
        <f t="shared" si="0"/>
        <v>1.69</v>
      </c>
      <c r="BH34" s="175" t="s">
        <v>197</v>
      </c>
      <c r="BI34" s="166">
        <v>46011</v>
      </c>
      <c r="BJ34" s="167">
        <v>504.9</v>
      </c>
      <c r="BK34" s="168"/>
      <c r="BL34" s="56"/>
      <c r="BM34" s="168" t="s">
        <v>397</v>
      </c>
      <c r="BN34" s="169" t="s">
        <v>386</v>
      </c>
      <c r="BO34" s="168"/>
      <c r="BP34" s="168"/>
      <c r="BQ34" s="168"/>
      <c r="BR34" s="207"/>
      <c r="BS34" s="168"/>
      <c r="BT34" s="168"/>
      <c r="BU34" s="167"/>
      <c r="BV34" s="170"/>
      <c r="BW34" s="48"/>
      <c r="BX34" s="168"/>
      <c r="BY34" s="168"/>
      <c r="BZ34" s="48"/>
      <c r="CA34" s="48"/>
      <c r="CB34" s="48"/>
      <c r="CC34" s="167"/>
      <c r="CD34" s="137"/>
      <c r="CE34" s="171"/>
      <c r="CF34" s="172" t="s">
        <v>166</v>
      </c>
      <c r="CG34" s="165"/>
    </row>
    <row r="35" spans="1:86" s="138" customFormat="1" ht="15" customHeight="1">
      <c r="A35" s="48" t="s">
        <v>200</v>
      </c>
      <c r="B35" s="29" t="s">
        <v>111</v>
      </c>
      <c r="C35" s="168">
        <v>45931</v>
      </c>
      <c r="D35" s="48" t="s">
        <v>179</v>
      </c>
      <c r="E35" s="29" t="s">
        <v>113</v>
      </c>
      <c r="F35" s="48" t="s">
        <v>114</v>
      </c>
      <c r="G35" s="48"/>
      <c r="H35" s="48"/>
      <c r="I35" s="48"/>
      <c r="J35" s="170"/>
      <c r="K35" s="170"/>
      <c r="L35" s="170"/>
      <c r="M35" s="170"/>
      <c r="N35" s="170"/>
      <c r="O35" s="170" t="s">
        <v>118</v>
      </c>
      <c r="P35" s="48" t="s">
        <v>180</v>
      </c>
      <c r="Q35" s="48" t="s">
        <v>181</v>
      </c>
      <c r="R35" s="170"/>
      <c r="S35" s="170"/>
      <c r="T35" s="170"/>
      <c r="U35" s="170"/>
      <c r="V35" s="170"/>
      <c r="W35" s="170"/>
      <c r="X35" s="173" t="s">
        <v>398</v>
      </c>
      <c r="Y35" s="167"/>
      <c r="Z35" s="48"/>
      <c r="AA35" s="48">
        <v>1</v>
      </c>
      <c r="AB35" s="174">
        <v>0</v>
      </c>
      <c r="AC35" s="174"/>
      <c r="AD35" s="174">
        <v>0</v>
      </c>
      <c r="AE35" s="174">
        <v>0</v>
      </c>
      <c r="AF35" s="174">
        <v>0</v>
      </c>
      <c r="AG35" s="174">
        <v>0</v>
      </c>
      <c r="AH35" s="174">
        <v>0</v>
      </c>
      <c r="AI35" s="174">
        <v>0</v>
      </c>
      <c r="AJ35" s="174">
        <v>3.16</v>
      </c>
      <c r="AK35" s="174">
        <v>0</v>
      </c>
      <c r="AL35" s="174">
        <v>0</v>
      </c>
      <c r="AM35" s="174">
        <v>0</v>
      </c>
      <c r="AN35" s="174">
        <v>0</v>
      </c>
      <c r="AO35" s="174">
        <v>0</v>
      </c>
      <c r="AP35" s="174">
        <v>0</v>
      </c>
      <c r="AQ35" s="174">
        <v>0</v>
      </c>
      <c r="AR35" s="174">
        <v>0</v>
      </c>
      <c r="AS35" s="174">
        <v>0</v>
      </c>
      <c r="AT35" s="174">
        <v>0</v>
      </c>
      <c r="AU35" s="174">
        <v>0</v>
      </c>
      <c r="AV35" s="174">
        <v>0</v>
      </c>
      <c r="AW35" s="174">
        <v>0</v>
      </c>
      <c r="AX35" s="174">
        <v>0</v>
      </c>
      <c r="AY35" s="174">
        <v>0</v>
      </c>
      <c r="AZ35" s="174">
        <v>0</v>
      </c>
      <c r="BA35" s="174">
        <v>0</v>
      </c>
      <c r="BB35" s="174">
        <v>0</v>
      </c>
      <c r="BC35" s="174">
        <v>0</v>
      </c>
      <c r="BD35" s="174">
        <v>0</v>
      </c>
      <c r="BE35" s="174">
        <v>0</v>
      </c>
      <c r="BF35" s="174">
        <v>0</v>
      </c>
      <c r="BG35" s="174">
        <f t="shared" si="0"/>
        <v>3.16</v>
      </c>
      <c r="BH35" s="175" t="s">
        <v>399</v>
      </c>
      <c r="BI35" s="166">
        <v>46022</v>
      </c>
      <c r="BJ35" s="167">
        <v>-95.24</v>
      </c>
      <c r="BK35" s="168"/>
      <c r="BL35" s="56"/>
      <c r="BM35" s="168" t="s">
        <v>397</v>
      </c>
      <c r="BN35" s="169" t="s">
        <v>386</v>
      </c>
      <c r="BO35" s="168"/>
      <c r="BP35" s="168"/>
      <c r="BQ35" s="168"/>
      <c r="BR35" s="207"/>
      <c r="BS35" s="168"/>
      <c r="BT35" s="168"/>
      <c r="BU35" s="167"/>
      <c r="BV35" s="170"/>
      <c r="BW35" s="48"/>
      <c r="BX35" s="168"/>
      <c r="BY35" s="168"/>
      <c r="BZ35" s="48"/>
      <c r="CA35" s="48"/>
      <c r="CB35" s="48"/>
      <c r="CC35" s="167"/>
      <c r="CD35" s="137"/>
      <c r="CE35" s="171"/>
      <c r="CF35" s="172" t="s">
        <v>166</v>
      </c>
      <c r="CG35" s="165"/>
    </row>
    <row r="36" spans="1:86" s="138" customFormat="1" ht="15" customHeight="1">
      <c r="A36" s="48" t="s">
        <v>203</v>
      </c>
      <c r="B36" s="29" t="s">
        <v>111</v>
      </c>
      <c r="C36" s="168">
        <v>45839</v>
      </c>
      <c r="D36" s="48" t="s">
        <v>179</v>
      </c>
      <c r="E36" s="29" t="s">
        <v>113</v>
      </c>
      <c r="F36" s="48" t="s">
        <v>114</v>
      </c>
      <c r="G36" s="48" t="s">
        <v>153</v>
      </c>
      <c r="H36" s="48" t="s">
        <v>116</v>
      </c>
      <c r="I36" s="48" t="s">
        <v>116</v>
      </c>
      <c r="J36" s="170" t="s">
        <v>116</v>
      </c>
      <c r="K36" s="170" t="b">
        <v>0</v>
      </c>
      <c r="L36" s="170" t="s">
        <v>116</v>
      </c>
      <c r="M36" s="170" t="s">
        <v>116</v>
      </c>
      <c r="N36" s="170" t="s">
        <v>116</v>
      </c>
      <c r="O36" s="170" t="s">
        <v>118</v>
      </c>
      <c r="P36" s="48" t="s">
        <v>180</v>
      </c>
      <c r="Q36" s="48" t="s">
        <v>181</v>
      </c>
      <c r="R36" s="170" t="s">
        <v>116</v>
      </c>
      <c r="S36" s="170" t="s">
        <v>116</v>
      </c>
      <c r="T36" s="170" t="s">
        <v>116</v>
      </c>
      <c r="U36" s="170" t="s">
        <v>116</v>
      </c>
      <c r="V36" s="170" t="s">
        <v>116</v>
      </c>
      <c r="W36" s="170" t="s">
        <v>116</v>
      </c>
      <c r="X36" s="173" t="s">
        <v>398</v>
      </c>
      <c r="Y36" s="167">
        <v>92.72</v>
      </c>
      <c r="Z36" s="48" t="s">
        <v>116</v>
      </c>
      <c r="AA36" s="48">
        <v>1</v>
      </c>
      <c r="AB36" s="174">
        <v>0</v>
      </c>
      <c r="AC36" s="174"/>
      <c r="AD36" s="174">
        <v>0</v>
      </c>
      <c r="AE36" s="174">
        <v>0</v>
      </c>
      <c r="AF36" s="174">
        <v>0</v>
      </c>
      <c r="AG36" s="174">
        <v>0</v>
      </c>
      <c r="AH36" s="174">
        <v>0</v>
      </c>
      <c r="AI36" s="174">
        <v>0</v>
      </c>
      <c r="AJ36" s="174">
        <v>0.93</v>
      </c>
      <c r="AK36" s="174">
        <v>0</v>
      </c>
      <c r="AL36" s="174">
        <v>0</v>
      </c>
      <c r="AM36" s="174">
        <v>0</v>
      </c>
      <c r="AN36" s="174">
        <v>0</v>
      </c>
      <c r="AO36" s="174">
        <v>0</v>
      </c>
      <c r="AP36" s="174">
        <v>0</v>
      </c>
      <c r="AQ36" s="174">
        <v>0</v>
      </c>
      <c r="AR36" s="174">
        <v>0</v>
      </c>
      <c r="AS36" s="174">
        <v>0</v>
      </c>
      <c r="AT36" s="174">
        <v>0</v>
      </c>
      <c r="AU36" s="174">
        <v>0</v>
      </c>
      <c r="AV36" s="174">
        <v>0</v>
      </c>
      <c r="AW36" s="174">
        <v>0</v>
      </c>
      <c r="AX36" s="174">
        <v>0</v>
      </c>
      <c r="AY36" s="174">
        <v>0</v>
      </c>
      <c r="AZ36" s="174">
        <v>0</v>
      </c>
      <c r="BA36" s="174">
        <v>0</v>
      </c>
      <c r="BB36" s="174">
        <v>0</v>
      </c>
      <c r="BC36" s="174">
        <v>0</v>
      </c>
      <c r="BD36" s="174">
        <v>0</v>
      </c>
      <c r="BE36" s="174">
        <v>0</v>
      </c>
      <c r="BF36" s="174">
        <v>0</v>
      </c>
      <c r="BG36" s="174">
        <f t="shared" si="0"/>
        <v>0.93</v>
      </c>
      <c r="BH36" s="175" t="s">
        <v>174</v>
      </c>
      <c r="BI36" s="166">
        <v>45998</v>
      </c>
      <c r="BJ36" s="167">
        <v>233.1</v>
      </c>
      <c r="BK36" s="168"/>
      <c r="BL36" s="56"/>
      <c r="BM36" s="168" t="s">
        <v>397</v>
      </c>
      <c r="BN36" s="169" t="s">
        <v>386</v>
      </c>
      <c r="BO36" s="168"/>
      <c r="BP36" s="168"/>
      <c r="BQ36" s="168"/>
      <c r="BR36" s="207"/>
      <c r="BS36" s="168"/>
      <c r="BT36" s="168"/>
      <c r="BU36" s="167"/>
      <c r="BV36" s="170"/>
      <c r="BW36" s="48"/>
      <c r="BX36" s="168"/>
      <c r="BY36" s="168"/>
      <c r="BZ36" s="48"/>
      <c r="CA36" s="48"/>
      <c r="CB36" s="48"/>
      <c r="CC36" s="167"/>
      <c r="CD36" s="137"/>
      <c r="CE36" s="171"/>
      <c r="CF36" s="172" t="s">
        <v>166</v>
      </c>
      <c r="CG36" s="165"/>
    </row>
    <row r="37" spans="1:86" s="138" customFormat="1" ht="15" customHeight="1">
      <c r="A37" s="48" t="s">
        <v>205</v>
      </c>
      <c r="B37" s="29" t="s">
        <v>111</v>
      </c>
      <c r="C37" s="168">
        <v>45839</v>
      </c>
      <c r="D37" s="48" t="s">
        <v>179</v>
      </c>
      <c r="E37" s="29" t="s">
        <v>113</v>
      </c>
      <c r="F37" s="48" t="s">
        <v>114</v>
      </c>
      <c r="G37" s="48" t="s">
        <v>153</v>
      </c>
      <c r="H37" s="48" t="s">
        <v>116</v>
      </c>
      <c r="I37" s="48" t="s">
        <v>116</v>
      </c>
      <c r="J37" s="170" t="s">
        <v>116</v>
      </c>
      <c r="K37" s="170" t="b">
        <v>0</v>
      </c>
      <c r="L37" s="170" t="s">
        <v>116</v>
      </c>
      <c r="M37" s="170" t="s">
        <v>116</v>
      </c>
      <c r="N37" s="170" t="s">
        <v>116</v>
      </c>
      <c r="O37" s="170" t="s">
        <v>118</v>
      </c>
      <c r="P37" s="48" t="s">
        <v>180</v>
      </c>
      <c r="Q37" s="48" t="s">
        <v>181</v>
      </c>
      <c r="R37" s="170" t="s">
        <v>116</v>
      </c>
      <c r="S37" s="170" t="s">
        <v>116</v>
      </c>
      <c r="T37" s="170" t="s">
        <v>116</v>
      </c>
      <c r="U37" s="170" t="s">
        <v>116</v>
      </c>
      <c r="V37" s="170" t="s">
        <v>116</v>
      </c>
      <c r="W37" s="170" t="s">
        <v>116</v>
      </c>
      <c r="X37" s="173" t="s">
        <v>398</v>
      </c>
      <c r="Y37" s="167">
        <v>106.62</v>
      </c>
      <c r="Z37" s="48" t="s">
        <v>123</v>
      </c>
      <c r="AA37" s="48">
        <v>1</v>
      </c>
      <c r="AB37" s="174">
        <v>0</v>
      </c>
      <c r="AC37" s="174"/>
      <c r="AD37" s="174">
        <v>0</v>
      </c>
      <c r="AE37" s="174">
        <v>0</v>
      </c>
      <c r="AF37" s="174">
        <v>0</v>
      </c>
      <c r="AG37" s="174">
        <v>0</v>
      </c>
      <c r="AH37" s="174">
        <v>0</v>
      </c>
      <c r="AI37" s="174">
        <v>0</v>
      </c>
      <c r="AJ37" s="174">
        <v>1.07</v>
      </c>
      <c r="AK37" s="174">
        <v>0</v>
      </c>
      <c r="AL37" s="174">
        <v>0</v>
      </c>
      <c r="AM37" s="174">
        <v>0</v>
      </c>
      <c r="AN37" s="174">
        <v>0</v>
      </c>
      <c r="AO37" s="174">
        <v>0</v>
      </c>
      <c r="AP37" s="174">
        <v>0</v>
      </c>
      <c r="AQ37" s="174">
        <v>0</v>
      </c>
      <c r="AR37" s="174">
        <v>0</v>
      </c>
      <c r="AS37" s="174">
        <v>0</v>
      </c>
      <c r="AT37" s="174">
        <v>0</v>
      </c>
      <c r="AU37" s="174">
        <v>0</v>
      </c>
      <c r="AV37" s="174">
        <v>0</v>
      </c>
      <c r="AW37" s="174">
        <v>0</v>
      </c>
      <c r="AX37" s="174">
        <v>0</v>
      </c>
      <c r="AY37" s="174">
        <v>0</v>
      </c>
      <c r="AZ37" s="174">
        <v>0</v>
      </c>
      <c r="BA37" s="174">
        <v>0</v>
      </c>
      <c r="BB37" s="174">
        <v>0</v>
      </c>
      <c r="BC37" s="174">
        <v>0</v>
      </c>
      <c r="BD37" s="174">
        <v>0</v>
      </c>
      <c r="BE37" s="174">
        <v>0</v>
      </c>
      <c r="BF37" s="174">
        <v>0</v>
      </c>
      <c r="BG37" s="174">
        <f t="shared" si="0"/>
        <v>1.07</v>
      </c>
      <c r="BH37" s="175" t="s">
        <v>174</v>
      </c>
      <c r="BI37" s="166">
        <v>45998</v>
      </c>
      <c r="BJ37" s="167">
        <v>233.1</v>
      </c>
      <c r="BK37" s="168"/>
      <c r="BL37" s="56"/>
      <c r="BM37" s="168" t="s">
        <v>397</v>
      </c>
      <c r="BN37" s="169" t="s">
        <v>386</v>
      </c>
      <c r="BO37" s="168"/>
      <c r="BP37" s="168"/>
      <c r="BQ37" s="168"/>
      <c r="BR37" s="207"/>
      <c r="BS37" s="168"/>
      <c r="BT37" s="168"/>
      <c r="BU37" s="167"/>
      <c r="BV37" s="170"/>
      <c r="BW37" s="48"/>
      <c r="BX37" s="168"/>
      <c r="BY37" s="168"/>
      <c r="BZ37" s="48"/>
      <c r="CA37" s="48"/>
      <c r="CB37" s="48"/>
      <c r="CC37" s="167"/>
      <c r="CD37" s="137"/>
      <c r="CE37" s="171"/>
      <c r="CF37" s="172" t="s">
        <v>166</v>
      </c>
      <c r="CG37" s="165"/>
    </row>
    <row r="38" spans="1:86" s="138" customFormat="1" ht="15" customHeight="1">
      <c r="A38" s="48" t="s">
        <v>207</v>
      </c>
      <c r="B38" s="29" t="s">
        <v>111</v>
      </c>
      <c r="C38" s="168">
        <v>45931</v>
      </c>
      <c r="D38" s="48" t="s">
        <v>179</v>
      </c>
      <c r="E38" s="29" t="s">
        <v>113</v>
      </c>
      <c r="F38" s="48" t="s">
        <v>114</v>
      </c>
      <c r="G38" s="48"/>
      <c r="H38" s="48"/>
      <c r="I38" s="48"/>
      <c r="J38" s="170"/>
      <c r="K38" s="170"/>
      <c r="L38" s="170"/>
      <c r="M38" s="170"/>
      <c r="N38" s="170"/>
      <c r="O38" s="170" t="s">
        <v>118</v>
      </c>
      <c r="P38" s="48" t="s">
        <v>180</v>
      </c>
      <c r="Q38" s="48" t="s">
        <v>181</v>
      </c>
      <c r="R38" s="170"/>
      <c r="S38" s="170"/>
      <c r="T38" s="170"/>
      <c r="U38" s="170"/>
      <c r="V38" s="170"/>
      <c r="W38" s="170"/>
      <c r="X38" s="173" t="s">
        <v>398</v>
      </c>
      <c r="Y38" s="167"/>
      <c r="Z38" s="48"/>
      <c r="AA38" s="48">
        <v>1</v>
      </c>
      <c r="AB38" s="174">
        <v>0</v>
      </c>
      <c r="AC38" s="174"/>
      <c r="AD38" s="174">
        <v>0</v>
      </c>
      <c r="AE38" s="174">
        <v>0</v>
      </c>
      <c r="AF38" s="174">
        <v>0</v>
      </c>
      <c r="AG38" s="174">
        <v>0</v>
      </c>
      <c r="AH38" s="174">
        <v>0</v>
      </c>
      <c r="AI38" s="174">
        <v>0</v>
      </c>
      <c r="AJ38" s="174">
        <v>1.7</v>
      </c>
      <c r="AK38" s="174">
        <v>0</v>
      </c>
      <c r="AL38" s="174">
        <v>0</v>
      </c>
      <c r="AM38" s="174">
        <v>0</v>
      </c>
      <c r="AN38" s="174">
        <v>0</v>
      </c>
      <c r="AO38" s="174">
        <v>0</v>
      </c>
      <c r="AP38" s="174">
        <v>0</v>
      </c>
      <c r="AQ38" s="174">
        <v>0</v>
      </c>
      <c r="AR38" s="174">
        <v>0</v>
      </c>
      <c r="AS38" s="174">
        <v>0</v>
      </c>
      <c r="AT38" s="174">
        <v>0</v>
      </c>
      <c r="AU38" s="174">
        <v>0</v>
      </c>
      <c r="AV38" s="174">
        <v>0</v>
      </c>
      <c r="AW38" s="174">
        <v>0</v>
      </c>
      <c r="AX38" s="174">
        <v>0</v>
      </c>
      <c r="AY38" s="174">
        <v>0</v>
      </c>
      <c r="AZ38" s="174">
        <v>0</v>
      </c>
      <c r="BA38" s="174">
        <v>0</v>
      </c>
      <c r="BB38" s="174">
        <v>0</v>
      </c>
      <c r="BC38" s="174">
        <v>0</v>
      </c>
      <c r="BD38" s="174">
        <v>0</v>
      </c>
      <c r="BE38" s="174">
        <v>0</v>
      </c>
      <c r="BF38" s="174">
        <v>0</v>
      </c>
      <c r="BG38" s="174">
        <f t="shared" si="0"/>
        <v>1.7</v>
      </c>
      <c r="BH38" s="175" t="s">
        <v>202</v>
      </c>
      <c r="BI38" s="166">
        <v>45998</v>
      </c>
      <c r="BJ38" s="167">
        <v>233.1</v>
      </c>
      <c r="BK38" s="168"/>
      <c r="BL38" s="56"/>
      <c r="BM38" s="168" t="s">
        <v>397</v>
      </c>
      <c r="BN38" s="169" t="s">
        <v>386</v>
      </c>
      <c r="BO38" s="168"/>
      <c r="BP38" s="168"/>
      <c r="BQ38" s="168"/>
      <c r="BR38" s="207"/>
      <c r="BS38" s="168"/>
      <c r="BT38" s="168"/>
      <c r="BU38" s="167"/>
      <c r="BV38" s="170"/>
      <c r="BW38" s="48"/>
      <c r="BX38" s="168"/>
      <c r="BY38" s="168"/>
      <c r="BZ38" s="48"/>
      <c r="CA38" s="48"/>
      <c r="CB38" s="48"/>
      <c r="CC38" s="167"/>
      <c r="CD38" s="137"/>
      <c r="CE38" s="171"/>
      <c r="CF38" s="172" t="s">
        <v>166</v>
      </c>
      <c r="CG38" s="165"/>
    </row>
    <row r="39" spans="1:86" s="138" customFormat="1" ht="15" customHeight="1">
      <c r="A39" s="48" t="s">
        <v>330</v>
      </c>
      <c r="B39" s="29" t="s">
        <v>111</v>
      </c>
      <c r="C39" s="168">
        <v>45870</v>
      </c>
      <c r="D39" s="48" t="s">
        <v>290</v>
      </c>
      <c r="E39" s="29" t="s">
        <v>113</v>
      </c>
      <c r="F39" s="48" t="s">
        <v>114</v>
      </c>
      <c r="G39" s="48" t="s">
        <v>153</v>
      </c>
      <c r="H39" s="48" t="s">
        <v>116</v>
      </c>
      <c r="I39" s="48" t="s">
        <v>116</v>
      </c>
      <c r="J39" s="170" t="s">
        <v>116</v>
      </c>
      <c r="K39" s="170" t="b">
        <v>0</v>
      </c>
      <c r="L39" s="170" t="s">
        <v>116</v>
      </c>
      <c r="M39" s="170" t="s">
        <v>116</v>
      </c>
      <c r="N39" s="170"/>
      <c r="O39" s="170"/>
      <c r="P39" s="48" t="s">
        <v>118</v>
      </c>
      <c r="Q39" s="48" t="s">
        <v>180</v>
      </c>
      <c r="R39" s="170" t="s">
        <v>116</v>
      </c>
      <c r="S39" s="170" t="s">
        <v>116</v>
      </c>
      <c r="T39" s="170" t="s">
        <v>116</v>
      </c>
      <c r="U39" s="170" t="s">
        <v>116</v>
      </c>
      <c r="V39" s="170" t="s">
        <v>116</v>
      </c>
      <c r="W39" s="170" t="s">
        <v>116</v>
      </c>
      <c r="X39" s="173" t="s">
        <v>331</v>
      </c>
      <c r="Y39" s="167">
        <v>164.36</v>
      </c>
      <c r="Z39" s="48" t="s">
        <v>123</v>
      </c>
      <c r="AA39" s="48">
        <v>1</v>
      </c>
      <c r="AB39" s="174">
        <v>0</v>
      </c>
      <c r="AC39" s="174"/>
      <c r="AD39" s="174">
        <v>0</v>
      </c>
      <c r="AE39" s="174">
        <v>0</v>
      </c>
      <c r="AF39" s="174">
        <v>0</v>
      </c>
      <c r="AG39" s="174">
        <v>0</v>
      </c>
      <c r="AH39" s="174">
        <v>0</v>
      </c>
      <c r="AI39" s="174">
        <v>0</v>
      </c>
      <c r="AJ39" s="174">
        <v>0</v>
      </c>
      <c r="AK39" s="174">
        <v>39.44</v>
      </c>
      <c r="AL39" s="174">
        <v>0</v>
      </c>
      <c r="AM39" s="174">
        <v>0</v>
      </c>
      <c r="AN39" s="174">
        <v>0</v>
      </c>
      <c r="AO39" s="174">
        <v>0</v>
      </c>
      <c r="AP39" s="174">
        <v>0</v>
      </c>
      <c r="AQ39" s="174">
        <v>0</v>
      </c>
      <c r="AR39" s="174">
        <v>0</v>
      </c>
      <c r="AS39" s="174">
        <v>0</v>
      </c>
      <c r="AT39" s="174">
        <v>0</v>
      </c>
      <c r="AU39" s="174">
        <v>0</v>
      </c>
      <c r="AV39" s="174">
        <v>0</v>
      </c>
      <c r="AW39" s="174">
        <v>0</v>
      </c>
      <c r="AX39" s="174">
        <v>0</v>
      </c>
      <c r="AY39" s="174">
        <v>0</v>
      </c>
      <c r="AZ39" s="174">
        <v>0</v>
      </c>
      <c r="BA39" s="174">
        <v>0</v>
      </c>
      <c r="BB39" s="174">
        <v>0</v>
      </c>
      <c r="BC39" s="174">
        <v>0</v>
      </c>
      <c r="BD39" s="174">
        <v>0</v>
      </c>
      <c r="BE39" s="174">
        <v>0</v>
      </c>
      <c r="BF39" s="174">
        <v>0</v>
      </c>
      <c r="BG39" s="174">
        <f t="shared" si="0"/>
        <v>39.44</v>
      </c>
      <c r="BH39" s="175" t="s">
        <v>332</v>
      </c>
      <c r="BI39" s="166">
        <v>46011</v>
      </c>
      <c r="BJ39" s="167">
        <v>504.9</v>
      </c>
      <c r="BK39" s="168"/>
      <c r="BL39" s="56"/>
      <c r="BM39" s="168" t="s">
        <v>397</v>
      </c>
      <c r="BN39" s="169" t="s">
        <v>386</v>
      </c>
      <c r="BO39" s="168"/>
      <c r="BP39" s="168"/>
      <c r="BQ39" s="168"/>
      <c r="BR39" s="207"/>
      <c r="BS39" s="168"/>
      <c r="BT39" s="168"/>
      <c r="BU39" s="167"/>
      <c r="BV39" s="170"/>
      <c r="BW39" s="48"/>
      <c r="BX39" s="168"/>
      <c r="BY39" s="168"/>
      <c r="BZ39" s="48"/>
      <c r="CA39" s="48"/>
      <c r="CB39" s="48"/>
      <c r="CC39" s="167"/>
      <c r="CD39" s="137"/>
      <c r="CE39" s="171"/>
      <c r="CF39" s="172" t="s">
        <v>166</v>
      </c>
      <c r="CG39" s="165"/>
    </row>
    <row r="40" spans="1:86" s="138" customFormat="1" ht="15" customHeight="1">
      <c r="A40" s="48" t="s">
        <v>333</v>
      </c>
      <c r="B40" s="29" t="s">
        <v>111</v>
      </c>
      <c r="C40" s="168">
        <v>45292</v>
      </c>
      <c r="D40" s="48" t="s">
        <v>334</v>
      </c>
      <c r="E40" s="29" t="s">
        <v>113</v>
      </c>
      <c r="F40" s="48" t="s">
        <v>114</v>
      </c>
      <c r="G40" s="48" t="s">
        <v>115</v>
      </c>
      <c r="H40" s="48" t="s">
        <v>116</v>
      </c>
      <c r="I40" s="48" t="s">
        <v>117</v>
      </c>
      <c r="J40" s="170" t="s">
        <v>116</v>
      </c>
      <c r="K40" s="170" t="b">
        <v>0</v>
      </c>
      <c r="L40" s="170" t="s">
        <v>116</v>
      </c>
      <c r="M40" s="170" t="s">
        <v>116</v>
      </c>
      <c r="N40" s="170" t="s">
        <v>116</v>
      </c>
      <c r="O40" s="170" t="s">
        <v>116</v>
      </c>
      <c r="P40" s="48" t="s">
        <v>118</v>
      </c>
      <c r="Q40" s="48" t="s">
        <v>180</v>
      </c>
      <c r="R40" s="170" t="s">
        <v>116</v>
      </c>
      <c r="S40" s="170" t="s">
        <v>116</v>
      </c>
      <c r="T40" s="170" t="s">
        <v>116</v>
      </c>
      <c r="U40" s="170" t="s">
        <v>116</v>
      </c>
      <c r="V40" s="170" t="s">
        <v>116</v>
      </c>
      <c r="W40" s="170" t="s">
        <v>116</v>
      </c>
      <c r="X40" s="173" t="s">
        <v>335</v>
      </c>
      <c r="Y40" s="167" t="s">
        <v>116</v>
      </c>
      <c r="Z40" s="48" t="s">
        <v>123</v>
      </c>
      <c r="AA40" s="48">
        <v>1</v>
      </c>
      <c r="AB40" s="174">
        <v>0</v>
      </c>
      <c r="AC40" s="174"/>
      <c r="AD40" s="174">
        <v>0</v>
      </c>
      <c r="AE40" s="174">
        <v>0</v>
      </c>
      <c r="AF40" s="174">
        <v>0</v>
      </c>
      <c r="AG40" s="174">
        <v>0</v>
      </c>
      <c r="AH40" s="174">
        <v>0</v>
      </c>
      <c r="AI40" s="174">
        <v>0</v>
      </c>
      <c r="AJ40" s="174">
        <v>0</v>
      </c>
      <c r="AK40" s="174">
        <v>30.51</v>
      </c>
      <c r="AL40" s="174">
        <v>0</v>
      </c>
      <c r="AM40" s="174">
        <v>0</v>
      </c>
      <c r="AN40" s="174">
        <v>0</v>
      </c>
      <c r="AO40" s="174">
        <v>0</v>
      </c>
      <c r="AP40" s="174">
        <v>0</v>
      </c>
      <c r="AQ40" s="174">
        <v>0</v>
      </c>
      <c r="AR40" s="174">
        <v>0</v>
      </c>
      <c r="AS40" s="174">
        <v>0</v>
      </c>
      <c r="AT40" s="174">
        <v>0</v>
      </c>
      <c r="AU40" s="174">
        <v>0</v>
      </c>
      <c r="AV40" s="174">
        <v>0</v>
      </c>
      <c r="AW40" s="174">
        <v>0</v>
      </c>
      <c r="AX40" s="174">
        <v>0</v>
      </c>
      <c r="AY40" s="174">
        <v>0</v>
      </c>
      <c r="AZ40" s="174">
        <v>0</v>
      </c>
      <c r="BA40" s="174">
        <v>0</v>
      </c>
      <c r="BB40" s="174">
        <v>0</v>
      </c>
      <c r="BC40" s="174">
        <v>0</v>
      </c>
      <c r="BD40" s="174">
        <v>0</v>
      </c>
      <c r="BE40" s="174">
        <v>0</v>
      </c>
      <c r="BF40" s="174">
        <v>0</v>
      </c>
      <c r="BG40" s="174">
        <f t="shared" si="0"/>
        <v>30.51</v>
      </c>
      <c r="BH40" s="175" t="s">
        <v>336</v>
      </c>
      <c r="BI40" s="166">
        <v>45998</v>
      </c>
      <c r="BJ40" s="167">
        <v>233.1</v>
      </c>
      <c r="BK40" s="168"/>
      <c r="BL40" s="56"/>
      <c r="BM40" s="168" t="s">
        <v>397</v>
      </c>
      <c r="BN40" s="169" t="s">
        <v>386</v>
      </c>
      <c r="BO40" s="168"/>
      <c r="BP40" s="168"/>
      <c r="BQ40" s="168"/>
      <c r="BR40" s="207"/>
      <c r="BS40" s="168"/>
      <c r="BT40" s="168"/>
      <c r="BU40" s="167"/>
      <c r="BV40" s="170"/>
      <c r="BW40" s="48"/>
      <c r="BX40" s="168"/>
      <c r="BY40" s="168"/>
      <c r="BZ40" s="48"/>
      <c r="CA40" s="48"/>
      <c r="CB40" s="48"/>
      <c r="CC40" s="167"/>
      <c r="CD40" s="137"/>
      <c r="CE40" s="171"/>
      <c r="CF40" s="172" t="s">
        <v>157</v>
      </c>
      <c r="CG40" s="165"/>
    </row>
    <row r="41" spans="1:86" s="138" customFormat="1" ht="15" customHeight="1">
      <c r="A41" s="48"/>
      <c r="B41" s="29"/>
      <c r="C41" s="168"/>
      <c r="D41" s="48"/>
      <c r="E41" s="29"/>
      <c r="F41" s="48"/>
      <c r="G41" s="48"/>
      <c r="H41" s="48"/>
      <c r="I41" s="48"/>
      <c r="J41" s="170"/>
      <c r="K41" s="170"/>
      <c r="L41" s="170"/>
      <c r="M41" s="170"/>
      <c r="N41" s="170"/>
      <c r="O41" s="170"/>
      <c r="P41" s="48"/>
      <c r="Q41" s="48"/>
      <c r="R41" s="170"/>
      <c r="S41" s="170"/>
      <c r="T41" s="170"/>
      <c r="U41" s="170"/>
      <c r="V41" s="170"/>
      <c r="W41" s="170"/>
      <c r="X41" s="173"/>
      <c r="Y41" s="167"/>
      <c r="Z41" s="48"/>
      <c r="AA41" s="48"/>
      <c r="AB41" s="174"/>
      <c r="AC41" s="174"/>
      <c r="AD41" s="174"/>
      <c r="AE41" s="174"/>
      <c r="AF41" s="174"/>
      <c r="AG41" s="174"/>
      <c r="AH41" s="174"/>
      <c r="AI41" s="174"/>
      <c r="AJ41" s="174"/>
      <c r="AK41" s="174"/>
      <c r="AL41" s="174"/>
      <c r="AM41" s="174"/>
      <c r="AN41" s="174"/>
      <c r="AO41" s="174"/>
      <c r="AP41" s="174"/>
      <c r="AQ41" s="174"/>
      <c r="AR41" s="174"/>
      <c r="AS41" s="174"/>
      <c r="AT41" s="174"/>
      <c r="AU41" s="174"/>
      <c r="AV41" s="174"/>
      <c r="AW41" s="174"/>
      <c r="AX41" s="174"/>
      <c r="AY41" s="174"/>
      <c r="AZ41" s="174"/>
      <c r="BA41" s="174"/>
      <c r="BB41" s="174"/>
      <c r="BC41" s="174"/>
      <c r="BD41" s="174"/>
      <c r="BE41" s="174"/>
      <c r="BF41" s="174"/>
      <c r="BG41" s="174"/>
      <c r="BH41" s="175"/>
      <c r="BI41" s="166"/>
      <c r="BJ41" s="167"/>
      <c r="BK41" s="168"/>
      <c r="BL41" s="56"/>
      <c r="BM41" s="168"/>
      <c r="BN41" s="169"/>
      <c r="BO41" s="168"/>
      <c r="BP41" s="168"/>
      <c r="BQ41" s="168"/>
      <c r="BR41" s="207"/>
      <c r="BS41" s="168"/>
      <c r="BT41" s="168"/>
      <c r="BU41" s="167"/>
      <c r="BV41" s="170"/>
      <c r="BW41" s="48"/>
      <c r="BX41" s="168"/>
      <c r="BY41" s="168"/>
      <c r="BZ41" s="48"/>
      <c r="CA41" s="48"/>
      <c r="CB41" s="48"/>
      <c r="CC41" s="167"/>
      <c r="CD41" s="137"/>
      <c r="CE41" s="171"/>
      <c r="CF41" s="172"/>
      <c r="CG41" s="165"/>
    </row>
    <row r="42" spans="1:86" s="138" customFormat="1" ht="15" customHeight="1">
      <c r="A42" s="29"/>
      <c r="B42" s="29"/>
      <c r="C42" s="31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176"/>
      <c r="R42" s="176"/>
      <c r="S42" s="176"/>
      <c r="T42" s="176"/>
      <c r="U42" s="176"/>
      <c r="V42" s="176"/>
      <c r="W42" s="176"/>
      <c r="X42" s="177" t="s">
        <v>140</v>
      </c>
      <c r="Y42" s="178"/>
      <c r="Z42" s="179"/>
      <c r="AA42" s="179">
        <f t="shared" ref="AA42:AH42" si="1">SUM(AA27:AA40)</f>
        <v>14</v>
      </c>
      <c r="AB42" s="180">
        <f t="shared" si="1"/>
        <v>0</v>
      </c>
      <c r="AC42" s="180">
        <f t="shared" si="1"/>
        <v>0</v>
      </c>
      <c r="AD42" s="180">
        <f t="shared" si="1"/>
        <v>0</v>
      </c>
      <c r="AE42" s="180">
        <f t="shared" si="1"/>
        <v>0</v>
      </c>
      <c r="AF42" s="180">
        <f t="shared" si="1"/>
        <v>0</v>
      </c>
      <c r="AG42" s="180">
        <f t="shared" si="1"/>
        <v>0</v>
      </c>
      <c r="AH42" s="180">
        <f t="shared" si="1"/>
        <v>0</v>
      </c>
      <c r="AI42" s="180">
        <f t="shared" ref="AI42:BG42" si="2">SUM(AI27:AI41)</f>
        <v>0</v>
      </c>
      <c r="AJ42" s="180">
        <f t="shared" si="2"/>
        <v>18.239999999999998</v>
      </c>
      <c r="AK42" s="180">
        <f t="shared" si="2"/>
        <v>69.95</v>
      </c>
      <c r="AL42" s="180">
        <f t="shared" si="2"/>
        <v>0</v>
      </c>
      <c r="AM42" s="180">
        <f t="shared" si="2"/>
        <v>0</v>
      </c>
      <c r="AN42" s="180">
        <f t="shared" si="2"/>
        <v>0</v>
      </c>
      <c r="AO42" s="180">
        <f t="shared" si="2"/>
        <v>0</v>
      </c>
      <c r="AP42" s="180">
        <f t="shared" si="2"/>
        <v>0</v>
      </c>
      <c r="AQ42" s="180">
        <f t="shared" si="2"/>
        <v>0</v>
      </c>
      <c r="AR42" s="180">
        <f t="shared" si="2"/>
        <v>0</v>
      </c>
      <c r="AS42" s="180">
        <f t="shared" si="2"/>
        <v>0</v>
      </c>
      <c r="AT42" s="180">
        <f t="shared" si="2"/>
        <v>0</v>
      </c>
      <c r="AU42" s="180">
        <f t="shared" si="2"/>
        <v>0</v>
      </c>
      <c r="AV42" s="180">
        <f t="shared" si="2"/>
        <v>0</v>
      </c>
      <c r="AW42" s="180">
        <f t="shared" si="2"/>
        <v>0</v>
      </c>
      <c r="AX42" s="180">
        <f t="shared" si="2"/>
        <v>0</v>
      </c>
      <c r="AY42" s="180">
        <f t="shared" si="2"/>
        <v>0</v>
      </c>
      <c r="AZ42" s="180">
        <f t="shared" si="2"/>
        <v>0</v>
      </c>
      <c r="BA42" s="180">
        <f t="shared" si="2"/>
        <v>0</v>
      </c>
      <c r="BB42" s="180">
        <f t="shared" si="2"/>
        <v>0</v>
      </c>
      <c r="BC42" s="180">
        <f t="shared" si="2"/>
        <v>0</v>
      </c>
      <c r="BD42" s="180">
        <f t="shared" si="2"/>
        <v>0</v>
      </c>
      <c r="BE42" s="180">
        <f t="shared" si="2"/>
        <v>0</v>
      </c>
      <c r="BF42" s="180">
        <f t="shared" si="2"/>
        <v>0</v>
      </c>
      <c r="BG42" s="180">
        <f t="shared" si="2"/>
        <v>88.19</v>
      </c>
      <c r="BH42" s="181"/>
      <c r="BI42" s="31"/>
      <c r="BJ42" s="182"/>
      <c r="BK42" s="31"/>
      <c r="BL42" s="56"/>
      <c r="BM42" s="29"/>
      <c r="BN42" s="183"/>
      <c r="BO42" s="31"/>
      <c r="BP42" s="31"/>
      <c r="BQ42" s="31"/>
      <c r="BR42" s="208"/>
      <c r="BS42" s="31"/>
      <c r="BT42" s="183"/>
      <c r="BU42" s="182"/>
      <c r="BV42" s="183"/>
      <c r="BW42" s="183"/>
      <c r="BX42" s="31"/>
      <c r="BY42" s="183"/>
      <c r="BZ42" s="183"/>
      <c r="CA42" s="183"/>
      <c r="CB42" s="183"/>
      <c r="CC42" s="184"/>
      <c r="CD42" s="137"/>
      <c r="CE42" s="183"/>
      <c r="CF42" s="183"/>
      <c r="CG42" s="183"/>
      <c r="CH42" s="183"/>
    </row>
    <row r="43" spans="1:86" s="138" customFormat="1" ht="15" customHeight="1">
      <c r="A43" s="48"/>
      <c r="B43" s="29"/>
      <c r="C43" s="168"/>
      <c r="D43" s="48"/>
      <c r="E43" s="29"/>
      <c r="F43" s="48"/>
      <c r="G43" s="48"/>
      <c r="H43" s="48"/>
      <c r="I43" s="48"/>
      <c r="J43" s="170"/>
      <c r="K43" s="170"/>
      <c r="L43" s="170"/>
      <c r="M43" s="170"/>
      <c r="N43" s="170"/>
      <c r="O43" s="170"/>
      <c r="P43" s="48"/>
      <c r="Q43" s="48"/>
      <c r="R43" s="170"/>
      <c r="S43" s="170"/>
      <c r="T43" s="170"/>
      <c r="U43" s="170"/>
      <c r="V43" s="170"/>
      <c r="W43" s="170"/>
      <c r="X43" s="173"/>
      <c r="Y43" s="167"/>
      <c r="Z43" s="48"/>
      <c r="AA43" s="48"/>
      <c r="AB43" s="174"/>
      <c r="AC43" s="174"/>
      <c r="AD43" s="174"/>
      <c r="AE43" s="174"/>
      <c r="AF43" s="174"/>
      <c r="AG43" s="174"/>
      <c r="AH43" s="174"/>
      <c r="AI43" s="174"/>
      <c r="AJ43" s="174"/>
      <c r="AK43" s="174"/>
      <c r="AL43" s="174"/>
      <c r="AM43" s="174"/>
      <c r="AN43" s="174"/>
      <c r="AO43" s="174"/>
      <c r="AP43" s="174"/>
      <c r="AQ43" s="174"/>
      <c r="AR43" s="174"/>
      <c r="AS43" s="174"/>
      <c r="AT43" s="174"/>
      <c r="AU43" s="174"/>
      <c r="AV43" s="174"/>
      <c r="AW43" s="174"/>
      <c r="AX43" s="174"/>
      <c r="AY43" s="174"/>
      <c r="AZ43" s="174"/>
      <c r="BA43" s="174"/>
      <c r="BB43" s="174"/>
      <c r="BC43" s="174"/>
      <c r="BD43" s="174"/>
      <c r="BE43" s="174"/>
      <c r="BF43" s="174"/>
      <c r="BG43" s="174"/>
      <c r="BH43" s="175"/>
      <c r="BI43" s="166"/>
      <c r="BJ43" s="167"/>
      <c r="BK43" s="168"/>
      <c r="BL43" s="56"/>
      <c r="BM43" s="168"/>
      <c r="BN43" s="169"/>
      <c r="BO43" s="168"/>
      <c r="BP43" s="168"/>
      <c r="BQ43" s="168"/>
      <c r="BR43" s="207"/>
      <c r="BS43" s="168"/>
      <c r="BT43" s="168"/>
      <c r="BU43" s="167"/>
      <c r="BV43" s="170"/>
      <c r="BW43" s="48"/>
      <c r="BX43" s="168"/>
      <c r="BY43" s="168"/>
      <c r="BZ43" s="48"/>
      <c r="CA43" s="48"/>
      <c r="CB43" s="48"/>
      <c r="CC43" s="167"/>
      <c r="CD43" s="137"/>
      <c r="CE43" s="171"/>
      <c r="CF43" s="172"/>
      <c r="CG43" s="165"/>
    </row>
    <row r="44" spans="1:86" s="138" customFormat="1" ht="15" customHeight="1">
      <c r="A44" s="48"/>
      <c r="B44" s="29"/>
      <c r="C44" s="168"/>
      <c r="D44" s="48"/>
      <c r="E44" s="29"/>
      <c r="F44" s="48"/>
      <c r="G44" s="48"/>
      <c r="H44" s="48"/>
      <c r="I44" s="48"/>
      <c r="J44" s="170"/>
      <c r="K44" s="170"/>
      <c r="L44" s="170"/>
      <c r="M44" s="170"/>
      <c r="N44" s="170"/>
      <c r="O44" s="170"/>
      <c r="P44" s="48"/>
      <c r="Q44" s="48"/>
      <c r="R44" s="170"/>
      <c r="S44" s="170"/>
      <c r="T44" s="170"/>
      <c r="U44" s="170"/>
      <c r="V44" s="170"/>
      <c r="W44" s="170"/>
      <c r="X44" s="173"/>
      <c r="Y44" s="167"/>
      <c r="Z44" s="48"/>
      <c r="AA44" s="48"/>
      <c r="AB44" s="174"/>
      <c r="AC44" s="174"/>
      <c r="AD44" s="174"/>
      <c r="AE44" s="174"/>
      <c r="AF44" s="174"/>
      <c r="AG44" s="174"/>
      <c r="AH44" s="174"/>
      <c r="AI44" s="174"/>
      <c r="AJ44" s="174"/>
      <c r="AK44" s="174"/>
      <c r="AL44" s="174"/>
      <c r="AM44" s="174"/>
      <c r="AN44" s="174"/>
      <c r="AO44" s="174"/>
      <c r="AP44" s="174"/>
      <c r="AQ44" s="174"/>
      <c r="AR44" s="174"/>
      <c r="AS44" s="174"/>
      <c r="AT44" s="174"/>
      <c r="AU44" s="174"/>
      <c r="AV44" s="174"/>
      <c r="AW44" s="174"/>
      <c r="AX44" s="174"/>
      <c r="AY44" s="174"/>
      <c r="AZ44" s="174"/>
      <c r="BA44" s="174"/>
      <c r="BB44" s="174"/>
      <c r="BC44" s="174"/>
      <c r="BD44" s="174"/>
      <c r="BE44" s="174"/>
      <c r="BF44" s="174"/>
      <c r="BG44" s="174"/>
      <c r="BH44" s="175"/>
      <c r="BI44" s="166"/>
      <c r="BJ44" s="167"/>
      <c r="BK44" s="168"/>
      <c r="BL44" s="56"/>
      <c r="BM44" s="168"/>
      <c r="BN44" s="169"/>
      <c r="BO44" s="168"/>
      <c r="BP44" s="168"/>
      <c r="BQ44" s="168"/>
      <c r="BR44" s="207"/>
      <c r="BS44" s="168"/>
      <c r="BT44" s="168"/>
      <c r="BU44" s="167"/>
      <c r="BV44" s="170"/>
      <c r="BW44" s="48"/>
      <c r="BX44" s="168"/>
      <c r="BY44" s="168"/>
      <c r="BZ44" s="48"/>
      <c r="CA44" s="48"/>
      <c r="CB44" s="48"/>
      <c r="CC44" s="167"/>
      <c r="CD44" s="137"/>
      <c r="CE44" s="171"/>
      <c r="CF44" s="172"/>
      <c r="CG44" s="165"/>
    </row>
    <row r="45" spans="1:86" s="138" customFormat="1" ht="15" customHeight="1">
      <c r="A45" s="48"/>
      <c r="B45" s="29"/>
      <c r="C45" s="168"/>
      <c r="D45" s="48"/>
      <c r="E45" s="29"/>
      <c r="F45" s="48"/>
      <c r="G45" s="48"/>
      <c r="H45" s="48"/>
      <c r="I45" s="48"/>
      <c r="J45" s="170"/>
      <c r="K45" s="170"/>
      <c r="L45" s="170"/>
      <c r="M45" s="170"/>
      <c r="N45" s="170"/>
      <c r="O45" s="170"/>
      <c r="P45" s="48"/>
      <c r="Q45" s="48"/>
      <c r="R45" s="170"/>
      <c r="S45" s="170"/>
      <c r="T45" s="170"/>
      <c r="U45" s="170"/>
      <c r="V45" s="170"/>
      <c r="W45" s="170"/>
      <c r="X45" s="173"/>
      <c r="Y45" s="167"/>
      <c r="Z45" s="48"/>
      <c r="AA45" s="48"/>
      <c r="AB45" s="174"/>
      <c r="AC45" s="174"/>
      <c r="AD45" s="174"/>
      <c r="AE45" s="174"/>
      <c r="AF45" s="174"/>
      <c r="AG45" s="174"/>
      <c r="AH45" s="174"/>
      <c r="AI45" s="174"/>
      <c r="AJ45" s="174"/>
      <c r="AK45" s="174"/>
      <c r="AL45" s="174"/>
      <c r="AM45" s="174"/>
      <c r="AN45" s="174"/>
      <c r="AO45" s="174"/>
      <c r="AP45" s="174"/>
      <c r="AQ45" s="174"/>
      <c r="AR45" s="174"/>
      <c r="AS45" s="174"/>
      <c r="AT45" s="174"/>
      <c r="AU45" s="174"/>
      <c r="AV45" s="174"/>
      <c r="AW45" s="174"/>
      <c r="AX45" s="174"/>
      <c r="AY45" s="174"/>
      <c r="AZ45" s="174"/>
      <c r="BA45" s="174"/>
      <c r="BB45" s="174"/>
      <c r="BC45" s="174"/>
      <c r="BD45" s="174"/>
      <c r="BE45" s="174"/>
      <c r="BF45" s="174"/>
      <c r="BG45" s="174"/>
      <c r="BH45" s="175"/>
      <c r="BI45" s="166"/>
      <c r="BJ45" s="167"/>
      <c r="BK45" s="168"/>
      <c r="BL45" s="56"/>
      <c r="BM45" s="168"/>
      <c r="BN45" s="169"/>
      <c r="BO45" s="168"/>
      <c r="BP45" s="168"/>
      <c r="BQ45" s="168"/>
      <c r="BR45" s="207"/>
      <c r="BS45" s="168"/>
      <c r="BT45" s="168"/>
      <c r="BU45" s="167"/>
      <c r="BV45" s="170"/>
      <c r="BW45" s="48"/>
      <c r="BX45" s="168"/>
      <c r="BY45" s="168"/>
      <c r="BZ45" s="48"/>
      <c r="CA45" s="48"/>
      <c r="CB45" s="48"/>
      <c r="CC45" s="167"/>
      <c r="CD45" s="137"/>
      <c r="CE45" s="171"/>
      <c r="CF45" s="172"/>
      <c r="CG45" s="165"/>
    </row>
    <row r="46" spans="1:86" s="138" customFormat="1" ht="15" customHeight="1">
      <c r="A46" s="48"/>
      <c r="B46" s="29"/>
      <c r="C46" s="168"/>
      <c r="D46" s="48"/>
      <c r="E46" s="29"/>
      <c r="F46" s="48"/>
      <c r="G46" s="48"/>
      <c r="H46" s="48"/>
      <c r="I46" s="48"/>
      <c r="J46" s="170"/>
      <c r="K46" s="170"/>
      <c r="L46" s="170"/>
      <c r="M46" s="170"/>
      <c r="N46" s="170"/>
      <c r="O46" s="170"/>
      <c r="P46" s="48"/>
      <c r="Q46" s="48"/>
      <c r="R46" s="170"/>
      <c r="S46" s="170"/>
      <c r="T46" s="170"/>
      <c r="U46" s="170"/>
      <c r="V46" s="170"/>
      <c r="W46" s="170"/>
      <c r="X46" s="173"/>
      <c r="Y46" s="167"/>
      <c r="Z46" s="48"/>
      <c r="AA46" s="48"/>
      <c r="AB46" s="174"/>
      <c r="AC46" s="174"/>
      <c r="AD46" s="174"/>
      <c r="AE46" s="174"/>
      <c r="AF46" s="174"/>
      <c r="AG46" s="174"/>
      <c r="AH46" s="174"/>
      <c r="AI46" s="174"/>
      <c r="AJ46" s="174"/>
      <c r="AK46" s="174"/>
      <c r="AL46" s="174"/>
      <c r="AM46" s="174"/>
      <c r="AN46" s="174"/>
      <c r="AO46" s="174"/>
      <c r="AP46" s="174"/>
      <c r="AQ46" s="174"/>
      <c r="AR46" s="174"/>
      <c r="AS46" s="174"/>
      <c r="AT46" s="174"/>
      <c r="AU46" s="174"/>
      <c r="AV46" s="174"/>
      <c r="AW46" s="174"/>
      <c r="AX46" s="174"/>
      <c r="AY46" s="174"/>
      <c r="AZ46" s="174"/>
      <c r="BA46" s="174"/>
      <c r="BB46" s="174"/>
      <c r="BC46" s="174"/>
      <c r="BD46" s="174"/>
      <c r="BE46" s="174"/>
      <c r="BF46" s="174"/>
      <c r="BG46" s="174"/>
      <c r="BH46" s="175"/>
      <c r="BI46" s="166"/>
      <c r="BJ46" s="167"/>
      <c r="BK46" s="168"/>
      <c r="BL46" s="56"/>
      <c r="BM46" s="168"/>
      <c r="BN46" s="169"/>
      <c r="BO46" s="168"/>
      <c r="BP46" s="168"/>
      <c r="BQ46" s="168"/>
      <c r="BR46" s="207"/>
      <c r="BS46" s="168"/>
      <c r="BT46" s="168"/>
      <c r="BU46" s="167"/>
      <c r="BV46" s="170"/>
      <c r="BW46" s="48"/>
      <c r="BX46" s="168"/>
      <c r="BY46" s="168"/>
      <c r="BZ46" s="48"/>
      <c r="CA46" s="48"/>
      <c r="CB46" s="48"/>
      <c r="CC46" s="167"/>
      <c r="CD46" s="137"/>
      <c r="CE46" s="171"/>
      <c r="CF46" s="172"/>
      <c r="CG46" s="165"/>
    </row>
    <row r="47" spans="1:86" s="138" customFormat="1" ht="15" customHeight="1">
      <c r="A47" s="48"/>
      <c r="B47" s="29"/>
      <c r="C47" s="168"/>
      <c r="D47" s="48"/>
      <c r="E47" s="29"/>
      <c r="F47" s="48"/>
      <c r="G47" s="48"/>
      <c r="H47" s="48"/>
      <c r="I47" s="48"/>
      <c r="J47" s="170"/>
      <c r="K47" s="170"/>
      <c r="L47" s="170"/>
      <c r="M47" s="170"/>
      <c r="N47" s="170"/>
      <c r="O47" s="170"/>
      <c r="P47" s="48"/>
      <c r="Q47" s="48"/>
      <c r="R47" s="170"/>
      <c r="S47" s="170"/>
      <c r="T47" s="170"/>
      <c r="U47" s="170"/>
      <c r="V47" s="170"/>
      <c r="W47" s="170"/>
      <c r="X47" s="173"/>
      <c r="Y47" s="167"/>
      <c r="Z47" s="48"/>
      <c r="AA47" s="48"/>
      <c r="AB47" s="174"/>
      <c r="AC47" s="174"/>
      <c r="AD47" s="174"/>
      <c r="AE47" s="174"/>
      <c r="AF47" s="174"/>
      <c r="AG47" s="174"/>
      <c r="AH47" s="174"/>
      <c r="AI47" s="174"/>
      <c r="AJ47" s="174"/>
      <c r="AK47" s="174"/>
      <c r="AL47" s="174"/>
      <c r="AM47" s="174"/>
      <c r="AN47" s="174"/>
      <c r="AO47" s="174"/>
      <c r="AP47" s="174"/>
      <c r="AQ47" s="174"/>
      <c r="AR47" s="174"/>
      <c r="AS47" s="174"/>
      <c r="AT47" s="174"/>
      <c r="AU47" s="174"/>
      <c r="AV47" s="174"/>
      <c r="AW47" s="174"/>
      <c r="AX47" s="174"/>
      <c r="AY47" s="174"/>
      <c r="AZ47" s="174"/>
      <c r="BA47" s="174"/>
      <c r="BB47" s="174"/>
      <c r="BC47" s="174"/>
      <c r="BD47" s="174"/>
      <c r="BE47" s="174"/>
      <c r="BF47" s="174"/>
      <c r="BG47" s="174"/>
      <c r="BH47" s="175"/>
      <c r="BI47" s="166"/>
      <c r="BJ47" s="167"/>
      <c r="BK47" s="168"/>
      <c r="BL47" s="56"/>
      <c r="BM47" s="168"/>
      <c r="BN47" s="169"/>
      <c r="BO47" s="168"/>
      <c r="BP47" s="168"/>
      <c r="BQ47" s="168"/>
      <c r="BR47" s="207"/>
      <c r="BS47" s="168"/>
      <c r="BT47" s="168"/>
      <c r="BU47" s="167"/>
      <c r="BV47" s="170"/>
      <c r="BW47" s="48"/>
      <c r="BX47" s="168"/>
      <c r="BY47" s="168"/>
      <c r="BZ47" s="48"/>
      <c r="CA47" s="48"/>
      <c r="CB47" s="48"/>
      <c r="CC47" s="167"/>
      <c r="CD47" s="137"/>
      <c r="CE47" s="171"/>
      <c r="CF47" s="172"/>
      <c r="CG47" s="165"/>
    </row>
    <row r="48" spans="1:86" s="138" customFormat="1" ht="15.6">
      <c r="C48" s="185"/>
      <c r="X48" s="186"/>
      <c r="BL48" s="187"/>
    </row>
    <row r="49" spans="3:64" s="138" customFormat="1" ht="15.6">
      <c r="C49" s="185"/>
      <c r="X49" s="186"/>
      <c r="BL49" s="187"/>
    </row>
    <row r="50" spans="3:64" s="138" customFormat="1" ht="15.6">
      <c r="C50" s="185"/>
      <c r="X50" s="186"/>
      <c r="BL50" s="187"/>
    </row>
    <row r="51" spans="3:64" s="138" customFormat="1" ht="15.6">
      <c r="C51" s="185"/>
      <c r="X51" s="186"/>
      <c r="BL51" s="187"/>
    </row>
  </sheetData>
  <autoFilter ref="A26:CH26" xr:uid="{0B3BE0A8-94D9-4943-B51D-CC52050FCF99}"/>
  <printOptions horizontalCentered="1"/>
  <pageMargins left="0.5" right="0.5" top="0.5" bottom="0.5" header="0.3" footer="0.3"/>
  <pageSetup scale="25" fitToHeight="0" orientation="landscape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E6195-E17C-46CA-A91A-33A58A85D084}">
  <sheetPr>
    <tabColor theme="2" tint="-0.249977111117893"/>
    <pageSetUpPr fitToPage="1"/>
  </sheetPr>
  <dimension ref="A1:CH57"/>
  <sheetViews>
    <sheetView topLeftCell="A15" zoomScale="80" zoomScaleNormal="80" workbookViewId="0">
      <selection activeCell="A27" sqref="A27:XFD33"/>
    </sheetView>
  </sheetViews>
  <sheetFormatPr defaultColWidth="8.85546875" defaultRowHeight="14.45"/>
  <cols>
    <col min="1" max="1" width="29.140625" style="136" customWidth="1"/>
    <col min="2" max="2" width="7.28515625" style="136" hidden="1" customWidth="1"/>
    <col min="3" max="3" width="16.42578125" style="188" bestFit="1" customWidth="1"/>
    <col min="4" max="4" width="6.7109375" style="136" bestFit="1" customWidth="1"/>
    <col min="5" max="5" width="21" style="136" bestFit="1" customWidth="1"/>
    <col min="6" max="6" width="11.28515625" style="136" bestFit="1" customWidth="1"/>
    <col min="7" max="7" width="12.7109375" style="136" bestFit="1" customWidth="1"/>
    <col min="8" max="15" width="0.85546875" style="136" hidden="1" customWidth="1"/>
    <col min="16" max="16" width="3.42578125" style="136" hidden="1" customWidth="1"/>
    <col min="17" max="17" width="27" style="136" bestFit="1" customWidth="1"/>
    <col min="18" max="21" width="2.85546875" style="136" hidden="1" customWidth="1"/>
    <col min="22" max="22" width="19.85546875" style="136" hidden="1" customWidth="1"/>
    <col min="23" max="23" width="1.42578125" style="136" hidden="1" customWidth="1"/>
    <col min="24" max="24" width="22.140625" style="189" customWidth="1"/>
    <col min="25" max="25" width="5.140625" style="136" hidden="1" customWidth="1"/>
    <col min="26" max="26" width="19" style="136" hidden="1" customWidth="1"/>
    <col min="27" max="27" width="14.140625" style="136" hidden="1" customWidth="1"/>
    <col min="28" max="28" width="7.42578125" style="136" hidden="1" customWidth="1"/>
    <col min="29" max="29" width="1.7109375" style="136" hidden="1" customWidth="1"/>
    <col min="30" max="30" width="7.42578125" style="136" hidden="1" customWidth="1"/>
    <col min="31" max="34" width="1" style="136" hidden="1" customWidth="1"/>
    <col min="35" max="35" width="9.42578125" style="136" customWidth="1"/>
    <col min="36" max="36" width="10.28515625" style="136" customWidth="1"/>
    <col min="37" max="37" width="18.140625" style="136" hidden="1" customWidth="1"/>
    <col min="38" max="38" width="10.42578125" style="136" hidden="1" customWidth="1"/>
    <col min="39" max="40" width="1.42578125" style="136" hidden="1" customWidth="1"/>
    <col min="41" max="58" width="2.7109375" style="136" hidden="1" customWidth="1"/>
    <col min="59" max="59" width="10.140625" style="136" bestFit="1" customWidth="1"/>
    <col min="60" max="60" width="16.5703125" style="136" bestFit="1" customWidth="1"/>
    <col min="61" max="61" width="9.42578125" style="136" bestFit="1" customWidth="1"/>
    <col min="62" max="62" width="12.42578125" style="136" bestFit="1" customWidth="1"/>
    <col min="63" max="63" width="17.140625" style="136" bestFit="1" customWidth="1"/>
    <col min="64" max="64" width="32.28515625" style="190" bestFit="1" customWidth="1"/>
    <col min="65" max="65" width="18" style="136" bestFit="1" customWidth="1"/>
    <col min="66" max="66" width="8.85546875" style="136"/>
    <col min="67" max="67" width="0.5703125" style="136" customWidth="1"/>
    <col min="68" max="68" width="10.7109375" style="136" bestFit="1" customWidth="1"/>
    <col min="69" max="69" width="1" style="136" customWidth="1"/>
    <col min="70" max="70" width="19.5703125" style="136" bestFit="1" customWidth="1"/>
    <col min="71" max="74" width="0.7109375" style="136" customWidth="1"/>
    <col min="75" max="80" width="0.5703125" style="136" customWidth="1"/>
    <col min="81" max="81" width="13.7109375" style="136" bestFit="1" customWidth="1"/>
    <col min="82" max="82" width="14.7109375" style="136" bestFit="1" customWidth="1"/>
    <col min="83" max="83" width="8.85546875" style="136"/>
    <col min="84" max="84" width="17.140625" style="136" bestFit="1" customWidth="1"/>
    <col min="85" max="16384" width="8.85546875" style="136"/>
  </cols>
  <sheetData>
    <row r="1" spans="1:85" ht="25.9">
      <c r="A1" s="132" t="s">
        <v>25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3"/>
      <c r="R1" s="132"/>
      <c r="S1" s="132"/>
      <c r="T1" s="132"/>
      <c r="U1" s="132"/>
      <c r="V1" s="132"/>
      <c r="W1" s="132"/>
      <c r="X1" s="134"/>
      <c r="Y1" s="6"/>
      <c r="Z1" s="6"/>
      <c r="AA1" s="2"/>
      <c r="AB1" s="26"/>
      <c r="AC1" s="26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7"/>
      <c r="BI1" s="3"/>
      <c r="BJ1" s="8"/>
      <c r="BK1" s="3"/>
      <c r="BL1" s="40"/>
      <c r="BM1" s="28"/>
      <c r="BN1" s="5"/>
      <c r="BO1" s="3"/>
      <c r="BP1" s="3"/>
      <c r="BQ1" s="3"/>
      <c r="BR1" s="200"/>
      <c r="BS1" s="3"/>
      <c r="BT1" s="5"/>
      <c r="BU1" s="8"/>
      <c r="BV1" s="5"/>
      <c r="BW1" s="5"/>
      <c r="BX1" s="3"/>
      <c r="BY1" s="5"/>
      <c r="BZ1" s="5"/>
      <c r="CA1" s="5"/>
      <c r="CB1" s="5"/>
      <c r="CC1" s="5"/>
      <c r="CD1" s="135"/>
      <c r="CE1" s="5"/>
      <c r="CF1" s="5"/>
      <c r="CG1" s="5"/>
    </row>
    <row r="2" spans="1:85" s="138" customFormat="1" ht="15" customHeight="1">
      <c r="A2" s="43" t="s">
        <v>26</v>
      </c>
      <c r="B2" s="44"/>
      <c r="C2" s="46" t="s">
        <v>256</v>
      </c>
      <c r="D2" s="44"/>
      <c r="E2" s="44"/>
      <c r="F2" s="44"/>
      <c r="G2" s="29"/>
      <c r="H2" s="29"/>
      <c r="I2" s="29"/>
      <c r="J2" s="29"/>
      <c r="K2" s="29"/>
      <c r="L2" s="29"/>
      <c r="M2" s="29"/>
      <c r="N2" s="29"/>
      <c r="O2" s="29"/>
      <c r="P2" s="29"/>
      <c r="Q2" s="137"/>
      <c r="R2" s="30"/>
      <c r="S2" s="30"/>
      <c r="T2" s="30"/>
      <c r="U2" s="30"/>
      <c r="V2" s="30"/>
      <c r="W2" s="30"/>
      <c r="X2" s="39"/>
      <c r="Y2" s="30"/>
      <c r="Z2" s="30"/>
      <c r="AA2" s="31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3"/>
      <c r="BI2" s="34"/>
      <c r="BJ2" s="35"/>
      <c r="BK2" s="34"/>
      <c r="BL2" s="41"/>
      <c r="BM2" s="36"/>
      <c r="BN2" s="37"/>
      <c r="BO2" s="34"/>
      <c r="BP2" s="34"/>
      <c r="BQ2" s="34"/>
      <c r="BR2" s="205"/>
      <c r="BS2" s="34"/>
      <c r="BT2" s="37"/>
      <c r="BU2" s="35"/>
      <c r="BV2" s="37"/>
      <c r="BW2" s="37"/>
      <c r="BX2" s="34"/>
      <c r="BY2" s="37"/>
      <c r="BZ2" s="37"/>
      <c r="CA2" s="37"/>
      <c r="CB2" s="37"/>
      <c r="CC2" s="37"/>
      <c r="CD2" s="137"/>
      <c r="CE2" s="37"/>
      <c r="CF2" s="37"/>
      <c r="CG2" s="37"/>
    </row>
    <row r="3" spans="1:85" s="138" customFormat="1" ht="15" customHeight="1">
      <c r="A3" s="47" t="s">
        <v>27</v>
      </c>
      <c r="B3" s="29"/>
      <c r="C3" s="46" t="s">
        <v>387</v>
      </c>
      <c r="D3" s="48"/>
      <c r="E3" s="48"/>
      <c r="F3" s="48"/>
      <c r="G3" s="29"/>
      <c r="H3" s="29"/>
      <c r="I3" s="29"/>
      <c r="J3" s="29"/>
      <c r="K3" s="29"/>
      <c r="L3" s="29"/>
      <c r="M3" s="29"/>
      <c r="N3" s="29"/>
      <c r="O3" s="29"/>
      <c r="P3" s="29"/>
      <c r="Q3" s="137"/>
      <c r="R3" s="30"/>
      <c r="S3" s="30"/>
      <c r="T3" s="30"/>
      <c r="U3" s="30"/>
      <c r="V3" s="30"/>
      <c r="W3" s="30"/>
      <c r="X3" s="39"/>
      <c r="Y3" s="30"/>
      <c r="Z3" s="30"/>
      <c r="AA3" s="31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3"/>
      <c r="BI3" s="34"/>
      <c r="BJ3" s="35"/>
      <c r="BK3" s="34"/>
      <c r="BL3" s="41"/>
      <c r="BM3" s="36"/>
      <c r="BN3" s="37"/>
      <c r="BO3" s="34"/>
      <c r="BP3" s="34"/>
      <c r="BQ3" s="34"/>
      <c r="BR3" s="205"/>
      <c r="BS3" s="34"/>
      <c r="BT3" s="37"/>
      <c r="BU3" s="35"/>
      <c r="BV3" s="37"/>
      <c r="BW3" s="37"/>
      <c r="BX3" s="34"/>
      <c r="BY3" s="37"/>
      <c r="BZ3" s="37"/>
      <c r="CA3" s="37"/>
      <c r="CB3" s="37"/>
      <c r="CC3" s="37"/>
      <c r="CD3" s="137"/>
      <c r="CE3" s="37"/>
      <c r="CF3" s="37"/>
      <c r="CG3" s="37"/>
    </row>
    <row r="4" spans="1:85" s="138" customFormat="1" ht="15" customHeight="1">
      <c r="A4" s="43" t="s">
        <v>29</v>
      </c>
      <c r="B4" s="45"/>
      <c r="C4" s="46"/>
      <c r="D4" s="29"/>
      <c r="E4" s="29"/>
      <c r="F4" s="29"/>
      <c r="G4" s="29"/>
      <c r="H4" s="29"/>
      <c r="I4" s="29"/>
      <c r="J4" s="44"/>
      <c r="K4" s="44"/>
      <c r="L4" s="44"/>
      <c r="M4" s="44"/>
      <c r="N4" s="44"/>
      <c r="O4" s="44"/>
      <c r="P4" s="44"/>
      <c r="Q4" s="137"/>
      <c r="R4" s="49"/>
      <c r="S4" s="49"/>
      <c r="T4" s="49"/>
      <c r="U4" s="49"/>
      <c r="V4" s="49"/>
      <c r="W4" s="49"/>
      <c r="X4" s="39"/>
      <c r="Y4" s="49"/>
      <c r="Z4" s="49"/>
      <c r="AA4" s="31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50"/>
      <c r="BI4" s="34"/>
      <c r="BJ4" s="35"/>
      <c r="BK4" s="34"/>
      <c r="BL4" s="41"/>
      <c r="BM4" s="36"/>
      <c r="BN4" s="37"/>
      <c r="BO4" s="34"/>
      <c r="BP4" s="34"/>
      <c r="BQ4" s="34"/>
      <c r="BR4" s="205"/>
      <c r="BS4" s="34"/>
      <c r="BT4" s="37"/>
      <c r="BU4" s="35"/>
      <c r="BV4" s="37"/>
      <c r="BW4" s="37"/>
      <c r="BX4" s="34"/>
      <c r="BY4" s="37"/>
      <c r="BZ4" s="37"/>
      <c r="CA4" s="37"/>
      <c r="CB4" s="37"/>
      <c r="CC4" s="37"/>
      <c r="CD4" s="137"/>
      <c r="CE4" s="37"/>
      <c r="CF4" s="37"/>
      <c r="CG4" s="37"/>
    </row>
    <row r="5" spans="1:85" s="138" customFormat="1" ht="15" customHeight="1">
      <c r="A5" s="43" t="s">
        <v>30</v>
      </c>
      <c r="B5" s="45"/>
      <c r="C5" s="139">
        <v>1</v>
      </c>
      <c r="D5" s="29"/>
      <c r="E5" s="29"/>
      <c r="F5" s="29"/>
      <c r="G5" s="29"/>
      <c r="H5" s="29"/>
      <c r="I5" s="29"/>
      <c r="J5" s="44"/>
      <c r="K5" s="44"/>
      <c r="L5" s="44"/>
      <c r="M5" s="44"/>
      <c r="N5" s="44"/>
      <c r="O5" s="44"/>
      <c r="P5" s="44"/>
      <c r="Q5" s="137"/>
      <c r="R5" s="49"/>
      <c r="S5" s="49"/>
      <c r="T5" s="49"/>
      <c r="U5" s="49"/>
      <c r="V5" s="49"/>
      <c r="W5" s="49"/>
      <c r="X5" s="39"/>
      <c r="Y5" s="49"/>
      <c r="Z5" s="49"/>
      <c r="AA5" s="31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50"/>
      <c r="BI5" s="34"/>
      <c r="BJ5" s="35"/>
      <c r="BK5" s="34"/>
      <c r="BL5" s="41"/>
      <c r="BM5" s="36"/>
      <c r="BN5" s="37"/>
      <c r="BO5" s="34"/>
      <c r="BP5" s="34"/>
      <c r="BQ5" s="34"/>
      <c r="BR5" s="205"/>
      <c r="BS5" s="34"/>
      <c r="BT5" s="37"/>
      <c r="BU5" s="35"/>
      <c r="BV5" s="37"/>
      <c r="BW5" s="37"/>
      <c r="BX5" s="34"/>
      <c r="BY5" s="37"/>
      <c r="BZ5" s="37"/>
      <c r="CA5" s="37"/>
      <c r="CB5" s="37"/>
      <c r="CC5" s="37"/>
      <c r="CD5" s="137"/>
      <c r="CE5" s="37"/>
      <c r="CF5" s="37"/>
      <c r="CG5" s="37"/>
    </row>
    <row r="6" spans="1:85" s="138" customFormat="1" ht="15" customHeight="1">
      <c r="A6" s="43"/>
      <c r="B6" s="45"/>
      <c r="C6" s="139"/>
      <c r="D6" s="29"/>
      <c r="E6" s="29"/>
      <c r="F6" s="29"/>
      <c r="G6" s="29"/>
      <c r="H6" s="29"/>
      <c r="I6" s="29"/>
      <c r="J6" s="44"/>
      <c r="K6" s="44"/>
      <c r="L6" s="44"/>
      <c r="M6" s="44"/>
      <c r="N6" s="44"/>
      <c r="O6" s="44"/>
      <c r="P6" s="44"/>
      <c r="Q6" s="137"/>
      <c r="R6" s="49"/>
      <c r="S6" s="49"/>
      <c r="T6" s="49"/>
      <c r="U6" s="49"/>
      <c r="V6" s="49"/>
      <c r="W6" s="49"/>
      <c r="X6" s="39"/>
      <c r="Y6" s="49"/>
      <c r="Z6" s="49"/>
      <c r="AA6" s="31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50"/>
      <c r="BI6" s="34"/>
      <c r="BJ6" s="35"/>
      <c r="BK6" s="34"/>
      <c r="BL6" s="41"/>
      <c r="BM6" s="36"/>
      <c r="BN6" s="37"/>
      <c r="BO6" s="34"/>
      <c r="BP6" s="34"/>
      <c r="BQ6" s="34"/>
      <c r="BR6" s="205"/>
      <c r="BS6" s="34"/>
      <c r="BT6" s="37"/>
      <c r="BU6" s="35"/>
      <c r="BV6" s="37"/>
      <c r="BW6" s="37"/>
      <c r="BX6" s="34"/>
      <c r="BY6" s="37"/>
      <c r="BZ6" s="37"/>
      <c r="CA6" s="37"/>
      <c r="CB6" s="37"/>
      <c r="CC6" s="37"/>
      <c r="CD6" s="137"/>
      <c r="CE6" s="37"/>
      <c r="CF6" s="37"/>
      <c r="CG6" s="37"/>
    </row>
    <row r="7" spans="1:85" s="138" customFormat="1" ht="15" customHeight="1" thickBot="1">
      <c r="A7" s="43"/>
      <c r="B7" s="45"/>
      <c r="C7" s="139"/>
      <c r="D7" s="29"/>
      <c r="E7" s="29"/>
      <c r="F7" s="29"/>
      <c r="G7" s="29"/>
      <c r="H7" s="29"/>
      <c r="I7" s="29"/>
      <c r="J7" s="44"/>
      <c r="K7" s="44"/>
      <c r="L7" s="44"/>
      <c r="M7" s="44"/>
      <c r="N7" s="44"/>
      <c r="O7" s="44"/>
      <c r="P7" s="44"/>
      <c r="Q7" s="137"/>
      <c r="R7" s="49"/>
      <c r="S7" s="49"/>
      <c r="T7" s="49"/>
      <c r="U7" s="49"/>
      <c r="V7" s="49"/>
      <c r="W7" s="49"/>
      <c r="X7" s="39"/>
      <c r="Y7" s="49"/>
      <c r="Z7" s="49"/>
      <c r="AA7" s="31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50"/>
      <c r="BI7" s="34"/>
      <c r="BJ7" s="35"/>
      <c r="BK7" s="34"/>
      <c r="BL7" s="41"/>
      <c r="BM7" s="36"/>
      <c r="BN7" s="37"/>
      <c r="BO7" s="34"/>
      <c r="BP7" s="34"/>
      <c r="BQ7" s="34"/>
      <c r="BR7" s="205"/>
      <c r="BS7" s="34"/>
      <c r="BT7" s="37"/>
      <c r="BU7" s="35"/>
      <c r="BV7" s="37"/>
      <c r="BW7" s="37"/>
      <c r="BX7" s="34"/>
      <c r="BY7" s="37"/>
      <c r="BZ7" s="37"/>
      <c r="CA7" s="37"/>
      <c r="CB7" s="37"/>
      <c r="CC7" s="37"/>
      <c r="CD7" s="137"/>
      <c r="CE7" s="37"/>
      <c r="CF7" s="37"/>
      <c r="CG7" s="37"/>
    </row>
    <row r="8" spans="1:85" s="138" customFormat="1" ht="15" customHeight="1" thickBot="1">
      <c r="A8" s="140" t="s">
        <v>31</v>
      </c>
      <c r="B8" s="141"/>
      <c r="C8" s="142">
        <v>25.900000000000002</v>
      </c>
      <c r="D8" s="29"/>
      <c r="E8" s="29"/>
      <c r="F8" s="29"/>
      <c r="G8" s="29"/>
      <c r="H8" s="29"/>
      <c r="I8" s="29"/>
      <c r="J8" s="44"/>
      <c r="K8" s="44"/>
      <c r="L8" s="44"/>
      <c r="M8" s="44"/>
      <c r="N8" s="44"/>
      <c r="O8" s="44"/>
      <c r="P8" s="44"/>
      <c r="Q8" s="137"/>
      <c r="R8" s="49"/>
      <c r="S8" s="49"/>
      <c r="T8" s="49"/>
      <c r="U8" s="49"/>
      <c r="V8" s="49"/>
      <c r="W8" s="49"/>
      <c r="X8" s="39"/>
      <c r="Y8" s="49"/>
      <c r="Z8" s="49"/>
      <c r="AA8" s="31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50"/>
      <c r="BI8" s="34"/>
      <c r="BJ8" s="35"/>
      <c r="BK8" s="34"/>
      <c r="BL8" s="41"/>
      <c r="BM8" s="36"/>
      <c r="BN8" s="37"/>
      <c r="BO8" s="34"/>
      <c r="BP8" s="34"/>
      <c r="BQ8" s="34"/>
      <c r="BR8" s="205"/>
      <c r="BS8" s="34"/>
      <c r="BT8" s="37"/>
      <c r="BU8" s="35"/>
      <c r="BV8" s="37"/>
      <c r="BW8" s="37"/>
      <c r="BX8" s="34"/>
      <c r="BY8" s="37"/>
      <c r="BZ8" s="37"/>
      <c r="CA8" s="37"/>
      <c r="CB8" s="37"/>
      <c r="CC8" s="37"/>
      <c r="CD8" s="137"/>
      <c r="CE8" s="37"/>
      <c r="CF8" s="37"/>
      <c r="CG8" s="37"/>
    </row>
    <row r="9" spans="1:85" s="138" customFormat="1" ht="15" customHeight="1">
      <c r="A9" s="137"/>
      <c r="B9" s="45"/>
      <c r="C9" s="49"/>
      <c r="D9" s="29"/>
      <c r="E9" s="29"/>
      <c r="F9" s="29"/>
      <c r="G9" s="29"/>
      <c r="H9" s="29"/>
      <c r="I9" s="29"/>
      <c r="J9" s="44"/>
      <c r="K9" s="44"/>
      <c r="L9" s="44"/>
      <c r="M9" s="44"/>
      <c r="N9" s="44"/>
      <c r="O9" s="44"/>
      <c r="P9" s="44"/>
      <c r="Q9" s="137"/>
      <c r="R9" s="143"/>
      <c r="S9" s="143"/>
      <c r="T9" s="143"/>
      <c r="U9" s="143"/>
      <c r="V9" s="143"/>
      <c r="W9" s="143"/>
      <c r="X9" s="144"/>
      <c r="Y9" s="49"/>
      <c r="Z9" s="49"/>
      <c r="AA9" s="31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50"/>
      <c r="BI9" s="34"/>
      <c r="BJ9" s="35"/>
      <c r="BK9" s="34"/>
      <c r="BL9" s="41"/>
      <c r="BM9" s="36"/>
      <c r="BN9" s="37"/>
      <c r="BO9" s="34"/>
      <c r="BP9" s="34"/>
      <c r="BQ9" s="34"/>
      <c r="BR9" s="205"/>
      <c r="BS9" s="34"/>
      <c r="BT9" s="37"/>
      <c r="BU9" s="35"/>
      <c r="BV9" s="37"/>
      <c r="BW9" s="37"/>
      <c r="BX9" s="34"/>
      <c r="BY9" s="37"/>
      <c r="BZ9" s="37"/>
      <c r="CA9" s="37"/>
      <c r="CB9" s="37"/>
      <c r="CC9" s="37"/>
      <c r="CD9" s="137"/>
      <c r="CE9" s="37"/>
      <c r="CF9" s="37"/>
      <c r="CG9" s="37"/>
    </row>
    <row r="10" spans="1:85" s="138" customFormat="1" ht="15" customHeight="1">
      <c r="A10" s="137" t="s">
        <v>388</v>
      </c>
      <c r="B10" s="45"/>
      <c r="C10" s="49">
        <v>0</v>
      </c>
      <c r="D10" s="29"/>
      <c r="E10" s="29"/>
      <c r="F10" s="29"/>
      <c r="G10" s="29"/>
      <c r="H10" s="29"/>
      <c r="I10" s="29"/>
      <c r="J10" s="44"/>
      <c r="K10" s="44"/>
      <c r="L10" s="44"/>
      <c r="M10" s="44"/>
      <c r="N10" s="44"/>
      <c r="O10" s="44"/>
      <c r="P10" s="44"/>
      <c r="Q10" s="137"/>
      <c r="R10" s="143"/>
      <c r="S10" s="143"/>
      <c r="T10" s="143"/>
      <c r="U10" s="143"/>
      <c r="V10" s="143"/>
      <c r="W10" s="143"/>
      <c r="X10" s="144"/>
      <c r="Y10" s="49"/>
      <c r="Z10" s="49"/>
      <c r="AA10" s="31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50"/>
      <c r="BI10" s="34"/>
      <c r="BJ10" s="35"/>
      <c r="BK10" s="34"/>
      <c r="BL10" s="41"/>
      <c r="BM10" s="36"/>
      <c r="BN10" s="37"/>
      <c r="BO10" s="34"/>
      <c r="BP10" s="34"/>
      <c r="BQ10" s="34"/>
      <c r="BR10" s="205"/>
      <c r="BS10" s="34"/>
      <c r="BT10" s="37"/>
      <c r="BU10" s="35"/>
      <c r="BV10" s="37"/>
      <c r="BW10" s="37"/>
      <c r="BX10" s="34"/>
      <c r="BY10" s="37"/>
      <c r="BZ10" s="37"/>
      <c r="CA10" s="37"/>
      <c r="CB10" s="37"/>
      <c r="CC10" s="37"/>
      <c r="CD10" s="137"/>
      <c r="CE10" s="37"/>
      <c r="CF10" s="37"/>
      <c r="CG10" s="37"/>
    </row>
    <row r="11" spans="1:85" s="138" customFormat="1" ht="15" customHeight="1">
      <c r="A11" s="137" t="s">
        <v>32</v>
      </c>
      <c r="B11" s="45"/>
      <c r="C11" s="49">
        <v>24.750000000000004</v>
      </c>
      <c r="D11" s="29"/>
      <c r="E11" s="29"/>
      <c r="F11" s="29"/>
      <c r="G11" s="29"/>
      <c r="H11" s="29"/>
      <c r="I11" s="29"/>
      <c r="J11" s="44"/>
      <c r="K11" s="44"/>
      <c r="L11" s="44"/>
      <c r="M11" s="44"/>
      <c r="N11" s="44"/>
      <c r="O11" s="44"/>
      <c r="P11" s="44"/>
      <c r="Q11" s="137"/>
      <c r="R11" s="145"/>
      <c r="S11" s="145"/>
      <c r="T11" s="145"/>
      <c r="U11" s="145"/>
      <c r="V11" s="145"/>
      <c r="W11" s="145"/>
      <c r="X11" s="144"/>
      <c r="Y11" s="49"/>
      <c r="Z11" s="49"/>
      <c r="AA11" s="31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50"/>
      <c r="BI11" s="34"/>
      <c r="BJ11" s="35"/>
      <c r="BK11" s="34"/>
      <c r="BL11" s="41"/>
      <c r="BM11" s="36"/>
      <c r="BN11" s="37"/>
      <c r="BO11" s="34"/>
      <c r="BP11" s="34"/>
      <c r="BQ11" s="34"/>
      <c r="BR11" s="205"/>
      <c r="BS11" s="34"/>
      <c r="BT11" s="37"/>
      <c r="BU11" s="35"/>
      <c r="BV11" s="37"/>
      <c r="BW11" s="37"/>
      <c r="BX11" s="34"/>
      <c r="BY11" s="37"/>
      <c r="BZ11" s="37"/>
      <c r="CA11" s="37"/>
      <c r="CB11" s="37"/>
      <c r="CC11" s="37"/>
      <c r="CD11" s="137"/>
      <c r="CE11" s="37"/>
      <c r="CF11" s="37"/>
      <c r="CG11" s="37"/>
    </row>
    <row r="12" spans="1:85" s="138" customFormat="1" ht="15" customHeight="1">
      <c r="A12" s="137" t="s">
        <v>33</v>
      </c>
      <c r="B12" s="45"/>
      <c r="C12" s="49">
        <v>1.1499999999999999</v>
      </c>
      <c r="D12" s="29"/>
      <c r="E12" s="29"/>
      <c r="F12" s="29"/>
      <c r="G12" s="29"/>
      <c r="H12" s="29"/>
      <c r="I12" s="29"/>
      <c r="J12" s="44"/>
      <c r="K12" s="44"/>
      <c r="L12" s="44"/>
      <c r="M12" s="44"/>
      <c r="N12" s="44"/>
      <c r="O12" s="44"/>
      <c r="P12" s="44"/>
      <c r="Q12" s="137"/>
      <c r="R12" s="145"/>
      <c r="S12" s="145"/>
      <c r="T12" s="145"/>
      <c r="U12" s="145"/>
      <c r="V12" s="145"/>
      <c r="W12" s="145"/>
      <c r="X12" s="144"/>
      <c r="Y12" s="49"/>
      <c r="Z12" s="49"/>
      <c r="AA12" s="31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50"/>
      <c r="BI12" s="34"/>
      <c r="BJ12" s="35"/>
      <c r="BK12" s="34"/>
      <c r="BL12" s="41"/>
      <c r="BM12" s="36"/>
      <c r="BN12" s="37"/>
      <c r="BO12" s="34"/>
      <c r="BP12" s="34"/>
      <c r="BQ12" s="34"/>
      <c r="BR12" s="205"/>
      <c r="BS12" s="34"/>
      <c r="BT12" s="37"/>
      <c r="BU12" s="35"/>
      <c r="BV12" s="37"/>
      <c r="BW12" s="37"/>
      <c r="BX12" s="34"/>
      <c r="BY12" s="37"/>
      <c r="BZ12" s="37"/>
      <c r="CA12" s="37"/>
      <c r="CB12" s="37"/>
      <c r="CC12" s="37"/>
      <c r="CD12" s="137"/>
      <c r="CE12" s="37"/>
      <c r="CF12" s="37"/>
      <c r="CG12" s="37"/>
    </row>
    <row r="13" spans="1:85" s="138" customFormat="1" ht="15" customHeight="1">
      <c r="A13" s="137" t="s">
        <v>34</v>
      </c>
      <c r="B13" s="45"/>
      <c r="C13" s="49">
        <v>0</v>
      </c>
      <c r="D13" s="29"/>
      <c r="E13" s="29"/>
      <c r="F13" s="29"/>
      <c r="G13" s="29"/>
      <c r="H13" s="29"/>
      <c r="I13" s="29"/>
      <c r="J13" s="44"/>
      <c r="K13" s="44"/>
      <c r="L13" s="44"/>
      <c r="M13" s="44"/>
      <c r="N13" s="44"/>
      <c r="O13" s="44"/>
      <c r="P13" s="44"/>
      <c r="Q13" s="137"/>
      <c r="R13" s="143"/>
      <c r="S13" s="143"/>
      <c r="T13" s="143"/>
      <c r="U13" s="143"/>
      <c r="V13" s="143"/>
      <c r="W13" s="143"/>
      <c r="X13" s="144"/>
      <c r="Y13" s="49"/>
      <c r="Z13" s="49"/>
      <c r="AA13" s="31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50"/>
      <c r="BI13" s="34"/>
      <c r="BJ13" s="35"/>
      <c r="BK13" s="34"/>
      <c r="BL13" s="41"/>
      <c r="BM13" s="36"/>
      <c r="BN13" s="37"/>
      <c r="BO13" s="34"/>
      <c r="BP13" s="34"/>
      <c r="BQ13" s="34"/>
      <c r="BR13" s="205"/>
      <c r="BS13" s="34"/>
      <c r="BT13" s="37"/>
      <c r="BU13" s="35"/>
      <c r="BV13" s="37"/>
      <c r="BW13" s="37"/>
      <c r="BX13" s="34"/>
      <c r="BY13" s="37"/>
      <c r="BZ13" s="37"/>
      <c r="CA13" s="37"/>
      <c r="CB13" s="37"/>
      <c r="CC13" s="37"/>
      <c r="CD13" s="137"/>
      <c r="CE13" s="37"/>
      <c r="CF13" s="37"/>
      <c r="CG13" s="37"/>
    </row>
    <row r="14" spans="1:85" s="138" customFormat="1" ht="15" customHeight="1">
      <c r="A14" s="137" t="s">
        <v>35</v>
      </c>
      <c r="B14" s="45"/>
      <c r="C14" s="49">
        <v>0</v>
      </c>
      <c r="D14" s="29"/>
      <c r="E14" s="29"/>
      <c r="F14" s="29"/>
      <c r="G14" s="29"/>
      <c r="H14" s="29"/>
      <c r="I14" s="29"/>
      <c r="J14" s="44"/>
      <c r="K14" s="44"/>
      <c r="L14" s="44"/>
      <c r="M14" s="44"/>
      <c r="N14" s="44"/>
      <c r="O14" s="44"/>
      <c r="P14" s="44"/>
      <c r="Q14" s="137"/>
      <c r="R14" s="49"/>
      <c r="S14" s="49"/>
      <c r="T14" s="49"/>
      <c r="U14" s="49"/>
      <c r="V14" s="49"/>
      <c r="W14" s="49"/>
      <c r="X14" s="39"/>
      <c r="Y14" s="49"/>
      <c r="Z14" s="49"/>
      <c r="AA14" s="31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50"/>
      <c r="BI14" s="34"/>
      <c r="BJ14" s="35"/>
      <c r="BK14" s="34"/>
      <c r="BL14" s="41"/>
      <c r="BM14" s="36"/>
      <c r="BN14" s="37"/>
      <c r="BO14" s="34"/>
      <c r="BP14" s="34"/>
      <c r="BQ14" s="34"/>
      <c r="BR14" s="205"/>
      <c r="BS14" s="34"/>
      <c r="BT14" s="37"/>
      <c r="BU14" s="35"/>
      <c r="BV14" s="37"/>
      <c r="BW14" s="37"/>
      <c r="BX14" s="34"/>
      <c r="BY14" s="37"/>
      <c r="BZ14" s="37"/>
      <c r="CA14" s="37"/>
      <c r="CB14" s="37"/>
      <c r="CC14" s="37"/>
      <c r="CD14" s="137"/>
      <c r="CE14" s="37"/>
      <c r="CF14" s="37"/>
      <c r="CG14" s="37"/>
    </row>
    <row r="15" spans="1:85" s="138" customFormat="1" ht="15" customHeight="1">
      <c r="A15" s="137" t="s">
        <v>36</v>
      </c>
      <c r="B15" s="49"/>
      <c r="C15" s="49">
        <v>0</v>
      </c>
      <c r="D15" s="29"/>
      <c r="E15" s="29"/>
      <c r="F15" s="29"/>
      <c r="G15" s="29"/>
      <c r="H15" s="29"/>
      <c r="I15" s="29"/>
      <c r="J15" s="44"/>
      <c r="K15" s="44"/>
      <c r="L15" s="44"/>
      <c r="M15" s="44"/>
      <c r="N15" s="44"/>
      <c r="O15" s="44"/>
      <c r="P15" s="44"/>
      <c r="Q15" s="137"/>
      <c r="R15" s="49"/>
      <c r="S15" s="49"/>
      <c r="T15" s="49"/>
      <c r="U15" s="49"/>
      <c r="V15" s="49"/>
      <c r="W15" s="49"/>
      <c r="X15" s="39"/>
      <c r="Y15" s="49"/>
      <c r="Z15" s="49"/>
      <c r="AA15" s="31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50"/>
      <c r="BI15" s="34"/>
      <c r="BJ15" s="35"/>
      <c r="BK15" s="34"/>
      <c r="BL15" s="41"/>
      <c r="BM15" s="36"/>
      <c r="BN15" s="37"/>
      <c r="BO15" s="34"/>
      <c r="BP15" s="34"/>
      <c r="BQ15" s="34"/>
      <c r="BR15" s="205"/>
      <c r="BS15" s="34"/>
      <c r="BT15" s="37"/>
      <c r="BU15" s="35"/>
      <c r="BV15" s="37"/>
      <c r="BW15" s="37"/>
      <c r="BX15" s="34"/>
      <c r="BY15" s="37"/>
      <c r="BZ15" s="37"/>
      <c r="CA15" s="37"/>
      <c r="CB15" s="37"/>
      <c r="CC15" s="37"/>
      <c r="CD15" s="137"/>
      <c r="CE15" s="37"/>
      <c r="CF15" s="37"/>
      <c r="CG15" s="37"/>
    </row>
    <row r="16" spans="1:85" s="138" customFormat="1" ht="15" customHeight="1">
      <c r="A16" s="137" t="s">
        <v>37</v>
      </c>
      <c r="B16" s="49"/>
      <c r="C16" s="49">
        <v>0</v>
      </c>
      <c r="D16" s="29"/>
      <c r="E16" s="29"/>
      <c r="F16" s="29"/>
      <c r="G16" s="29"/>
      <c r="H16" s="29"/>
      <c r="I16" s="29"/>
      <c r="J16" s="44"/>
      <c r="K16" s="44"/>
      <c r="L16" s="44"/>
      <c r="M16" s="44"/>
      <c r="N16" s="44"/>
      <c r="O16" s="44"/>
      <c r="P16" s="44"/>
      <c r="Q16" s="137"/>
      <c r="R16" s="49"/>
      <c r="S16" s="49"/>
      <c r="T16" s="49"/>
      <c r="U16" s="49"/>
      <c r="V16" s="49"/>
      <c r="W16" s="49"/>
      <c r="X16" s="39"/>
      <c r="Y16" s="49"/>
      <c r="Z16" s="49"/>
      <c r="AA16" s="31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50"/>
      <c r="BI16" s="34"/>
      <c r="BJ16" s="35"/>
      <c r="BK16" s="34"/>
      <c r="BL16" s="41"/>
      <c r="BM16" s="36"/>
      <c r="BN16" s="37"/>
      <c r="BO16" s="34"/>
      <c r="BP16" s="34"/>
      <c r="BQ16" s="34"/>
      <c r="BR16" s="205"/>
      <c r="BS16" s="34"/>
      <c r="BT16" s="37"/>
      <c r="BU16" s="35"/>
      <c r="BV16" s="37"/>
      <c r="BW16" s="37"/>
      <c r="BX16" s="34"/>
      <c r="BY16" s="37"/>
      <c r="BZ16" s="37"/>
      <c r="CA16" s="37"/>
      <c r="CB16" s="37"/>
      <c r="CC16" s="37"/>
      <c r="CD16" s="137"/>
      <c r="CE16" s="37"/>
      <c r="CF16" s="37"/>
      <c r="CG16" s="37"/>
    </row>
    <row r="17" spans="1:85" s="138" customFormat="1" ht="15" customHeight="1">
      <c r="A17" s="137" t="s">
        <v>38</v>
      </c>
      <c r="B17" s="49"/>
      <c r="C17" s="49">
        <v>0</v>
      </c>
      <c r="D17" s="29"/>
      <c r="E17" s="29"/>
      <c r="F17" s="29"/>
      <c r="G17" s="29"/>
      <c r="H17" s="29"/>
      <c r="I17" s="29"/>
      <c r="J17" s="44"/>
      <c r="K17" s="44"/>
      <c r="L17" s="44"/>
      <c r="M17" s="44"/>
      <c r="N17" s="44"/>
      <c r="O17" s="44"/>
      <c r="P17" s="44"/>
      <c r="Q17" s="137"/>
      <c r="R17" s="49"/>
      <c r="S17" s="49"/>
      <c r="T17" s="49"/>
      <c r="U17" s="49"/>
      <c r="V17" s="49"/>
      <c r="W17" s="49"/>
      <c r="X17" s="39"/>
      <c r="Y17" s="49"/>
      <c r="Z17" s="49"/>
      <c r="AA17" s="31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50"/>
      <c r="BI17" s="34"/>
      <c r="BJ17" s="35"/>
      <c r="BK17" s="34"/>
      <c r="BL17" s="41"/>
      <c r="BM17" s="36"/>
      <c r="BN17" s="37"/>
      <c r="BO17" s="34"/>
      <c r="BP17" s="34"/>
      <c r="BQ17" s="34"/>
      <c r="BR17" s="205"/>
      <c r="BS17" s="34"/>
      <c r="BT17" s="37"/>
      <c r="BU17" s="35"/>
      <c r="BV17" s="37"/>
      <c r="BW17" s="37"/>
      <c r="BX17" s="34"/>
      <c r="BY17" s="37"/>
      <c r="BZ17" s="37"/>
      <c r="CA17" s="37"/>
      <c r="CB17" s="37"/>
      <c r="CC17" s="37"/>
      <c r="CD17" s="137"/>
      <c r="CE17" s="37"/>
      <c r="CF17" s="37"/>
      <c r="CG17" s="37"/>
    </row>
    <row r="18" spans="1:85" s="138" customFormat="1" ht="15" customHeight="1">
      <c r="A18" s="137" t="s">
        <v>39</v>
      </c>
      <c r="B18" s="49"/>
      <c r="C18" s="49">
        <v>0</v>
      </c>
      <c r="D18" s="29"/>
      <c r="E18" s="29"/>
      <c r="F18" s="29"/>
      <c r="G18" s="29"/>
      <c r="H18" s="29"/>
      <c r="I18" s="29"/>
      <c r="J18" s="44"/>
      <c r="K18" s="44"/>
      <c r="L18" s="44"/>
      <c r="M18" s="44"/>
      <c r="N18" s="44"/>
      <c r="O18" s="44"/>
      <c r="P18" s="44"/>
      <c r="Q18" s="137"/>
      <c r="R18" s="49"/>
      <c r="S18" s="49"/>
      <c r="T18" s="49"/>
      <c r="U18" s="49"/>
      <c r="V18" s="49"/>
      <c r="W18" s="49"/>
      <c r="X18" s="39"/>
      <c r="Y18" s="49"/>
      <c r="Z18" s="49"/>
      <c r="AA18" s="31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50"/>
      <c r="BI18" s="34"/>
      <c r="BJ18" s="35"/>
      <c r="BK18" s="34"/>
      <c r="BL18" s="41"/>
      <c r="BM18" s="36"/>
      <c r="BN18" s="37"/>
      <c r="BO18" s="34"/>
      <c r="BP18" s="34"/>
      <c r="BQ18" s="34"/>
      <c r="BR18" s="205"/>
      <c r="BS18" s="34"/>
      <c r="BT18" s="37"/>
      <c r="BU18" s="35"/>
      <c r="BV18" s="37"/>
      <c r="BW18" s="37"/>
      <c r="BX18" s="34"/>
      <c r="BY18" s="37"/>
      <c r="BZ18" s="37"/>
      <c r="CA18" s="37"/>
      <c r="CB18" s="37"/>
      <c r="CC18" s="37"/>
      <c r="CD18" s="137"/>
      <c r="CE18" s="37"/>
      <c r="CF18" s="37"/>
      <c r="CG18" s="37"/>
    </row>
    <row r="19" spans="1:85" s="138" customFormat="1" ht="15" customHeight="1">
      <c r="A19" s="137" t="s">
        <v>40</v>
      </c>
      <c r="B19" s="49"/>
      <c r="C19" s="49">
        <v>0</v>
      </c>
      <c r="D19" s="29"/>
      <c r="E19" s="29"/>
      <c r="F19" s="29"/>
      <c r="G19" s="29"/>
      <c r="H19" s="29"/>
      <c r="I19" s="29"/>
      <c r="J19" s="44"/>
      <c r="K19" s="44"/>
      <c r="L19" s="44"/>
      <c r="M19" s="44"/>
      <c r="N19" s="44"/>
      <c r="O19" s="44"/>
      <c r="P19" s="44"/>
      <c r="Q19" s="137"/>
      <c r="R19" s="49"/>
      <c r="S19" s="49"/>
      <c r="T19" s="49"/>
      <c r="U19" s="49"/>
      <c r="V19" s="49"/>
      <c r="W19" s="49"/>
      <c r="X19" s="39"/>
      <c r="Y19" s="49"/>
      <c r="Z19" s="49"/>
      <c r="AA19" s="31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50"/>
      <c r="BI19" s="34"/>
      <c r="BJ19" s="35"/>
      <c r="BK19" s="34"/>
      <c r="BL19" s="41"/>
      <c r="BM19" s="36"/>
      <c r="BN19" s="37"/>
      <c r="BO19" s="34"/>
      <c r="BP19" s="34"/>
      <c r="BQ19" s="34"/>
      <c r="BR19" s="205"/>
      <c r="BS19" s="34"/>
      <c r="BT19" s="37"/>
      <c r="BU19" s="35"/>
      <c r="BV19" s="37"/>
      <c r="BW19" s="37"/>
      <c r="BX19" s="34"/>
      <c r="BY19" s="37"/>
      <c r="BZ19" s="37"/>
      <c r="CA19" s="37"/>
      <c r="CB19" s="37"/>
      <c r="CC19" s="37"/>
      <c r="CD19" s="137"/>
      <c r="CE19" s="37"/>
      <c r="CF19" s="37"/>
      <c r="CG19" s="37"/>
    </row>
    <row r="20" spans="1:85" s="138" customFormat="1" ht="15" customHeight="1">
      <c r="A20" s="137" t="s">
        <v>41</v>
      </c>
      <c r="B20" s="49"/>
      <c r="C20" s="49">
        <v>0</v>
      </c>
      <c r="D20" s="29"/>
      <c r="E20" s="29"/>
      <c r="F20" s="29"/>
      <c r="G20" s="29"/>
      <c r="H20" s="29"/>
      <c r="I20" s="29"/>
      <c r="J20" s="44"/>
      <c r="K20" s="44"/>
      <c r="L20" s="44"/>
      <c r="M20" s="44"/>
      <c r="N20" s="44"/>
      <c r="O20" s="44"/>
      <c r="P20" s="44"/>
      <c r="Q20" s="137"/>
      <c r="R20" s="49"/>
      <c r="S20" s="49"/>
      <c r="T20" s="49"/>
      <c r="U20" s="49"/>
      <c r="V20" s="49"/>
      <c r="W20" s="49"/>
      <c r="X20" s="39"/>
      <c r="Y20" s="49"/>
      <c r="Z20" s="49"/>
      <c r="AA20" s="31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50"/>
      <c r="BI20" s="34"/>
      <c r="BJ20" s="35"/>
      <c r="BK20" s="34"/>
      <c r="BL20" s="41"/>
      <c r="BM20" s="36"/>
      <c r="BN20" s="37"/>
      <c r="BO20" s="34"/>
      <c r="BP20" s="34"/>
      <c r="BQ20" s="34"/>
      <c r="BR20" s="205"/>
      <c r="BS20" s="34"/>
      <c r="BT20" s="37"/>
      <c r="BU20" s="35"/>
      <c r="BV20" s="37"/>
      <c r="BW20" s="37"/>
      <c r="BX20" s="34"/>
      <c r="BY20" s="37"/>
      <c r="BZ20" s="37"/>
      <c r="CA20" s="37"/>
      <c r="CB20" s="37"/>
      <c r="CC20" s="37"/>
      <c r="CD20" s="137"/>
      <c r="CE20" s="37"/>
      <c r="CF20" s="37"/>
      <c r="CG20" s="37"/>
    </row>
    <row r="21" spans="1:85" s="138" customFormat="1" ht="15" customHeight="1">
      <c r="A21" s="137" t="s">
        <v>42</v>
      </c>
      <c r="B21" s="49"/>
      <c r="C21" s="49">
        <v>0</v>
      </c>
      <c r="D21" s="29"/>
      <c r="E21" s="29"/>
      <c r="F21" s="29"/>
      <c r="G21" s="29"/>
      <c r="H21" s="29"/>
      <c r="I21" s="29"/>
      <c r="J21" s="44"/>
      <c r="K21" s="44"/>
      <c r="L21" s="44"/>
      <c r="M21" s="44"/>
      <c r="N21" s="44"/>
      <c r="O21" s="44"/>
      <c r="P21" s="44"/>
      <c r="Q21" s="137"/>
      <c r="R21" s="49"/>
      <c r="S21" s="49"/>
      <c r="T21" s="49"/>
      <c r="U21" s="49"/>
      <c r="V21" s="49"/>
      <c r="W21" s="49"/>
      <c r="X21" s="39"/>
      <c r="Y21" s="49"/>
      <c r="Z21" s="49"/>
      <c r="AA21" s="31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50"/>
      <c r="BI21" s="34"/>
      <c r="BJ21" s="35"/>
      <c r="BK21" s="34"/>
      <c r="BL21" s="41"/>
      <c r="BM21" s="36"/>
      <c r="BN21" s="37"/>
      <c r="BO21" s="34"/>
      <c r="BP21" s="34"/>
      <c r="BQ21" s="34"/>
      <c r="BR21" s="205"/>
      <c r="BS21" s="34"/>
      <c r="BT21" s="37"/>
      <c r="BU21" s="35"/>
      <c r="BV21" s="37"/>
      <c r="BW21" s="37"/>
      <c r="BX21" s="34"/>
      <c r="BY21" s="37"/>
      <c r="BZ21" s="37"/>
      <c r="CA21" s="37"/>
      <c r="CB21" s="37"/>
      <c r="CC21" s="37"/>
      <c r="CD21" s="137"/>
      <c r="CE21" s="37"/>
      <c r="CF21" s="37"/>
      <c r="CG21" s="37"/>
    </row>
    <row r="22" spans="1:85" s="138" customFormat="1" ht="15" customHeight="1">
      <c r="A22" s="137" t="s">
        <v>389</v>
      </c>
      <c r="B22" s="49"/>
      <c r="C22" s="49">
        <v>0</v>
      </c>
      <c r="D22" s="29"/>
      <c r="E22" s="29"/>
      <c r="F22" s="29"/>
      <c r="G22" s="29"/>
      <c r="H22" s="29"/>
      <c r="I22" s="29"/>
      <c r="J22" s="44"/>
      <c r="K22" s="44"/>
      <c r="L22" s="44"/>
      <c r="M22" s="44"/>
      <c r="N22" s="44"/>
      <c r="O22" s="44"/>
      <c r="P22" s="44"/>
      <c r="Q22" s="137"/>
      <c r="R22" s="49"/>
      <c r="S22" s="49"/>
      <c r="T22" s="49"/>
      <c r="U22" s="49"/>
      <c r="V22" s="49"/>
      <c r="W22" s="49"/>
      <c r="X22" s="39"/>
      <c r="Y22" s="49"/>
      <c r="Z22" s="49"/>
      <c r="AA22" s="31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50"/>
      <c r="BI22" s="34"/>
      <c r="BJ22" s="35"/>
      <c r="BK22" s="34"/>
      <c r="BL22" s="41"/>
      <c r="BM22" s="36"/>
      <c r="BN22" s="37"/>
      <c r="BO22" s="34"/>
      <c r="BP22" s="34"/>
      <c r="BQ22" s="34"/>
      <c r="BR22" s="205"/>
      <c r="BS22" s="34"/>
      <c r="BT22" s="37"/>
      <c r="BU22" s="35"/>
      <c r="BV22" s="37"/>
      <c r="BW22" s="37"/>
      <c r="BX22" s="34"/>
      <c r="BY22" s="37"/>
      <c r="BZ22" s="37"/>
      <c r="CA22" s="37"/>
      <c r="CB22" s="37"/>
      <c r="CC22" s="37"/>
      <c r="CD22" s="137"/>
      <c r="CE22" s="37"/>
      <c r="CF22" s="37"/>
      <c r="CG22" s="37"/>
    </row>
    <row r="23" spans="1:85" s="138" customFormat="1" ht="15" customHeight="1">
      <c r="A23" s="137" t="s">
        <v>390</v>
      </c>
      <c r="B23" s="49"/>
      <c r="C23" s="49">
        <v>0</v>
      </c>
      <c r="D23" s="29"/>
      <c r="E23" s="29"/>
      <c r="F23" s="29"/>
      <c r="G23" s="29"/>
      <c r="H23" s="29"/>
      <c r="I23" s="29"/>
      <c r="J23" s="44"/>
      <c r="K23" s="44"/>
      <c r="L23" s="44"/>
      <c r="M23" s="44"/>
      <c r="N23" s="44"/>
      <c r="O23" s="44"/>
      <c r="P23" s="44"/>
      <c r="Q23" s="137"/>
      <c r="R23" s="49"/>
      <c r="S23" s="49"/>
      <c r="T23" s="49"/>
      <c r="U23" s="49"/>
      <c r="V23" s="49"/>
      <c r="W23" s="49"/>
      <c r="X23" s="39"/>
      <c r="Y23" s="49"/>
      <c r="Z23" s="49"/>
      <c r="AA23" s="31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50"/>
      <c r="BI23" s="34"/>
      <c r="BJ23" s="35"/>
      <c r="BK23" s="34"/>
      <c r="BL23" s="41"/>
      <c r="BM23" s="36"/>
      <c r="BN23" s="37"/>
      <c r="BO23" s="34"/>
      <c r="BP23" s="34"/>
      <c r="BQ23" s="34"/>
      <c r="BR23" s="205"/>
      <c r="BS23" s="34"/>
      <c r="BT23" s="37"/>
      <c r="BU23" s="35"/>
      <c r="BV23" s="37"/>
      <c r="BW23" s="37"/>
      <c r="BX23" s="34"/>
      <c r="BY23" s="37"/>
      <c r="BZ23" s="37"/>
      <c r="CA23" s="37"/>
      <c r="CB23" s="37"/>
      <c r="CC23" s="37"/>
      <c r="CD23" s="137"/>
      <c r="CE23" s="37"/>
      <c r="CF23" s="37"/>
      <c r="CG23" s="37"/>
    </row>
    <row r="24" spans="1:85" s="138" customFormat="1" ht="15" customHeight="1">
      <c r="A24" s="43"/>
      <c r="B24" s="45"/>
      <c r="C24" s="139"/>
      <c r="D24" s="29"/>
      <c r="E24" s="29"/>
      <c r="F24" s="29"/>
      <c r="G24" s="29"/>
      <c r="H24" s="29"/>
      <c r="I24" s="29"/>
      <c r="J24" s="44"/>
      <c r="K24" s="44"/>
      <c r="L24" s="44"/>
      <c r="M24" s="44"/>
      <c r="N24" s="44"/>
      <c r="O24" s="44"/>
      <c r="P24" s="44"/>
      <c r="Q24" s="137"/>
      <c r="R24" s="49"/>
      <c r="S24" s="49"/>
      <c r="T24" s="49"/>
      <c r="U24" s="49"/>
      <c r="V24" s="49"/>
      <c r="W24" s="49"/>
      <c r="X24" s="39"/>
      <c r="Y24" s="49"/>
      <c r="Z24" s="49"/>
      <c r="AA24" s="31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50"/>
      <c r="BI24" s="34"/>
      <c r="BJ24" s="35"/>
      <c r="BK24" s="34"/>
      <c r="BL24" s="41"/>
      <c r="BM24" s="36"/>
      <c r="BN24" s="37"/>
      <c r="BO24" s="34"/>
      <c r="BP24" s="34"/>
      <c r="BQ24" s="34"/>
      <c r="BR24" s="205"/>
      <c r="BS24" s="34"/>
      <c r="BT24" s="37"/>
      <c r="BU24" s="35"/>
      <c r="BV24" s="37"/>
      <c r="BW24" s="37"/>
      <c r="BX24" s="34"/>
      <c r="BY24" s="37"/>
      <c r="BZ24" s="37"/>
      <c r="CA24" s="37"/>
      <c r="CB24" s="37"/>
      <c r="CC24" s="37"/>
      <c r="CD24" s="137"/>
      <c r="CE24" s="37"/>
      <c r="CF24" s="37"/>
      <c r="CG24" s="37"/>
    </row>
    <row r="25" spans="1:85" s="138" customFormat="1" ht="15" customHeight="1" thickBot="1">
      <c r="A25" s="29"/>
      <c r="B25" s="29"/>
      <c r="C25" s="31"/>
      <c r="D25" s="29"/>
      <c r="E25" s="29"/>
      <c r="F25" s="29"/>
      <c r="G25" s="29"/>
      <c r="H25" s="29"/>
      <c r="I25" s="29"/>
      <c r="J25" s="44"/>
      <c r="K25" s="44"/>
      <c r="L25" s="44"/>
      <c r="M25" s="44"/>
      <c r="N25" s="44"/>
      <c r="O25" s="44"/>
      <c r="P25" s="44"/>
      <c r="Q25" s="49"/>
      <c r="R25" s="49"/>
      <c r="S25" s="49"/>
      <c r="T25" s="49"/>
      <c r="U25" s="49"/>
      <c r="V25" s="49"/>
      <c r="W25" s="49"/>
      <c r="X25" s="39"/>
      <c r="Y25" s="49"/>
      <c r="Z25" s="49"/>
      <c r="AA25" s="31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3"/>
      <c r="BI25" s="34"/>
      <c r="BJ25" s="35"/>
      <c r="BK25" s="34"/>
      <c r="BL25" s="41"/>
      <c r="BM25" s="36"/>
      <c r="BN25" s="37"/>
      <c r="BO25" s="34"/>
      <c r="BP25" s="34"/>
      <c r="BQ25" s="34"/>
      <c r="BR25" s="205"/>
      <c r="BS25" s="34"/>
      <c r="BT25" s="37"/>
      <c r="BU25" s="35"/>
      <c r="BV25" s="37"/>
      <c r="BW25" s="37"/>
      <c r="BX25" s="34"/>
      <c r="BY25" s="37"/>
      <c r="BZ25" s="37"/>
      <c r="CA25" s="37"/>
      <c r="CB25" s="37"/>
      <c r="CC25" s="37"/>
      <c r="CD25" s="137"/>
      <c r="CE25" s="37"/>
      <c r="CF25" s="37"/>
      <c r="CG25" s="37"/>
    </row>
    <row r="26" spans="1:85" s="138" customFormat="1" ht="30" customHeight="1" thickBot="1">
      <c r="A26" s="146" t="s">
        <v>43</v>
      </c>
      <c r="B26" s="147" t="s">
        <v>44</v>
      </c>
      <c r="C26" s="148" t="s">
        <v>45</v>
      </c>
      <c r="D26" s="149" t="s">
        <v>46</v>
      </c>
      <c r="E26" s="149" t="s">
        <v>47</v>
      </c>
      <c r="F26" s="149" t="s">
        <v>48</v>
      </c>
      <c r="G26" s="149" t="s">
        <v>49</v>
      </c>
      <c r="H26" s="150" t="s">
        <v>50</v>
      </c>
      <c r="I26" s="150" t="s">
        <v>51</v>
      </c>
      <c r="J26" s="151" t="s">
        <v>52</v>
      </c>
      <c r="K26" s="151" t="s">
        <v>53</v>
      </c>
      <c r="L26" s="151" t="s">
        <v>54</v>
      </c>
      <c r="M26" s="151" t="s">
        <v>55</v>
      </c>
      <c r="N26" s="151" t="s">
        <v>56</v>
      </c>
      <c r="O26" s="151" t="s">
        <v>57</v>
      </c>
      <c r="P26" s="150" t="s">
        <v>58</v>
      </c>
      <c r="Q26" s="149" t="s">
        <v>59</v>
      </c>
      <c r="R26" s="152" t="s">
        <v>60</v>
      </c>
      <c r="S26" s="152" t="s">
        <v>61</v>
      </c>
      <c r="T26" s="152" t="s">
        <v>62</v>
      </c>
      <c r="U26" s="152" t="s">
        <v>63</v>
      </c>
      <c r="V26" s="152" t="s">
        <v>64</v>
      </c>
      <c r="W26" s="152" t="s">
        <v>65</v>
      </c>
      <c r="X26" s="153" t="s">
        <v>66</v>
      </c>
      <c r="Y26" s="154" t="s">
        <v>67</v>
      </c>
      <c r="Z26" s="150" t="s">
        <v>68</v>
      </c>
      <c r="AA26" s="150" t="s">
        <v>69</v>
      </c>
      <c r="AB26" s="154" t="s">
        <v>70</v>
      </c>
      <c r="AC26" s="154"/>
      <c r="AD26" s="154" t="s">
        <v>52</v>
      </c>
      <c r="AE26" s="154" t="s">
        <v>71</v>
      </c>
      <c r="AF26" s="154" t="s">
        <v>72</v>
      </c>
      <c r="AG26" s="154" t="s">
        <v>73</v>
      </c>
      <c r="AH26" s="154" t="s">
        <v>74</v>
      </c>
      <c r="AI26" s="155" t="s">
        <v>75</v>
      </c>
      <c r="AJ26" s="155" t="s">
        <v>76</v>
      </c>
      <c r="AK26" s="159" t="s">
        <v>77</v>
      </c>
      <c r="AL26" s="392" t="s">
        <v>391</v>
      </c>
      <c r="AM26" s="159" t="s">
        <v>79</v>
      </c>
      <c r="AN26" s="159" t="s">
        <v>79</v>
      </c>
      <c r="AO26" s="159" t="s">
        <v>80</v>
      </c>
      <c r="AP26" s="159" t="s">
        <v>80</v>
      </c>
      <c r="AQ26" s="159" t="s">
        <v>81</v>
      </c>
      <c r="AR26" s="159" t="s">
        <v>81</v>
      </c>
      <c r="AS26" s="159" t="s">
        <v>82</v>
      </c>
      <c r="AT26" s="159" t="s">
        <v>82</v>
      </c>
      <c r="AU26" s="159" t="s">
        <v>83</v>
      </c>
      <c r="AV26" s="159" t="s">
        <v>83</v>
      </c>
      <c r="AW26" s="159" t="s">
        <v>84</v>
      </c>
      <c r="AX26" s="159" t="s">
        <v>84</v>
      </c>
      <c r="AY26" s="159" t="s">
        <v>85</v>
      </c>
      <c r="AZ26" s="159" t="s">
        <v>85</v>
      </c>
      <c r="BA26" s="159" t="s">
        <v>146</v>
      </c>
      <c r="BB26" s="159" t="s">
        <v>146</v>
      </c>
      <c r="BC26" s="159" t="s">
        <v>147</v>
      </c>
      <c r="BD26" s="159" t="s">
        <v>147</v>
      </c>
      <c r="BE26" s="159" t="s">
        <v>148</v>
      </c>
      <c r="BF26" s="159" t="s">
        <v>148</v>
      </c>
      <c r="BG26" s="155" t="s">
        <v>88</v>
      </c>
      <c r="BH26" s="157" t="s">
        <v>89</v>
      </c>
      <c r="BI26" s="158" t="s">
        <v>90</v>
      </c>
      <c r="BJ26" s="159" t="s">
        <v>91</v>
      </c>
      <c r="BK26" s="160" t="s">
        <v>92</v>
      </c>
      <c r="BL26" s="161" t="s">
        <v>93</v>
      </c>
      <c r="BM26" s="162" t="s">
        <v>94</v>
      </c>
      <c r="BN26" s="163" t="s">
        <v>95</v>
      </c>
      <c r="BO26" s="162" t="s">
        <v>96</v>
      </c>
      <c r="BP26" s="162" t="s">
        <v>97</v>
      </c>
      <c r="BQ26" s="162" t="s">
        <v>98</v>
      </c>
      <c r="BR26" s="206" t="s">
        <v>99</v>
      </c>
      <c r="BS26" s="162" t="s">
        <v>100</v>
      </c>
      <c r="BT26" s="162" t="s">
        <v>8</v>
      </c>
      <c r="BU26" s="154" t="s">
        <v>101</v>
      </c>
      <c r="BV26" s="151" t="s">
        <v>102</v>
      </c>
      <c r="BW26" s="150" t="s">
        <v>103</v>
      </c>
      <c r="BX26" s="162" t="s">
        <v>104</v>
      </c>
      <c r="BY26" s="162" t="s">
        <v>105</v>
      </c>
      <c r="BZ26" s="150" t="s">
        <v>106</v>
      </c>
      <c r="CA26" s="150"/>
      <c r="CB26" s="150"/>
      <c r="CC26" s="154" t="s">
        <v>107</v>
      </c>
      <c r="CD26" s="150" t="s">
        <v>108</v>
      </c>
      <c r="CE26" s="154" t="s">
        <v>109</v>
      </c>
      <c r="CF26" s="164" t="s">
        <v>151</v>
      </c>
      <c r="CG26" s="165"/>
    </row>
    <row r="27" spans="1:85" s="138" customFormat="1" ht="15" customHeight="1">
      <c r="A27" s="48" t="s">
        <v>255</v>
      </c>
      <c r="B27" s="29" t="s">
        <v>111</v>
      </c>
      <c r="C27" s="168">
        <v>45839</v>
      </c>
      <c r="D27" s="48" t="s">
        <v>179</v>
      </c>
      <c r="E27" s="29" t="s">
        <v>113</v>
      </c>
      <c r="F27" s="48" t="s">
        <v>114</v>
      </c>
      <c r="G27" s="48"/>
      <c r="H27" s="48"/>
      <c r="I27" s="48"/>
      <c r="J27" s="170"/>
      <c r="K27" s="170"/>
      <c r="L27" s="170"/>
      <c r="M27" s="170"/>
      <c r="N27" s="170" t="s">
        <v>118</v>
      </c>
      <c r="O27" s="170" t="s">
        <v>256</v>
      </c>
      <c r="P27" s="48" t="s">
        <v>257</v>
      </c>
      <c r="Q27" s="48" t="s">
        <v>258</v>
      </c>
      <c r="R27" s="170"/>
      <c r="S27" s="170"/>
      <c r="T27" s="170"/>
      <c r="U27" s="170"/>
      <c r="V27" s="170"/>
      <c r="W27" s="170"/>
      <c r="X27" s="173" t="s">
        <v>259</v>
      </c>
      <c r="Y27" s="167"/>
      <c r="Z27" s="48"/>
      <c r="AA27" s="48">
        <v>1</v>
      </c>
      <c r="AB27" s="174">
        <v>0</v>
      </c>
      <c r="AC27" s="174"/>
      <c r="AD27" s="174">
        <v>0</v>
      </c>
      <c r="AE27" s="174">
        <v>0</v>
      </c>
      <c r="AF27" s="174">
        <v>0</v>
      </c>
      <c r="AG27" s="174">
        <v>0</v>
      </c>
      <c r="AH27" s="174">
        <v>0</v>
      </c>
      <c r="AI27" s="174">
        <v>2.52</v>
      </c>
      <c r="AJ27" s="174">
        <v>0</v>
      </c>
      <c r="AK27" s="174">
        <v>0</v>
      </c>
      <c r="AL27" s="174">
        <v>0</v>
      </c>
      <c r="AM27" s="174">
        <v>0</v>
      </c>
      <c r="AN27" s="174">
        <v>0</v>
      </c>
      <c r="AO27" s="174">
        <v>0</v>
      </c>
      <c r="AP27" s="174">
        <v>0</v>
      </c>
      <c r="AQ27" s="174">
        <v>0</v>
      </c>
      <c r="AR27" s="174">
        <v>0</v>
      </c>
      <c r="AS27" s="174">
        <v>0</v>
      </c>
      <c r="AT27" s="174">
        <v>0</v>
      </c>
      <c r="AU27" s="174">
        <v>0</v>
      </c>
      <c r="AV27" s="174">
        <v>0</v>
      </c>
      <c r="AW27" s="174">
        <v>0</v>
      </c>
      <c r="AX27" s="174">
        <v>0</v>
      </c>
      <c r="AY27" s="174">
        <v>0</v>
      </c>
      <c r="AZ27" s="174">
        <v>0</v>
      </c>
      <c r="BA27" s="174">
        <v>0</v>
      </c>
      <c r="BB27" s="174">
        <v>0</v>
      </c>
      <c r="BC27" s="174">
        <v>0</v>
      </c>
      <c r="BD27" s="174">
        <v>0</v>
      </c>
      <c r="BE27" s="174">
        <v>0</v>
      </c>
      <c r="BF27" s="174">
        <v>0</v>
      </c>
      <c r="BG27" s="174">
        <f>SUM(AI27,AJ27)</f>
        <v>2.52</v>
      </c>
      <c r="BH27" s="175" t="s">
        <v>260</v>
      </c>
      <c r="BI27" s="166">
        <v>46022</v>
      </c>
      <c r="BJ27" s="167">
        <v>-95.24</v>
      </c>
      <c r="BK27" s="168"/>
      <c r="BL27" s="56"/>
      <c r="BM27" s="168" t="s">
        <v>256</v>
      </c>
      <c r="BN27" s="169" t="s">
        <v>386</v>
      </c>
      <c r="BO27" s="168"/>
      <c r="BP27" s="168"/>
      <c r="BQ27" s="168"/>
      <c r="BR27" s="207"/>
      <c r="BS27" s="168"/>
      <c r="BT27" s="168"/>
      <c r="BU27" s="167"/>
      <c r="BV27" s="170"/>
      <c r="BW27" s="48"/>
      <c r="BX27" s="168"/>
      <c r="BY27" s="168"/>
      <c r="BZ27" s="48"/>
      <c r="CA27" s="48"/>
      <c r="CB27" s="48"/>
      <c r="CC27" s="167"/>
      <c r="CD27" s="137"/>
      <c r="CE27" s="171"/>
      <c r="CF27" s="172" t="s">
        <v>166</v>
      </c>
      <c r="CG27" s="165"/>
    </row>
    <row r="28" spans="1:85" s="138" customFormat="1" ht="15" customHeight="1">
      <c r="A28" s="48" t="s">
        <v>261</v>
      </c>
      <c r="B28" s="29" t="s">
        <v>111</v>
      </c>
      <c r="C28" s="168">
        <v>45839</v>
      </c>
      <c r="D28" s="48" t="s">
        <v>179</v>
      </c>
      <c r="E28" s="29" t="s">
        <v>113</v>
      </c>
      <c r="F28" s="48" t="s">
        <v>114</v>
      </c>
      <c r="G28" s="48"/>
      <c r="H28" s="48"/>
      <c r="I28" s="48"/>
      <c r="J28" s="170"/>
      <c r="K28" s="170"/>
      <c r="L28" s="170"/>
      <c r="M28" s="170"/>
      <c r="N28" s="170" t="s">
        <v>118</v>
      </c>
      <c r="O28" s="170" t="s">
        <v>256</v>
      </c>
      <c r="P28" s="48" t="s">
        <v>257</v>
      </c>
      <c r="Q28" s="48" t="s">
        <v>258</v>
      </c>
      <c r="R28" s="170"/>
      <c r="S28" s="170"/>
      <c r="T28" s="170"/>
      <c r="U28" s="170"/>
      <c r="V28" s="170"/>
      <c r="W28" s="170"/>
      <c r="X28" s="173" t="s">
        <v>262</v>
      </c>
      <c r="Y28" s="167"/>
      <c r="Z28" s="48"/>
      <c r="AA28" s="48">
        <v>1</v>
      </c>
      <c r="AB28" s="174">
        <v>0</v>
      </c>
      <c r="AC28" s="174"/>
      <c r="AD28" s="174">
        <v>0</v>
      </c>
      <c r="AE28" s="174">
        <v>0</v>
      </c>
      <c r="AF28" s="174">
        <v>0</v>
      </c>
      <c r="AG28" s="174">
        <v>0</v>
      </c>
      <c r="AH28" s="174">
        <v>0</v>
      </c>
      <c r="AI28" s="174">
        <v>3</v>
      </c>
      <c r="AJ28" s="174">
        <v>0</v>
      </c>
      <c r="AK28" s="174">
        <v>0</v>
      </c>
      <c r="AL28" s="174">
        <v>0</v>
      </c>
      <c r="AM28" s="174">
        <v>0</v>
      </c>
      <c r="AN28" s="174">
        <v>0</v>
      </c>
      <c r="AO28" s="174">
        <v>0</v>
      </c>
      <c r="AP28" s="174">
        <v>0</v>
      </c>
      <c r="AQ28" s="174">
        <v>0</v>
      </c>
      <c r="AR28" s="174">
        <v>0</v>
      </c>
      <c r="AS28" s="174">
        <v>0</v>
      </c>
      <c r="AT28" s="174">
        <v>0</v>
      </c>
      <c r="AU28" s="174">
        <v>0</v>
      </c>
      <c r="AV28" s="174">
        <v>0</v>
      </c>
      <c r="AW28" s="174">
        <v>0</v>
      </c>
      <c r="AX28" s="174">
        <v>0</v>
      </c>
      <c r="AY28" s="174">
        <v>0</v>
      </c>
      <c r="AZ28" s="174">
        <v>0</v>
      </c>
      <c r="BA28" s="174">
        <v>0</v>
      </c>
      <c r="BB28" s="174">
        <v>0</v>
      </c>
      <c r="BC28" s="174">
        <v>0</v>
      </c>
      <c r="BD28" s="174">
        <v>0</v>
      </c>
      <c r="BE28" s="174">
        <v>0</v>
      </c>
      <c r="BF28" s="174">
        <v>0</v>
      </c>
      <c r="BG28" s="174">
        <f t="shared" ref="BG28:BG46" si="0">SUM(AI28,AJ28)</f>
        <v>3</v>
      </c>
      <c r="BH28" s="175" t="s">
        <v>260</v>
      </c>
      <c r="BI28" s="166">
        <v>46022</v>
      </c>
      <c r="BJ28" s="167">
        <v>-95.24</v>
      </c>
      <c r="BK28" s="168"/>
      <c r="BL28" s="56"/>
      <c r="BM28" s="168" t="s">
        <v>256</v>
      </c>
      <c r="BN28" s="169" t="s">
        <v>386</v>
      </c>
      <c r="BO28" s="168"/>
      <c r="BP28" s="168"/>
      <c r="BQ28" s="168"/>
      <c r="BR28" s="207"/>
      <c r="BS28" s="168"/>
      <c r="BT28" s="168"/>
      <c r="BU28" s="167"/>
      <c r="BV28" s="170"/>
      <c r="BW28" s="48"/>
      <c r="BX28" s="168"/>
      <c r="BY28" s="168"/>
      <c r="BZ28" s="48"/>
      <c r="CA28" s="48"/>
      <c r="CB28" s="48"/>
      <c r="CC28" s="167"/>
      <c r="CD28" s="137"/>
      <c r="CE28" s="171"/>
      <c r="CF28" s="172" t="s">
        <v>166</v>
      </c>
      <c r="CG28" s="165"/>
    </row>
    <row r="29" spans="1:85" s="138" customFormat="1" ht="15" customHeight="1">
      <c r="A29" s="48" t="s">
        <v>263</v>
      </c>
      <c r="B29" s="29" t="s">
        <v>111</v>
      </c>
      <c r="C29" s="168">
        <v>45809</v>
      </c>
      <c r="D29" s="48" t="s">
        <v>179</v>
      </c>
      <c r="E29" s="29" t="s">
        <v>113</v>
      </c>
      <c r="F29" s="48" t="s">
        <v>114</v>
      </c>
      <c r="G29" s="48" t="s">
        <v>130</v>
      </c>
      <c r="H29" s="48" t="s">
        <v>116</v>
      </c>
      <c r="I29" s="48" t="s">
        <v>116</v>
      </c>
      <c r="J29" s="170" t="s">
        <v>116</v>
      </c>
      <c r="K29" s="170" t="b">
        <v>0</v>
      </c>
      <c r="L29" s="170" t="s">
        <v>116</v>
      </c>
      <c r="M29" s="170" t="s">
        <v>116</v>
      </c>
      <c r="N29" s="170" t="s">
        <v>118</v>
      </c>
      <c r="O29" s="170" t="s">
        <v>256</v>
      </c>
      <c r="P29" s="48" t="s">
        <v>257</v>
      </c>
      <c r="Q29" s="48" t="s">
        <v>258</v>
      </c>
      <c r="R29" s="170" t="s">
        <v>116</v>
      </c>
      <c r="S29" s="170" t="s">
        <v>116</v>
      </c>
      <c r="T29" s="170" t="s">
        <v>116</v>
      </c>
      <c r="U29" s="170" t="s">
        <v>116</v>
      </c>
      <c r="V29" s="170" t="s">
        <v>116</v>
      </c>
      <c r="W29" s="170" t="s">
        <v>116</v>
      </c>
      <c r="X29" s="173" t="s">
        <v>264</v>
      </c>
      <c r="Y29" s="167">
        <v>147.62</v>
      </c>
      <c r="Z29" s="48" t="s">
        <v>123</v>
      </c>
      <c r="AA29" s="48">
        <v>1</v>
      </c>
      <c r="AB29" s="174">
        <v>0</v>
      </c>
      <c r="AC29" s="174"/>
      <c r="AD29" s="174">
        <v>0</v>
      </c>
      <c r="AE29" s="174">
        <v>0</v>
      </c>
      <c r="AF29" s="174">
        <v>0</v>
      </c>
      <c r="AG29" s="174">
        <v>0</v>
      </c>
      <c r="AH29" s="174">
        <v>0</v>
      </c>
      <c r="AI29" s="174">
        <v>0.74</v>
      </c>
      <c r="AJ29" s="174">
        <v>0</v>
      </c>
      <c r="AK29" s="174">
        <v>0</v>
      </c>
      <c r="AL29" s="174">
        <v>0</v>
      </c>
      <c r="AM29" s="174">
        <v>0</v>
      </c>
      <c r="AN29" s="174">
        <v>0</v>
      </c>
      <c r="AO29" s="174">
        <v>0</v>
      </c>
      <c r="AP29" s="174">
        <v>0</v>
      </c>
      <c r="AQ29" s="174">
        <v>0</v>
      </c>
      <c r="AR29" s="174">
        <v>0</v>
      </c>
      <c r="AS29" s="174">
        <v>0</v>
      </c>
      <c r="AT29" s="174">
        <v>0</v>
      </c>
      <c r="AU29" s="174">
        <v>0</v>
      </c>
      <c r="AV29" s="174">
        <v>0</v>
      </c>
      <c r="AW29" s="174">
        <v>0</v>
      </c>
      <c r="AX29" s="174">
        <v>0</v>
      </c>
      <c r="AY29" s="174">
        <v>0</v>
      </c>
      <c r="AZ29" s="174">
        <v>0</v>
      </c>
      <c r="BA29" s="174">
        <v>0</v>
      </c>
      <c r="BB29" s="174">
        <v>0</v>
      </c>
      <c r="BC29" s="174">
        <v>0</v>
      </c>
      <c r="BD29" s="174">
        <v>0</v>
      </c>
      <c r="BE29" s="174">
        <v>0</v>
      </c>
      <c r="BF29" s="174">
        <v>0</v>
      </c>
      <c r="BG29" s="174">
        <f t="shared" si="0"/>
        <v>0.74</v>
      </c>
      <c r="BH29" s="175" t="s">
        <v>265</v>
      </c>
      <c r="BI29" s="166">
        <v>45998</v>
      </c>
      <c r="BJ29" s="167">
        <v>233.1</v>
      </c>
      <c r="BK29" s="168"/>
      <c r="BL29" s="56"/>
      <c r="BM29" s="168" t="s">
        <v>256</v>
      </c>
      <c r="BN29" s="169" t="s">
        <v>386</v>
      </c>
      <c r="BO29" s="168"/>
      <c r="BP29" s="168"/>
      <c r="BQ29" s="168"/>
      <c r="BR29" s="207"/>
      <c r="BS29" s="168"/>
      <c r="BT29" s="168"/>
      <c r="BU29" s="167"/>
      <c r="BV29" s="170"/>
      <c r="BW29" s="48"/>
      <c r="BX29" s="168"/>
      <c r="BY29" s="168"/>
      <c r="BZ29" s="48"/>
      <c r="CA29" s="48"/>
      <c r="CB29" s="48"/>
      <c r="CC29" s="167"/>
      <c r="CD29" s="137"/>
      <c r="CE29" s="171"/>
      <c r="CF29" s="172" t="s">
        <v>166</v>
      </c>
      <c r="CG29" s="165"/>
    </row>
    <row r="30" spans="1:85" s="138" customFormat="1" ht="15" customHeight="1">
      <c r="A30" s="48" t="s">
        <v>263</v>
      </c>
      <c r="B30" s="29" t="s">
        <v>111</v>
      </c>
      <c r="C30" s="168">
        <v>45809</v>
      </c>
      <c r="D30" s="48" t="s">
        <v>179</v>
      </c>
      <c r="E30" s="29" t="s">
        <v>113</v>
      </c>
      <c r="F30" s="48" t="s">
        <v>114</v>
      </c>
      <c r="G30" s="48" t="s">
        <v>130</v>
      </c>
      <c r="H30" s="48" t="s">
        <v>116</v>
      </c>
      <c r="I30" s="48" t="s">
        <v>116</v>
      </c>
      <c r="J30" s="170" t="s">
        <v>116</v>
      </c>
      <c r="K30" s="170" t="b">
        <v>0</v>
      </c>
      <c r="L30" s="170" t="s">
        <v>116</v>
      </c>
      <c r="M30" s="170" t="s">
        <v>116</v>
      </c>
      <c r="N30" s="170" t="s">
        <v>118</v>
      </c>
      <c r="O30" s="170" t="s">
        <v>256</v>
      </c>
      <c r="P30" s="48" t="s">
        <v>257</v>
      </c>
      <c r="Q30" s="48" t="s">
        <v>258</v>
      </c>
      <c r="R30" s="170" t="s">
        <v>116</v>
      </c>
      <c r="S30" s="170" t="s">
        <v>116</v>
      </c>
      <c r="T30" s="170" t="s">
        <v>116</v>
      </c>
      <c r="U30" s="170" t="s">
        <v>116</v>
      </c>
      <c r="V30" s="170" t="s">
        <v>116</v>
      </c>
      <c r="W30" s="170" t="s">
        <v>116</v>
      </c>
      <c r="X30" s="173" t="s">
        <v>264</v>
      </c>
      <c r="Y30" s="167">
        <v>147.62</v>
      </c>
      <c r="Z30" s="48" t="s">
        <v>123</v>
      </c>
      <c r="AA30" s="48">
        <v>1</v>
      </c>
      <c r="AB30" s="174">
        <v>0</v>
      </c>
      <c r="AC30" s="174"/>
      <c r="AD30" s="174">
        <v>0</v>
      </c>
      <c r="AE30" s="174">
        <v>0</v>
      </c>
      <c r="AF30" s="174">
        <v>0</v>
      </c>
      <c r="AG30" s="174">
        <v>0</v>
      </c>
      <c r="AH30" s="174">
        <v>0</v>
      </c>
      <c r="AI30" s="174">
        <v>0.74</v>
      </c>
      <c r="AJ30" s="174">
        <v>0</v>
      </c>
      <c r="AK30" s="174">
        <v>0</v>
      </c>
      <c r="AL30" s="174">
        <v>0</v>
      </c>
      <c r="AM30" s="174">
        <v>0</v>
      </c>
      <c r="AN30" s="174">
        <v>0</v>
      </c>
      <c r="AO30" s="174">
        <v>0</v>
      </c>
      <c r="AP30" s="174">
        <v>0</v>
      </c>
      <c r="AQ30" s="174">
        <v>0</v>
      </c>
      <c r="AR30" s="174">
        <v>0</v>
      </c>
      <c r="AS30" s="174">
        <v>0</v>
      </c>
      <c r="AT30" s="174">
        <v>0</v>
      </c>
      <c r="AU30" s="174">
        <v>0</v>
      </c>
      <c r="AV30" s="174">
        <v>0</v>
      </c>
      <c r="AW30" s="174">
        <v>0</v>
      </c>
      <c r="AX30" s="174">
        <v>0</v>
      </c>
      <c r="AY30" s="174">
        <v>0</v>
      </c>
      <c r="AZ30" s="174">
        <v>0</v>
      </c>
      <c r="BA30" s="174">
        <v>0</v>
      </c>
      <c r="BB30" s="174">
        <v>0</v>
      </c>
      <c r="BC30" s="174">
        <v>0</v>
      </c>
      <c r="BD30" s="174">
        <v>0</v>
      </c>
      <c r="BE30" s="174">
        <v>0</v>
      </c>
      <c r="BF30" s="174">
        <v>0</v>
      </c>
      <c r="BG30" s="174">
        <f t="shared" si="0"/>
        <v>0.74</v>
      </c>
      <c r="BH30" s="175" t="s">
        <v>266</v>
      </c>
      <c r="BI30" s="166">
        <v>46022</v>
      </c>
      <c r="BJ30" s="167">
        <v>-95.24</v>
      </c>
      <c r="BK30" s="168"/>
      <c r="BL30" s="56"/>
      <c r="BM30" s="168" t="s">
        <v>256</v>
      </c>
      <c r="BN30" s="169" t="s">
        <v>386</v>
      </c>
      <c r="BO30" s="168"/>
      <c r="BP30" s="168"/>
      <c r="BQ30" s="168"/>
      <c r="BR30" s="207"/>
      <c r="BS30" s="168"/>
      <c r="BT30" s="168"/>
      <c r="BU30" s="167"/>
      <c r="BV30" s="170"/>
      <c r="BW30" s="48"/>
      <c r="BX30" s="168"/>
      <c r="BY30" s="168"/>
      <c r="BZ30" s="48"/>
      <c r="CA30" s="48"/>
      <c r="CB30" s="48"/>
      <c r="CC30" s="167"/>
      <c r="CD30" s="137"/>
      <c r="CE30" s="171"/>
      <c r="CF30" s="172" t="s">
        <v>166</v>
      </c>
      <c r="CG30" s="165"/>
    </row>
    <row r="31" spans="1:85" s="138" customFormat="1" ht="15" customHeight="1">
      <c r="A31" s="48" t="s">
        <v>267</v>
      </c>
      <c r="B31" s="29" t="s">
        <v>111</v>
      </c>
      <c r="C31" s="168">
        <v>45809</v>
      </c>
      <c r="D31" s="48" t="s">
        <v>179</v>
      </c>
      <c r="E31" s="29" t="s">
        <v>113</v>
      </c>
      <c r="F31" s="48" t="s">
        <v>114</v>
      </c>
      <c r="G31" s="48" t="s">
        <v>153</v>
      </c>
      <c r="H31" s="48" t="s">
        <v>116</v>
      </c>
      <c r="I31" s="48" t="s">
        <v>116</v>
      </c>
      <c r="J31" s="170" t="s">
        <v>116</v>
      </c>
      <c r="K31" s="170" t="b">
        <v>0</v>
      </c>
      <c r="L31" s="170" t="s">
        <v>116</v>
      </c>
      <c r="M31" s="170" t="s">
        <v>116</v>
      </c>
      <c r="N31" s="170" t="s">
        <v>118</v>
      </c>
      <c r="O31" s="170" t="s">
        <v>256</v>
      </c>
      <c r="P31" s="48" t="s">
        <v>257</v>
      </c>
      <c r="Q31" s="48" t="s">
        <v>258</v>
      </c>
      <c r="R31" s="170" t="s">
        <v>116</v>
      </c>
      <c r="S31" s="170" t="s">
        <v>116</v>
      </c>
      <c r="T31" s="170" t="s">
        <v>116</v>
      </c>
      <c r="U31" s="170" t="s">
        <v>116</v>
      </c>
      <c r="V31" s="170" t="s">
        <v>116</v>
      </c>
      <c r="W31" s="170" t="s">
        <v>116</v>
      </c>
      <c r="X31" s="173" t="s">
        <v>268</v>
      </c>
      <c r="Y31" s="167">
        <v>104.74</v>
      </c>
      <c r="Z31" s="48" t="s">
        <v>123</v>
      </c>
      <c r="AA31" s="48">
        <v>1</v>
      </c>
      <c r="AB31" s="174">
        <v>0</v>
      </c>
      <c r="AC31" s="174"/>
      <c r="AD31" s="174">
        <v>0</v>
      </c>
      <c r="AE31" s="174">
        <v>0</v>
      </c>
      <c r="AF31" s="174">
        <v>0</v>
      </c>
      <c r="AG31" s="174">
        <v>0</v>
      </c>
      <c r="AH31" s="174">
        <v>0</v>
      </c>
      <c r="AI31" s="174">
        <v>0.52</v>
      </c>
      <c r="AJ31" s="174">
        <v>0</v>
      </c>
      <c r="AK31" s="174">
        <v>0</v>
      </c>
      <c r="AL31" s="174">
        <v>0</v>
      </c>
      <c r="AM31" s="174">
        <v>0</v>
      </c>
      <c r="AN31" s="174">
        <v>0</v>
      </c>
      <c r="AO31" s="174">
        <v>0</v>
      </c>
      <c r="AP31" s="174">
        <v>0</v>
      </c>
      <c r="AQ31" s="174">
        <v>0</v>
      </c>
      <c r="AR31" s="174">
        <v>0</v>
      </c>
      <c r="AS31" s="174">
        <v>0</v>
      </c>
      <c r="AT31" s="174">
        <v>0</v>
      </c>
      <c r="AU31" s="174">
        <v>0</v>
      </c>
      <c r="AV31" s="174">
        <v>0</v>
      </c>
      <c r="AW31" s="174">
        <v>0</v>
      </c>
      <c r="AX31" s="174">
        <v>0</v>
      </c>
      <c r="AY31" s="174">
        <v>0</v>
      </c>
      <c r="AZ31" s="174">
        <v>0</v>
      </c>
      <c r="BA31" s="174">
        <v>0</v>
      </c>
      <c r="BB31" s="174">
        <v>0</v>
      </c>
      <c r="BC31" s="174">
        <v>0</v>
      </c>
      <c r="BD31" s="174">
        <v>0</v>
      </c>
      <c r="BE31" s="174">
        <v>0</v>
      </c>
      <c r="BF31" s="174">
        <v>0</v>
      </c>
      <c r="BG31" s="174">
        <f t="shared" si="0"/>
        <v>0.52</v>
      </c>
      <c r="BH31" s="175" t="s">
        <v>266</v>
      </c>
      <c r="BI31" s="166">
        <v>45998</v>
      </c>
      <c r="BJ31" s="167">
        <v>233.1</v>
      </c>
      <c r="BK31" s="168"/>
      <c r="BL31" s="56"/>
      <c r="BM31" s="168" t="s">
        <v>256</v>
      </c>
      <c r="BN31" s="169" t="s">
        <v>386</v>
      </c>
      <c r="BO31" s="168"/>
      <c r="BP31" s="168"/>
      <c r="BQ31" s="168"/>
      <c r="BR31" s="207"/>
      <c r="BS31" s="168"/>
      <c r="BT31" s="168"/>
      <c r="BU31" s="167"/>
      <c r="BV31" s="170"/>
      <c r="BW31" s="48"/>
      <c r="BX31" s="168"/>
      <c r="BY31" s="168"/>
      <c r="BZ31" s="48"/>
      <c r="CA31" s="48"/>
      <c r="CB31" s="48"/>
      <c r="CC31" s="167"/>
      <c r="CD31" s="137"/>
      <c r="CE31" s="171"/>
      <c r="CF31" s="172" t="s">
        <v>166</v>
      </c>
      <c r="CG31" s="165"/>
    </row>
    <row r="32" spans="1:85" s="138" customFormat="1" ht="15" customHeight="1">
      <c r="A32" s="48" t="s">
        <v>269</v>
      </c>
      <c r="B32" s="29" t="s">
        <v>111</v>
      </c>
      <c r="C32" s="168">
        <v>45839</v>
      </c>
      <c r="D32" s="48" t="s">
        <v>270</v>
      </c>
      <c r="E32" s="29" t="s">
        <v>113</v>
      </c>
      <c r="F32" s="48" t="s">
        <v>114</v>
      </c>
      <c r="G32" s="48" t="s">
        <v>130</v>
      </c>
      <c r="H32" s="48" t="s">
        <v>116</v>
      </c>
      <c r="I32" s="48" t="s">
        <v>116</v>
      </c>
      <c r="J32" s="170" t="s">
        <v>116</v>
      </c>
      <c r="K32" s="170" t="b">
        <v>0</v>
      </c>
      <c r="L32" s="170" t="s">
        <v>116</v>
      </c>
      <c r="M32" s="170" t="s">
        <v>116</v>
      </c>
      <c r="N32" s="170" t="s">
        <v>118</v>
      </c>
      <c r="O32" s="170" t="s">
        <v>256</v>
      </c>
      <c r="P32" s="48" t="s">
        <v>257</v>
      </c>
      <c r="Q32" s="48" t="s">
        <v>258</v>
      </c>
      <c r="R32" s="170" t="s">
        <v>116</v>
      </c>
      <c r="S32" s="170" t="s">
        <v>116</v>
      </c>
      <c r="T32" s="170" t="s">
        <v>116</v>
      </c>
      <c r="U32" s="170" t="s">
        <v>116</v>
      </c>
      <c r="V32" s="170" t="s">
        <v>116</v>
      </c>
      <c r="W32" s="170" t="s">
        <v>116</v>
      </c>
      <c r="X32" s="173" t="s">
        <v>271</v>
      </c>
      <c r="Y32" s="167">
        <v>109.71</v>
      </c>
      <c r="Z32" s="48" t="s">
        <v>123</v>
      </c>
      <c r="AA32" s="48">
        <v>1</v>
      </c>
      <c r="AB32" s="174">
        <v>0</v>
      </c>
      <c r="AC32" s="174"/>
      <c r="AD32" s="174">
        <v>0</v>
      </c>
      <c r="AE32" s="174">
        <v>0</v>
      </c>
      <c r="AF32" s="174">
        <v>0</v>
      </c>
      <c r="AG32" s="174">
        <v>0</v>
      </c>
      <c r="AH32" s="174">
        <v>0</v>
      </c>
      <c r="AI32" s="174">
        <v>0.55000000000000004</v>
      </c>
      <c r="AJ32" s="174">
        <v>0</v>
      </c>
      <c r="AK32" s="174">
        <v>0</v>
      </c>
      <c r="AL32" s="174">
        <v>0</v>
      </c>
      <c r="AM32" s="174">
        <v>0</v>
      </c>
      <c r="AN32" s="174">
        <v>0</v>
      </c>
      <c r="AO32" s="174">
        <v>0</v>
      </c>
      <c r="AP32" s="174">
        <v>0</v>
      </c>
      <c r="AQ32" s="174">
        <v>0</v>
      </c>
      <c r="AR32" s="174">
        <v>0</v>
      </c>
      <c r="AS32" s="174">
        <v>0</v>
      </c>
      <c r="AT32" s="174">
        <v>0</v>
      </c>
      <c r="AU32" s="174">
        <v>0</v>
      </c>
      <c r="AV32" s="174">
        <v>0</v>
      </c>
      <c r="AW32" s="174">
        <v>0</v>
      </c>
      <c r="AX32" s="174">
        <v>0</v>
      </c>
      <c r="AY32" s="174">
        <v>0</v>
      </c>
      <c r="AZ32" s="174">
        <v>0</v>
      </c>
      <c r="BA32" s="174">
        <v>0</v>
      </c>
      <c r="BB32" s="174">
        <v>0</v>
      </c>
      <c r="BC32" s="174">
        <v>0</v>
      </c>
      <c r="BD32" s="174">
        <v>0</v>
      </c>
      <c r="BE32" s="174">
        <v>0</v>
      </c>
      <c r="BF32" s="174">
        <v>0</v>
      </c>
      <c r="BG32" s="174">
        <f t="shared" si="0"/>
        <v>0.55000000000000004</v>
      </c>
      <c r="BH32" s="175" t="s">
        <v>272</v>
      </c>
      <c r="BI32" s="166">
        <v>46011</v>
      </c>
      <c r="BJ32" s="167">
        <v>504.9</v>
      </c>
      <c r="BK32" s="168"/>
      <c r="BL32" s="56"/>
      <c r="BM32" s="168" t="s">
        <v>256</v>
      </c>
      <c r="BN32" s="169" t="s">
        <v>386</v>
      </c>
      <c r="BO32" s="168"/>
      <c r="BP32" s="168"/>
      <c r="BQ32" s="168"/>
      <c r="BR32" s="207"/>
      <c r="BS32" s="168"/>
      <c r="BT32" s="168"/>
      <c r="BU32" s="167"/>
      <c r="BV32" s="170"/>
      <c r="BW32" s="48"/>
      <c r="BX32" s="168"/>
      <c r="BY32" s="168"/>
      <c r="BZ32" s="48"/>
      <c r="CA32" s="48"/>
      <c r="CB32" s="48"/>
      <c r="CC32" s="167"/>
      <c r="CD32" s="137"/>
      <c r="CE32" s="171"/>
      <c r="CF32" s="172" t="s">
        <v>166</v>
      </c>
      <c r="CG32" s="165"/>
    </row>
    <row r="33" spans="1:86" s="138" customFormat="1" ht="15" customHeight="1">
      <c r="A33" s="48" t="s">
        <v>273</v>
      </c>
      <c r="B33" s="29" t="s">
        <v>111</v>
      </c>
      <c r="C33" s="168">
        <v>45839</v>
      </c>
      <c r="D33" s="48" t="s">
        <v>270</v>
      </c>
      <c r="E33" s="29" t="s">
        <v>113</v>
      </c>
      <c r="F33" s="48" t="s">
        <v>114</v>
      </c>
      <c r="G33" s="48" t="s">
        <v>130</v>
      </c>
      <c r="H33" s="48" t="s">
        <v>116</v>
      </c>
      <c r="I33" s="48" t="s">
        <v>116</v>
      </c>
      <c r="J33" s="170" t="s">
        <v>116</v>
      </c>
      <c r="K33" s="170" t="b">
        <v>0</v>
      </c>
      <c r="L33" s="170" t="s">
        <v>116</v>
      </c>
      <c r="M33" s="170" t="s">
        <v>116</v>
      </c>
      <c r="N33" s="170" t="s">
        <v>118</v>
      </c>
      <c r="O33" s="170" t="s">
        <v>256</v>
      </c>
      <c r="P33" s="48" t="s">
        <v>257</v>
      </c>
      <c r="Q33" s="48" t="s">
        <v>258</v>
      </c>
      <c r="R33" s="170" t="s">
        <v>116</v>
      </c>
      <c r="S33" s="170" t="s">
        <v>116</v>
      </c>
      <c r="T33" s="170" t="s">
        <v>116</v>
      </c>
      <c r="U33" s="170" t="s">
        <v>116</v>
      </c>
      <c r="V33" s="170" t="s">
        <v>116</v>
      </c>
      <c r="W33" s="170" t="s">
        <v>116</v>
      </c>
      <c r="X33" s="173" t="s">
        <v>274</v>
      </c>
      <c r="Y33" s="167">
        <v>131.26</v>
      </c>
      <c r="Z33" s="48" t="s">
        <v>123</v>
      </c>
      <c r="AA33" s="48">
        <v>1</v>
      </c>
      <c r="AB33" s="174">
        <v>0</v>
      </c>
      <c r="AC33" s="174"/>
      <c r="AD33" s="174">
        <v>0</v>
      </c>
      <c r="AE33" s="174">
        <v>0</v>
      </c>
      <c r="AF33" s="174">
        <v>0</v>
      </c>
      <c r="AG33" s="174">
        <v>0</v>
      </c>
      <c r="AH33" s="174">
        <v>0</v>
      </c>
      <c r="AI33" s="174">
        <v>0.66</v>
      </c>
      <c r="AJ33" s="174">
        <v>0</v>
      </c>
      <c r="AK33" s="174">
        <v>0</v>
      </c>
      <c r="AL33" s="174">
        <v>0</v>
      </c>
      <c r="AM33" s="174">
        <v>0</v>
      </c>
      <c r="AN33" s="174">
        <v>0</v>
      </c>
      <c r="AO33" s="174">
        <v>0</v>
      </c>
      <c r="AP33" s="174">
        <v>0</v>
      </c>
      <c r="AQ33" s="174">
        <v>0</v>
      </c>
      <c r="AR33" s="174">
        <v>0</v>
      </c>
      <c r="AS33" s="174">
        <v>0</v>
      </c>
      <c r="AT33" s="174">
        <v>0</v>
      </c>
      <c r="AU33" s="174">
        <v>0</v>
      </c>
      <c r="AV33" s="174">
        <v>0</v>
      </c>
      <c r="AW33" s="174">
        <v>0</v>
      </c>
      <c r="AX33" s="174">
        <v>0</v>
      </c>
      <c r="AY33" s="174">
        <v>0</v>
      </c>
      <c r="AZ33" s="174">
        <v>0</v>
      </c>
      <c r="BA33" s="174">
        <v>0</v>
      </c>
      <c r="BB33" s="174">
        <v>0</v>
      </c>
      <c r="BC33" s="174">
        <v>0</v>
      </c>
      <c r="BD33" s="174">
        <v>0</v>
      </c>
      <c r="BE33" s="174">
        <v>0</v>
      </c>
      <c r="BF33" s="174">
        <v>0</v>
      </c>
      <c r="BG33" s="174">
        <f t="shared" si="0"/>
        <v>0.66</v>
      </c>
      <c r="BH33" s="175" t="s">
        <v>265</v>
      </c>
      <c r="BI33" s="166">
        <v>46011</v>
      </c>
      <c r="BJ33" s="167">
        <v>504.9</v>
      </c>
      <c r="BK33" s="168"/>
      <c r="BL33" s="56"/>
      <c r="BM33" s="168" t="s">
        <v>256</v>
      </c>
      <c r="BN33" s="169" t="s">
        <v>386</v>
      </c>
      <c r="BO33" s="168"/>
      <c r="BP33" s="168"/>
      <c r="BQ33" s="168"/>
      <c r="BR33" s="207"/>
      <c r="BS33" s="168"/>
      <c r="BT33" s="168"/>
      <c r="BU33" s="167"/>
      <c r="BV33" s="170"/>
      <c r="BW33" s="48"/>
      <c r="BX33" s="168"/>
      <c r="BY33" s="168"/>
      <c r="BZ33" s="48"/>
      <c r="CA33" s="48"/>
      <c r="CB33" s="48"/>
      <c r="CC33" s="167"/>
      <c r="CD33" s="137"/>
      <c r="CE33" s="171"/>
      <c r="CF33" s="172" t="s">
        <v>166</v>
      </c>
      <c r="CG33" s="165"/>
    </row>
    <row r="34" spans="1:86" s="138" customFormat="1" ht="15" customHeight="1">
      <c r="A34" s="48" t="s">
        <v>275</v>
      </c>
      <c r="B34" s="29" t="s">
        <v>111</v>
      </c>
      <c r="C34" s="168">
        <v>45809</v>
      </c>
      <c r="D34" s="48" t="s">
        <v>179</v>
      </c>
      <c r="E34" s="29" t="s">
        <v>113</v>
      </c>
      <c r="F34" s="48" t="s">
        <v>114</v>
      </c>
      <c r="G34" s="48" t="s">
        <v>153</v>
      </c>
      <c r="H34" s="48" t="s">
        <v>116</v>
      </c>
      <c r="I34" s="48" t="s">
        <v>116</v>
      </c>
      <c r="J34" s="170" t="s">
        <v>116</v>
      </c>
      <c r="K34" s="170" t="b">
        <v>0</v>
      </c>
      <c r="L34" s="170" t="s">
        <v>116</v>
      </c>
      <c r="M34" s="170" t="s">
        <v>116</v>
      </c>
      <c r="N34" s="170" t="s">
        <v>118</v>
      </c>
      <c r="O34" s="170" t="s">
        <v>256</v>
      </c>
      <c r="P34" s="48" t="s">
        <v>257</v>
      </c>
      <c r="Q34" s="48" t="s">
        <v>258</v>
      </c>
      <c r="R34" s="170" t="s">
        <v>116</v>
      </c>
      <c r="S34" s="170" t="s">
        <v>116</v>
      </c>
      <c r="T34" s="170" t="s">
        <v>116</v>
      </c>
      <c r="U34" s="170" t="s">
        <v>116</v>
      </c>
      <c r="V34" s="170" t="s">
        <v>116</v>
      </c>
      <c r="W34" s="170" t="s">
        <v>116</v>
      </c>
      <c r="X34" s="173" t="s">
        <v>276</v>
      </c>
      <c r="Y34" s="167">
        <v>113.47</v>
      </c>
      <c r="Z34" s="48" t="s">
        <v>123</v>
      </c>
      <c r="AA34" s="48">
        <v>1</v>
      </c>
      <c r="AB34" s="174">
        <v>0</v>
      </c>
      <c r="AC34" s="174"/>
      <c r="AD34" s="174">
        <v>0</v>
      </c>
      <c r="AE34" s="174">
        <v>0</v>
      </c>
      <c r="AF34" s="174">
        <v>0</v>
      </c>
      <c r="AG34" s="174">
        <v>0</v>
      </c>
      <c r="AH34" s="174">
        <v>0</v>
      </c>
      <c r="AI34" s="174">
        <v>0.56999999999999995</v>
      </c>
      <c r="AJ34" s="174">
        <v>0</v>
      </c>
      <c r="AK34" s="174">
        <v>0</v>
      </c>
      <c r="AL34" s="174">
        <v>0</v>
      </c>
      <c r="AM34" s="174">
        <v>0</v>
      </c>
      <c r="AN34" s="174">
        <v>0</v>
      </c>
      <c r="AO34" s="174">
        <v>0</v>
      </c>
      <c r="AP34" s="174">
        <v>0</v>
      </c>
      <c r="AQ34" s="174">
        <v>0</v>
      </c>
      <c r="AR34" s="174">
        <v>0</v>
      </c>
      <c r="AS34" s="174">
        <v>0</v>
      </c>
      <c r="AT34" s="174">
        <v>0</v>
      </c>
      <c r="AU34" s="174">
        <v>0</v>
      </c>
      <c r="AV34" s="174">
        <v>0</v>
      </c>
      <c r="AW34" s="174">
        <v>0</v>
      </c>
      <c r="AX34" s="174">
        <v>0</v>
      </c>
      <c r="AY34" s="174">
        <v>0</v>
      </c>
      <c r="AZ34" s="174">
        <v>0</v>
      </c>
      <c r="BA34" s="174">
        <v>0</v>
      </c>
      <c r="BB34" s="174">
        <v>0</v>
      </c>
      <c r="BC34" s="174">
        <v>0</v>
      </c>
      <c r="BD34" s="174">
        <v>0</v>
      </c>
      <c r="BE34" s="174">
        <v>0</v>
      </c>
      <c r="BF34" s="174">
        <v>0</v>
      </c>
      <c r="BG34" s="174">
        <f t="shared" si="0"/>
        <v>0.56999999999999995</v>
      </c>
      <c r="BH34" s="175" t="s">
        <v>266</v>
      </c>
      <c r="BI34" s="166">
        <v>45998</v>
      </c>
      <c r="BJ34" s="167">
        <v>233.1</v>
      </c>
      <c r="BK34" s="168"/>
      <c r="BL34" s="56"/>
      <c r="BM34" s="168" t="s">
        <v>256</v>
      </c>
      <c r="BN34" s="169" t="s">
        <v>386</v>
      </c>
      <c r="BO34" s="168"/>
      <c r="BP34" s="168"/>
      <c r="BQ34" s="168"/>
      <c r="BR34" s="207"/>
      <c r="BS34" s="168"/>
      <c r="BT34" s="168"/>
      <c r="BU34" s="167"/>
      <c r="BV34" s="170"/>
      <c r="BW34" s="48"/>
      <c r="BX34" s="168"/>
      <c r="BY34" s="168"/>
      <c r="BZ34" s="48"/>
      <c r="CA34" s="48"/>
      <c r="CB34" s="48"/>
      <c r="CC34" s="167"/>
      <c r="CD34" s="137"/>
      <c r="CE34" s="171"/>
      <c r="CF34" s="172" t="s">
        <v>166</v>
      </c>
      <c r="CG34" s="165"/>
    </row>
    <row r="35" spans="1:86" s="138" customFormat="1" ht="15" customHeight="1">
      <c r="A35" s="48" t="s">
        <v>277</v>
      </c>
      <c r="B35" s="29" t="s">
        <v>111</v>
      </c>
      <c r="C35" s="168">
        <v>45809</v>
      </c>
      <c r="D35" s="48" t="s">
        <v>179</v>
      </c>
      <c r="E35" s="29" t="s">
        <v>113</v>
      </c>
      <c r="F35" s="48" t="s">
        <v>114</v>
      </c>
      <c r="G35" s="48" t="s">
        <v>153</v>
      </c>
      <c r="H35" s="48" t="s">
        <v>116</v>
      </c>
      <c r="I35" s="48" t="s">
        <v>116</v>
      </c>
      <c r="J35" s="170" t="s">
        <v>116</v>
      </c>
      <c r="K35" s="170" t="b">
        <v>0</v>
      </c>
      <c r="L35" s="170" t="s">
        <v>116</v>
      </c>
      <c r="M35" s="170" t="s">
        <v>116</v>
      </c>
      <c r="N35" s="170" t="s">
        <v>118</v>
      </c>
      <c r="O35" s="170" t="s">
        <v>256</v>
      </c>
      <c r="P35" s="48" t="s">
        <v>257</v>
      </c>
      <c r="Q35" s="48" t="s">
        <v>258</v>
      </c>
      <c r="R35" s="170" t="s">
        <v>116</v>
      </c>
      <c r="S35" s="170" t="s">
        <v>116</v>
      </c>
      <c r="T35" s="170" t="s">
        <v>116</v>
      </c>
      <c r="U35" s="170" t="s">
        <v>116</v>
      </c>
      <c r="V35" s="170" t="s">
        <v>116</v>
      </c>
      <c r="W35" s="170" t="s">
        <v>116</v>
      </c>
      <c r="X35" s="173" t="s">
        <v>278</v>
      </c>
      <c r="Y35" s="167">
        <v>139.78</v>
      </c>
      <c r="Z35" s="48" t="s">
        <v>123</v>
      </c>
      <c r="AA35" s="48">
        <v>1</v>
      </c>
      <c r="AB35" s="174">
        <v>0</v>
      </c>
      <c r="AC35" s="174"/>
      <c r="AD35" s="174">
        <v>0</v>
      </c>
      <c r="AE35" s="174">
        <v>0</v>
      </c>
      <c r="AF35" s="174">
        <v>0</v>
      </c>
      <c r="AG35" s="174">
        <v>0</v>
      </c>
      <c r="AH35" s="174">
        <v>0</v>
      </c>
      <c r="AI35" s="174">
        <v>0.7</v>
      </c>
      <c r="AJ35" s="174">
        <v>0</v>
      </c>
      <c r="AK35" s="174">
        <v>0</v>
      </c>
      <c r="AL35" s="174">
        <v>0</v>
      </c>
      <c r="AM35" s="174">
        <v>0</v>
      </c>
      <c r="AN35" s="174">
        <v>0</v>
      </c>
      <c r="AO35" s="174">
        <v>0</v>
      </c>
      <c r="AP35" s="174">
        <v>0</v>
      </c>
      <c r="AQ35" s="174">
        <v>0</v>
      </c>
      <c r="AR35" s="174">
        <v>0</v>
      </c>
      <c r="AS35" s="174">
        <v>0</v>
      </c>
      <c r="AT35" s="174">
        <v>0</v>
      </c>
      <c r="AU35" s="174">
        <v>0</v>
      </c>
      <c r="AV35" s="174">
        <v>0</v>
      </c>
      <c r="AW35" s="174">
        <v>0</v>
      </c>
      <c r="AX35" s="174">
        <v>0</v>
      </c>
      <c r="AY35" s="174">
        <v>0</v>
      </c>
      <c r="AZ35" s="174">
        <v>0</v>
      </c>
      <c r="BA35" s="174">
        <v>0</v>
      </c>
      <c r="BB35" s="174">
        <v>0</v>
      </c>
      <c r="BC35" s="174">
        <v>0</v>
      </c>
      <c r="BD35" s="174">
        <v>0</v>
      </c>
      <c r="BE35" s="174">
        <v>0</v>
      </c>
      <c r="BF35" s="174">
        <v>0</v>
      </c>
      <c r="BG35" s="174">
        <f t="shared" si="0"/>
        <v>0.7</v>
      </c>
      <c r="BH35" s="175" t="s">
        <v>279</v>
      </c>
      <c r="BI35" s="166">
        <v>45998</v>
      </c>
      <c r="BJ35" s="167">
        <v>233.1</v>
      </c>
      <c r="BK35" s="168"/>
      <c r="BL35" s="56"/>
      <c r="BM35" s="168" t="s">
        <v>256</v>
      </c>
      <c r="BN35" s="169" t="s">
        <v>386</v>
      </c>
      <c r="BO35" s="168"/>
      <c r="BP35" s="168"/>
      <c r="BQ35" s="168"/>
      <c r="BR35" s="207"/>
      <c r="BS35" s="168"/>
      <c r="BT35" s="168"/>
      <c r="BU35" s="167"/>
      <c r="BV35" s="170"/>
      <c r="BW35" s="48"/>
      <c r="BX35" s="168"/>
      <c r="BY35" s="168"/>
      <c r="BZ35" s="48"/>
      <c r="CA35" s="48"/>
      <c r="CB35" s="48"/>
      <c r="CC35" s="167"/>
      <c r="CD35" s="137"/>
      <c r="CE35" s="171"/>
      <c r="CF35" s="172" t="s">
        <v>166</v>
      </c>
      <c r="CG35" s="165"/>
    </row>
    <row r="36" spans="1:86" s="138" customFormat="1" ht="15" customHeight="1">
      <c r="A36" s="48" t="s">
        <v>280</v>
      </c>
      <c r="B36" s="29" t="s">
        <v>111</v>
      </c>
      <c r="C36" s="168">
        <v>45658</v>
      </c>
      <c r="D36" s="48" t="s">
        <v>281</v>
      </c>
      <c r="E36" s="29" t="s">
        <v>113</v>
      </c>
      <c r="F36" s="48" t="s">
        <v>114</v>
      </c>
      <c r="G36" s="48" t="s">
        <v>153</v>
      </c>
      <c r="H36" s="48" t="s">
        <v>116</v>
      </c>
      <c r="I36" s="48" t="s">
        <v>116</v>
      </c>
      <c r="J36" s="170" t="s">
        <v>116</v>
      </c>
      <c r="K36" s="170" t="b">
        <v>0</v>
      </c>
      <c r="L36" s="170" t="s">
        <v>116</v>
      </c>
      <c r="M36" s="170" t="s">
        <v>116</v>
      </c>
      <c r="N36" s="170" t="s">
        <v>118</v>
      </c>
      <c r="O36" s="170" t="s">
        <v>256</v>
      </c>
      <c r="P36" s="48" t="s">
        <v>257</v>
      </c>
      <c r="Q36" s="48" t="s">
        <v>258</v>
      </c>
      <c r="R36" s="170" t="s">
        <v>116</v>
      </c>
      <c r="S36" s="170" t="s">
        <v>116</v>
      </c>
      <c r="T36" s="170" t="s">
        <v>116</v>
      </c>
      <c r="U36" s="170" t="s">
        <v>116</v>
      </c>
      <c r="V36" s="170" t="s">
        <v>116</v>
      </c>
      <c r="W36" s="170" t="s">
        <v>116</v>
      </c>
      <c r="X36" s="173" t="s">
        <v>282</v>
      </c>
      <c r="Y36" s="167" t="s">
        <v>116</v>
      </c>
      <c r="Z36" s="48" t="s">
        <v>116</v>
      </c>
      <c r="AA36" s="48">
        <v>1</v>
      </c>
      <c r="AB36" s="174">
        <v>0</v>
      </c>
      <c r="AC36" s="174"/>
      <c r="AD36" s="174">
        <v>0</v>
      </c>
      <c r="AE36" s="174">
        <v>0</v>
      </c>
      <c r="AF36" s="174">
        <v>0</v>
      </c>
      <c r="AG36" s="174">
        <v>0</v>
      </c>
      <c r="AH36" s="174">
        <v>0</v>
      </c>
      <c r="AI36" s="174">
        <v>0.8</v>
      </c>
      <c r="AJ36" s="174">
        <v>0</v>
      </c>
      <c r="AK36" s="174">
        <v>0</v>
      </c>
      <c r="AL36" s="174">
        <v>0</v>
      </c>
      <c r="AM36" s="174">
        <v>0</v>
      </c>
      <c r="AN36" s="174">
        <v>0</v>
      </c>
      <c r="AO36" s="174">
        <v>0</v>
      </c>
      <c r="AP36" s="174">
        <v>0</v>
      </c>
      <c r="AQ36" s="174">
        <v>0</v>
      </c>
      <c r="AR36" s="174">
        <v>0</v>
      </c>
      <c r="AS36" s="174">
        <v>0</v>
      </c>
      <c r="AT36" s="174">
        <v>0</v>
      </c>
      <c r="AU36" s="174">
        <v>0</v>
      </c>
      <c r="AV36" s="174">
        <v>0</v>
      </c>
      <c r="AW36" s="174">
        <v>0</v>
      </c>
      <c r="AX36" s="174">
        <v>0</v>
      </c>
      <c r="AY36" s="174">
        <v>0</v>
      </c>
      <c r="AZ36" s="174">
        <v>0</v>
      </c>
      <c r="BA36" s="174">
        <v>0</v>
      </c>
      <c r="BB36" s="174">
        <v>0</v>
      </c>
      <c r="BC36" s="174">
        <v>0</v>
      </c>
      <c r="BD36" s="174">
        <v>0</v>
      </c>
      <c r="BE36" s="174">
        <v>0</v>
      </c>
      <c r="BF36" s="174">
        <v>0</v>
      </c>
      <c r="BG36" s="174">
        <f t="shared" si="0"/>
        <v>0.8</v>
      </c>
      <c r="BH36" s="175" t="s">
        <v>283</v>
      </c>
      <c r="BI36" s="166">
        <v>46004</v>
      </c>
      <c r="BJ36" s="167">
        <v>10.57</v>
      </c>
      <c r="BK36" s="168"/>
      <c r="BL36" s="56"/>
      <c r="BM36" s="168" t="s">
        <v>256</v>
      </c>
      <c r="BN36" s="169" t="s">
        <v>386</v>
      </c>
      <c r="BO36" s="168"/>
      <c r="BP36" s="168"/>
      <c r="BQ36" s="168"/>
      <c r="BR36" s="207"/>
      <c r="BS36" s="168"/>
      <c r="BT36" s="168"/>
      <c r="BU36" s="167"/>
      <c r="BV36" s="170"/>
      <c r="BW36" s="48"/>
      <c r="BX36" s="168"/>
      <c r="BY36" s="168"/>
      <c r="BZ36" s="48"/>
      <c r="CA36" s="48"/>
      <c r="CB36" s="48"/>
      <c r="CC36" s="167"/>
      <c r="CD36" s="137"/>
      <c r="CE36" s="171"/>
      <c r="CF36" s="172" t="s">
        <v>166</v>
      </c>
      <c r="CG36" s="165"/>
    </row>
    <row r="37" spans="1:86" s="138" customFormat="1" ht="15" customHeight="1">
      <c r="A37" s="48" t="s">
        <v>280</v>
      </c>
      <c r="B37" s="29" t="s">
        <v>111</v>
      </c>
      <c r="C37" s="168">
        <v>45658</v>
      </c>
      <c r="D37" s="48" t="s">
        <v>281</v>
      </c>
      <c r="E37" s="29" t="s">
        <v>113</v>
      </c>
      <c r="F37" s="48" t="s">
        <v>114</v>
      </c>
      <c r="G37" s="48" t="s">
        <v>153</v>
      </c>
      <c r="H37" s="48" t="s">
        <v>116</v>
      </c>
      <c r="I37" s="48" t="s">
        <v>116</v>
      </c>
      <c r="J37" s="170" t="s">
        <v>116</v>
      </c>
      <c r="K37" s="170" t="b">
        <v>0</v>
      </c>
      <c r="L37" s="170" t="s">
        <v>116</v>
      </c>
      <c r="M37" s="170" t="s">
        <v>116</v>
      </c>
      <c r="N37" s="170" t="s">
        <v>118</v>
      </c>
      <c r="O37" s="170" t="s">
        <v>256</v>
      </c>
      <c r="P37" s="48" t="s">
        <v>257</v>
      </c>
      <c r="Q37" s="48" t="s">
        <v>258</v>
      </c>
      <c r="R37" s="170" t="s">
        <v>116</v>
      </c>
      <c r="S37" s="170" t="s">
        <v>116</v>
      </c>
      <c r="T37" s="170" t="s">
        <v>116</v>
      </c>
      <c r="U37" s="170" t="s">
        <v>116</v>
      </c>
      <c r="V37" s="170" t="s">
        <v>116</v>
      </c>
      <c r="W37" s="170" t="s">
        <v>116</v>
      </c>
      <c r="X37" s="173" t="s">
        <v>282</v>
      </c>
      <c r="Y37" s="167" t="s">
        <v>116</v>
      </c>
      <c r="Z37" s="48" t="s">
        <v>116</v>
      </c>
      <c r="AA37" s="48">
        <v>1</v>
      </c>
      <c r="AB37" s="174">
        <v>0</v>
      </c>
      <c r="AC37" s="174"/>
      <c r="AD37" s="174">
        <v>0</v>
      </c>
      <c r="AE37" s="174">
        <v>0</v>
      </c>
      <c r="AF37" s="174">
        <v>0</v>
      </c>
      <c r="AG37" s="174">
        <v>0</v>
      </c>
      <c r="AH37" s="174">
        <v>0</v>
      </c>
      <c r="AI37" s="174">
        <v>0.8</v>
      </c>
      <c r="AJ37" s="174">
        <v>0</v>
      </c>
      <c r="AK37" s="174">
        <v>0</v>
      </c>
      <c r="AL37" s="174">
        <v>0</v>
      </c>
      <c r="AM37" s="174">
        <v>0</v>
      </c>
      <c r="AN37" s="174">
        <v>0</v>
      </c>
      <c r="AO37" s="174">
        <v>0</v>
      </c>
      <c r="AP37" s="174">
        <v>0</v>
      </c>
      <c r="AQ37" s="174">
        <v>0</v>
      </c>
      <c r="AR37" s="174">
        <v>0</v>
      </c>
      <c r="AS37" s="174">
        <v>0</v>
      </c>
      <c r="AT37" s="174">
        <v>0</v>
      </c>
      <c r="AU37" s="174">
        <v>0</v>
      </c>
      <c r="AV37" s="174">
        <v>0</v>
      </c>
      <c r="AW37" s="174">
        <v>0</v>
      </c>
      <c r="AX37" s="174">
        <v>0</v>
      </c>
      <c r="AY37" s="174">
        <v>0</v>
      </c>
      <c r="AZ37" s="174">
        <v>0</v>
      </c>
      <c r="BA37" s="174">
        <v>0</v>
      </c>
      <c r="BB37" s="174">
        <v>0</v>
      </c>
      <c r="BC37" s="174">
        <v>0</v>
      </c>
      <c r="BD37" s="174">
        <v>0</v>
      </c>
      <c r="BE37" s="174">
        <v>0</v>
      </c>
      <c r="BF37" s="174">
        <v>0</v>
      </c>
      <c r="BG37" s="174">
        <f t="shared" si="0"/>
        <v>0.8</v>
      </c>
      <c r="BH37" s="175" t="s">
        <v>194</v>
      </c>
      <c r="BI37" s="166">
        <v>46022</v>
      </c>
      <c r="BJ37" s="167">
        <v>3.19</v>
      </c>
      <c r="BK37" s="168"/>
      <c r="BL37" s="56"/>
      <c r="BM37" s="168" t="s">
        <v>256</v>
      </c>
      <c r="BN37" s="169" t="s">
        <v>386</v>
      </c>
      <c r="BO37" s="168"/>
      <c r="BP37" s="168"/>
      <c r="BQ37" s="168"/>
      <c r="BR37" s="207"/>
      <c r="BS37" s="168"/>
      <c r="BT37" s="168"/>
      <c r="BU37" s="167"/>
      <c r="BV37" s="170"/>
      <c r="BW37" s="48"/>
      <c r="BX37" s="168"/>
      <c r="BY37" s="168"/>
      <c r="BZ37" s="48"/>
      <c r="CA37" s="48"/>
      <c r="CB37" s="48"/>
      <c r="CC37" s="167"/>
      <c r="CD37" s="137"/>
      <c r="CE37" s="171"/>
      <c r="CF37" s="172" t="s">
        <v>166</v>
      </c>
      <c r="CG37" s="165"/>
    </row>
    <row r="38" spans="1:86" s="138" customFormat="1" ht="15" customHeight="1">
      <c r="A38" s="48" t="s">
        <v>284</v>
      </c>
      <c r="B38" s="29" t="s">
        <v>111</v>
      </c>
      <c r="C38" s="168">
        <v>45658</v>
      </c>
      <c r="D38" s="48" t="s">
        <v>281</v>
      </c>
      <c r="E38" s="29" t="s">
        <v>113</v>
      </c>
      <c r="F38" s="48" t="s">
        <v>114</v>
      </c>
      <c r="G38" s="48" t="s">
        <v>153</v>
      </c>
      <c r="H38" s="48" t="s">
        <v>116</v>
      </c>
      <c r="I38" s="48" t="s">
        <v>116</v>
      </c>
      <c r="J38" s="170" t="s">
        <v>116</v>
      </c>
      <c r="K38" s="170" t="b">
        <v>0</v>
      </c>
      <c r="L38" s="170" t="s">
        <v>116</v>
      </c>
      <c r="M38" s="170" t="s">
        <v>116</v>
      </c>
      <c r="N38" s="170" t="s">
        <v>118</v>
      </c>
      <c r="O38" s="170" t="s">
        <v>256</v>
      </c>
      <c r="P38" s="48" t="s">
        <v>257</v>
      </c>
      <c r="Q38" s="48" t="s">
        <v>258</v>
      </c>
      <c r="R38" s="170" t="s">
        <v>116</v>
      </c>
      <c r="S38" s="170" t="s">
        <v>116</v>
      </c>
      <c r="T38" s="170" t="s">
        <v>116</v>
      </c>
      <c r="U38" s="170" t="s">
        <v>116</v>
      </c>
      <c r="V38" s="170" t="s">
        <v>116</v>
      </c>
      <c r="W38" s="170" t="s">
        <v>116</v>
      </c>
      <c r="X38" s="173" t="s">
        <v>285</v>
      </c>
      <c r="Y38" s="167" t="s">
        <v>116</v>
      </c>
      <c r="Z38" s="48" t="s">
        <v>116</v>
      </c>
      <c r="AA38" s="48">
        <v>1</v>
      </c>
      <c r="AB38" s="174">
        <v>0</v>
      </c>
      <c r="AC38" s="174"/>
      <c r="AD38" s="174">
        <v>0</v>
      </c>
      <c r="AE38" s="174">
        <v>0</v>
      </c>
      <c r="AF38" s="174">
        <v>0</v>
      </c>
      <c r="AG38" s="174">
        <v>0</v>
      </c>
      <c r="AH38" s="174">
        <v>0</v>
      </c>
      <c r="AI38" s="174">
        <v>0.8</v>
      </c>
      <c r="AJ38" s="174">
        <v>0</v>
      </c>
      <c r="AK38" s="174">
        <v>0</v>
      </c>
      <c r="AL38" s="174">
        <v>0</v>
      </c>
      <c r="AM38" s="174">
        <v>0</v>
      </c>
      <c r="AN38" s="174">
        <v>0</v>
      </c>
      <c r="AO38" s="174">
        <v>0</v>
      </c>
      <c r="AP38" s="174">
        <v>0</v>
      </c>
      <c r="AQ38" s="174">
        <v>0</v>
      </c>
      <c r="AR38" s="174">
        <v>0</v>
      </c>
      <c r="AS38" s="174">
        <v>0</v>
      </c>
      <c r="AT38" s="174">
        <v>0</v>
      </c>
      <c r="AU38" s="174">
        <v>0</v>
      </c>
      <c r="AV38" s="174">
        <v>0</v>
      </c>
      <c r="AW38" s="174">
        <v>0</v>
      </c>
      <c r="AX38" s="174">
        <v>0</v>
      </c>
      <c r="AY38" s="174">
        <v>0</v>
      </c>
      <c r="AZ38" s="174">
        <v>0</v>
      </c>
      <c r="BA38" s="174">
        <v>0</v>
      </c>
      <c r="BB38" s="174">
        <v>0</v>
      </c>
      <c r="BC38" s="174">
        <v>0</v>
      </c>
      <c r="BD38" s="174">
        <v>0</v>
      </c>
      <c r="BE38" s="174">
        <v>0</v>
      </c>
      <c r="BF38" s="174">
        <v>0</v>
      </c>
      <c r="BG38" s="174">
        <f t="shared" si="0"/>
        <v>0.8</v>
      </c>
      <c r="BH38" s="175" t="s">
        <v>194</v>
      </c>
      <c r="BI38" s="166">
        <v>46004</v>
      </c>
      <c r="BJ38" s="167">
        <v>10.57</v>
      </c>
      <c r="BK38" s="168"/>
      <c r="BL38" s="56"/>
      <c r="BM38" s="168" t="s">
        <v>256</v>
      </c>
      <c r="BN38" s="169" t="s">
        <v>386</v>
      </c>
      <c r="BO38" s="168"/>
      <c r="BP38" s="168"/>
      <c r="BQ38" s="168"/>
      <c r="BR38" s="207"/>
      <c r="BS38" s="168"/>
      <c r="BT38" s="168"/>
      <c r="BU38" s="167"/>
      <c r="BV38" s="170"/>
      <c r="BW38" s="48"/>
      <c r="BX38" s="168"/>
      <c r="BY38" s="168"/>
      <c r="BZ38" s="48"/>
      <c r="CA38" s="48"/>
      <c r="CB38" s="48"/>
      <c r="CC38" s="167"/>
      <c r="CD38" s="137"/>
      <c r="CE38" s="171"/>
      <c r="CF38" s="172" t="s">
        <v>166</v>
      </c>
      <c r="CG38" s="165"/>
    </row>
    <row r="39" spans="1:86" s="138" customFormat="1" ht="15" customHeight="1">
      <c r="A39" s="48" t="s">
        <v>286</v>
      </c>
      <c r="B39" s="29" t="s">
        <v>111</v>
      </c>
      <c r="C39" s="168">
        <v>45870</v>
      </c>
      <c r="D39" s="48" t="s">
        <v>179</v>
      </c>
      <c r="E39" s="29" t="s">
        <v>113</v>
      </c>
      <c r="F39" s="48" t="s">
        <v>114</v>
      </c>
      <c r="G39" s="48" t="s">
        <v>153</v>
      </c>
      <c r="H39" s="48" t="s">
        <v>116</v>
      </c>
      <c r="I39" s="48" t="s">
        <v>116</v>
      </c>
      <c r="J39" s="170" t="s">
        <v>116</v>
      </c>
      <c r="K39" s="170" t="b">
        <v>0</v>
      </c>
      <c r="L39" s="170" t="s">
        <v>116</v>
      </c>
      <c r="M39" s="170" t="s">
        <v>116</v>
      </c>
      <c r="N39" s="170" t="s">
        <v>118</v>
      </c>
      <c r="O39" s="170" t="s">
        <v>256</v>
      </c>
      <c r="P39" s="48" t="s">
        <v>257</v>
      </c>
      <c r="Q39" s="48" t="s">
        <v>258</v>
      </c>
      <c r="R39" s="170" t="s">
        <v>116</v>
      </c>
      <c r="S39" s="170" t="s">
        <v>116</v>
      </c>
      <c r="T39" s="170" t="s">
        <v>116</v>
      </c>
      <c r="U39" s="170" t="s">
        <v>116</v>
      </c>
      <c r="V39" s="170" t="s">
        <v>116</v>
      </c>
      <c r="W39" s="170" t="s">
        <v>116</v>
      </c>
      <c r="X39" s="173" t="s">
        <v>287</v>
      </c>
      <c r="Y39" s="167">
        <v>99.7</v>
      </c>
      <c r="Z39" s="48" t="s">
        <v>123</v>
      </c>
      <c r="AA39" s="48">
        <v>1</v>
      </c>
      <c r="AB39" s="174">
        <v>0</v>
      </c>
      <c r="AC39" s="174"/>
      <c r="AD39" s="174">
        <v>0</v>
      </c>
      <c r="AE39" s="174">
        <v>0</v>
      </c>
      <c r="AF39" s="174">
        <v>0</v>
      </c>
      <c r="AG39" s="174">
        <v>0</v>
      </c>
      <c r="AH39" s="174">
        <v>0</v>
      </c>
      <c r="AI39" s="174">
        <v>0.5</v>
      </c>
      <c r="AJ39" s="174">
        <v>0</v>
      </c>
      <c r="AK39" s="174">
        <v>0</v>
      </c>
      <c r="AL39" s="174">
        <v>0</v>
      </c>
      <c r="AM39" s="174">
        <v>0</v>
      </c>
      <c r="AN39" s="174">
        <v>0</v>
      </c>
      <c r="AO39" s="174">
        <v>0</v>
      </c>
      <c r="AP39" s="174">
        <v>0</v>
      </c>
      <c r="AQ39" s="174">
        <v>0</v>
      </c>
      <c r="AR39" s="174">
        <v>0</v>
      </c>
      <c r="AS39" s="174">
        <v>0</v>
      </c>
      <c r="AT39" s="174">
        <v>0</v>
      </c>
      <c r="AU39" s="174">
        <v>0</v>
      </c>
      <c r="AV39" s="174">
        <v>0</v>
      </c>
      <c r="AW39" s="174">
        <v>0</v>
      </c>
      <c r="AX39" s="174">
        <v>0</v>
      </c>
      <c r="AY39" s="174">
        <v>0</v>
      </c>
      <c r="AZ39" s="174">
        <v>0</v>
      </c>
      <c r="BA39" s="174">
        <v>0</v>
      </c>
      <c r="BB39" s="174">
        <v>0</v>
      </c>
      <c r="BC39" s="174">
        <v>0</v>
      </c>
      <c r="BD39" s="174">
        <v>0</v>
      </c>
      <c r="BE39" s="174">
        <v>0</v>
      </c>
      <c r="BF39" s="174">
        <v>0</v>
      </c>
      <c r="BG39" s="174">
        <f t="shared" si="0"/>
        <v>0.5</v>
      </c>
      <c r="BH39" s="175" t="s">
        <v>288</v>
      </c>
      <c r="BI39" s="166">
        <v>45998</v>
      </c>
      <c r="BJ39" s="167">
        <v>233.1</v>
      </c>
      <c r="BK39" s="168"/>
      <c r="BL39" s="56"/>
      <c r="BM39" s="168" t="s">
        <v>256</v>
      </c>
      <c r="BN39" s="169" t="s">
        <v>386</v>
      </c>
      <c r="BO39" s="168"/>
      <c r="BP39" s="168"/>
      <c r="BQ39" s="168"/>
      <c r="BR39" s="207"/>
      <c r="BS39" s="168"/>
      <c r="BT39" s="168"/>
      <c r="BU39" s="167"/>
      <c r="BV39" s="170"/>
      <c r="BW39" s="48"/>
      <c r="BX39" s="168"/>
      <c r="BY39" s="168"/>
      <c r="BZ39" s="48"/>
      <c r="CA39" s="48"/>
      <c r="CB39" s="48"/>
      <c r="CC39" s="167"/>
      <c r="CD39" s="137"/>
      <c r="CE39" s="171"/>
      <c r="CF39" s="172" t="s">
        <v>166</v>
      </c>
      <c r="CG39" s="165"/>
    </row>
    <row r="40" spans="1:86" s="138" customFormat="1" ht="15" customHeight="1">
      <c r="A40" s="48" t="s">
        <v>289</v>
      </c>
      <c r="B40" s="29" t="s">
        <v>111</v>
      </c>
      <c r="C40" s="168">
        <v>46023</v>
      </c>
      <c r="D40" s="48" t="s">
        <v>290</v>
      </c>
      <c r="E40" s="29" t="s">
        <v>113</v>
      </c>
      <c r="F40" s="48" t="s">
        <v>114</v>
      </c>
      <c r="G40" s="48" t="s">
        <v>153</v>
      </c>
      <c r="H40" s="48" t="s">
        <v>116</v>
      </c>
      <c r="I40" s="48" t="s">
        <v>116</v>
      </c>
      <c r="J40" s="170" t="s">
        <v>116</v>
      </c>
      <c r="K40" s="170" t="b">
        <v>0</v>
      </c>
      <c r="L40" s="170" t="s">
        <v>116</v>
      </c>
      <c r="M40" s="170" t="s">
        <v>116</v>
      </c>
      <c r="N40" s="170" t="s">
        <v>118</v>
      </c>
      <c r="O40" s="170" t="s">
        <v>256</v>
      </c>
      <c r="P40" s="48" t="s">
        <v>257</v>
      </c>
      <c r="Q40" s="48" t="s">
        <v>258</v>
      </c>
      <c r="R40" s="170" t="s">
        <v>116</v>
      </c>
      <c r="S40" s="170" t="s">
        <v>116</v>
      </c>
      <c r="T40" s="170" t="s">
        <v>116</v>
      </c>
      <c r="U40" s="170" t="s">
        <v>116</v>
      </c>
      <c r="V40" s="170" t="s">
        <v>116</v>
      </c>
      <c r="W40" s="170" t="s">
        <v>116</v>
      </c>
      <c r="X40" s="173" t="s">
        <v>291</v>
      </c>
      <c r="Y40" s="167">
        <v>1659.1</v>
      </c>
      <c r="Z40" s="48" t="s">
        <v>292</v>
      </c>
      <c r="AA40" s="48">
        <v>1</v>
      </c>
      <c r="AB40" s="174">
        <v>0</v>
      </c>
      <c r="AC40" s="174"/>
      <c r="AD40" s="174">
        <v>0</v>
      </c>
      <c r="AE40" s="174">
        <v>0</v>
      </c>
      <c r="AF40" s="174">
        <v>0</v>
      </c>
      <c r="AG40" s="174">
        <v>0</v>
      </c>
      <c r="AH40" s="174">
        <v>0</v>
      </c>
      <c r="AI40" s="174">
        <v>8.3000000000000007</v>
      </c>
      <c r="AJ40" s="174">
        <v>0</v>
      </c>
      <c r="AK40" s="174">
        <v>0</v>
      </c>
      <c r="AL40" s="174">
        <v>0</v>
      </c>
      <c r="AM40" s="174">
        <v>0</v>
      </c>
      <c r="AN40" s="174">
        <v>0</v>
      </c>
      <c r="AO40" s="174">
        <v>0</v>
      </c>
      <c r="AP40" s="174">
        <v>0</v>
      </c>
      <c r="AQ40" s="174">
        <v>0</v>
      </c>
      <c r="AR40" s="174">
        <v>0</v>
      </c>
      <c r="AS40" s="174">
        <v>0</v>
      </c>
      <c r="AT40" s="174">
        <v>0</v>
      </c>
      <c r="AU40" s="174">
        <v>0</v>
      </c>
      <c r="AV40" s="174">
        <v>0</v>
      </c>
      <c r="AW40" s="174">
        <v>0</v>
      </c>
      <c r="AX40" s="174">
        <v>0</v>
      </c>
      <c r="AY40" s="174">
        <v>0</v>
      </c>
      <c r="AZ40" s="174">
        <v>0</v>
      </c>
      <c r="BA40" s="174">
        <v>0</v>
      </c>
      <c r="BB40" s="174">
        <v>0</v>
      </c>
      <c r="BC40" s="174">
        <v>0</v>
      </c>
      <c r="BD40" s="174">
        <v>0</v>
      </c>
      <c r="BE40" s="174">
        <v>0</v>
      </c>
      <c r="BF40" s="174">
        <v>0</v>
      </c>
      <c r="BG40" s="174">
        <f t="shared" si="0"/>
        <v>8.3000000000000007</v>
      </c>
      <c r="BH40" s="175" t="s">
        <v>293</v>
      </c>
      <c r="BI40" s="166">
        <v>45998</v>
      </c>
      <c r="BJ40" s="167">
        <v>233.1</v>
      </c>
      <c r="BK40" s="168"/>
      <c r="BL40" s="56"/>
      <c r="BM40" s="168" t="s">
        <v>256</v>
      </c>
      <c r="BN40" s="169" t="s">
        <v>386</v>
      </c>
      <c r="BO40" s="168"/>
      <c r="BP40" s="168"/>
      <c r="BQ40" s="168"/>
      <c r="BR40" s="207"/>
      <c r="BS40" s="168"/>
      <c r="BT40" s="168"/>
      <c r="BU40" s="167"/>
      <c r="BV40" s="170"/>
      <c r="BW40" s="48"/>
      <c r="BX40" s="168"/>
      <c r="BY40" s="168"/>
      <c r="BZ40" s="48"/>
      <c r="CA40" s="48"/>
      <c r="CB40" s="48"/>
      <c r="CC40" s="167"/>
      <c r="CD40" s="137"/>
      <c r="CE40" s="171"/>
      <c r="CF40" s="172" t="s">
        <v>166</v>
      </c>
      <c r="CG40" s="165"/>
    </row>
    <row r="41" spans="1:86" s="138" customFormat="1" ht="15" customHeight="1">
      <c r="A41" s="48" t="s">
        <v>294</v>
      </c>
      <c r="B41" s="29" t="s">
        <v>111</v>
      </c>
      <c r="C41" s="168">
        <v>45870</v>
      </c>
      <c r="D41" s="48" t="s">
        <v>290</v>
      </c>
      <c r="E41" s="29" t="s">
        <v>113</v>
      </c>
      <c r="F41" s="48" t="s">
        <v>114</v>
      </c>
      <c r="G41" s="48" t="s">
        <v>153</v>
      </c>
      <c r="H41" s="48" t="s">
        <v>116</v>
      </c>
      <c r="I41" s="48" t="s">
        <v>116</v>
      </c>
      <c r="J41" s="170" t="s">
        <v>116</v>
      </c>
      <c r="K41" s="170" t="b">
        <v>0</v>
      </c>
      <c r="L41" s="170" t="s">
        <v>116</v>
      </c>
      <c r="M41" s="170" t="s">
        <v>116</v>
      </c>
      <c r="N41" s="170" t="s">
        <v>118</v>
      </c>
      <c r="O41" s="170" t="s">
        <v>256</v>
      </c>
      <c r="P41" s="48" t="s">
        <v>257</v>
      </c>
      <c r="Q41" s="48" t="s">
        <v>258</v>
      </c>
      <c r="R41" s="170" t="s">
        <v>116</v>
      </c>
      <c r="S41" s="170" t="s">
        <v>116</v>
      </c>
      <c r="T41" s="170" t="s">
        <v>116</v>
      </c>
      <c r="U41" s="170" t="s">
        <v>116</v>
      </c>
      <c r="V41" s="170" t="s">
        <v>116</v>
      </c>
      <c r="W41" s="170" t="s">
        <v>116</v>
      </c>
      <c r="X41" s="173" t="s">
        <v>295</v>
      </c>
      <c r="Y41" s="167">
        <v>146.01</v>
      </c>
      <c r="Z41" s="48" t="s">
        <v>123</v>
      </c>
      <c r="AA41" s="48">
        <v>1</v>
      </c>
      <c r="AB41" s="174">
        <v>0</v>
      </c>
      <c r="AC41" s="174"/>
      <c r="AD41" s="174">
        <v>0</v>
      </c>
      <c r="AE41" s="174">
        <v>0</v>
      </c>
      <c r="AF41" s="174">
        <v>0</v>
      </c>
      <c r="AG41" s="174">
        <v>0</v>
      </c>
      <c r="AH41" s="174">
        <v>0</v>
      </c>
      <c r="AI41" s="174">
        <v>0.73</v>
      </c>
      <c r="AJ41" s="174">
        <v>0</v>
      </c>
      <c r="AK41" s="174">
        <v>0</v>
      </c>
      <c r="AL41" s="174">
        <v>0</v>
      </c>
      <c r="AM41" s="174">
        <v>0</v>
      </c>
      <c r="AN41" s="174">
        <v>0</v>
      </c>
      <c r="AO41" s="174">
        <v>0</v>
      </c>
      <c r="AP41" s="174">
        <v>0</v>
      </c>
      <c r="AQ41" s="174">
        <v>0</v>
      </c>
      <c r="AR41" s="174">
        <v>0</v>
      </c>
      <c r="AS41" s="174">
        <v>0</v>
      </c>
      <c r="AT41" s="174">
        <v>0</v>
      </c>
      <c r="AU41" s="174">
        <v>0</v>
      </c>
      <c r="AV41" s="174">
        <v>0</v>
      </c>
      <c r="AW41" s="174">
        <v>0</v>
      </c>
      <c r="AX41" s="174">
        <v>0</v>
      </c>
      <c r="AY41" s="174">
        <v>0</v>
      </c>
      <c r="AZ41" s="174">
        <v>0</v>
      </c>
      <c r="BA41" s="174">
        <v>0</v>
      </c>
      <c r="BB41" s="174">
        <v>0</v>
      </c>
      <c r="BC41" s="174">
        <v>0</v>
      </c>
      <c r="BD41" s="174">
        <v>0</v>
      </c>
      <c r="BE41" s="174">
        <v>0</v>
      </c>
      <c r="BF41" s="174">
        <v>0</v>
      </c>
      <c r="BG41" s="174">
        <f t="shared" si="0"/>
        <v>0.73</v>
      </c>
      <c r="BH41" s="175" t="s">
        <v>272</v>
      </c>
      <c r="BI41" s="166">
        <v>46011</v>
      </c>
      <c r="BJ41" s="167">
        <v>504.9</v>
      </c>
      <c r="BK41" s="168"/>
      <c r="BL41" s="56"/>
      <c r="BM41" s="168" t="s">
        <v>256</v>
      </c>
      <c r="BN41" s="169" t="s">
        <v>386</v>
      </c>
      <c r="BO41" s="168"/>
      <c r="BP41" s="168"/>
      <c r="BQ41" s="168"/>
      <c r="BR41" s="207"/>
      <c r="BS41" s="168"/>
      <c r="BT41" s="168"/>
      <c r="BU41" s="167"/>
      <c r="BV41" s="170"/>
      <c r="BW41" s="48"/>
      <c r="BX41" s="168"/>
      <c r="BY41" s="168"/>
      <c r="BZ41" s="48"/>
      <c r="CA41" s="48"/>
      <c r="CB41" s="48"/>
      <c r="CC41" s="167"/>
      <c r="CD41" s="137"/>
      <c r="CE41" s="171"/>
      <c r="CF41" s="172" t="s">
        <v>166</v>
      </c>
      <c r="CG41" s="165"/>
    </row>
    <row r="42" spans="1:86" s="138" customFormat="1" ht="15" customHeight="1">
      <c r="A42" s="48" t="s">
        <v>296</v>
      </c>
      <c r="B42" s="29" t="s">
        <v>111</v>
      </c>
      <c r="C42" s="168">
        <v>45870</v>
      </c>
      <c r="D42" s="48" t="s">
        <v>290</v>
      </c>
      <c r="E42" s="29" t="s">
        <v>113</v>
      </c>
      <c r="F42" s="48" t="s">
        <v>114</v>
      </c>
      <c r="G42" s="48" t="s">
        <v>153</v>
      </c>
      <c r="H42" s="48" t="s">
        <v>116</v>
      </c>
      <c r="I42" s="48" t="s">
        <v>116</v>
      </c>
      <c r="J42" s="170" t="s">
        <v>116</v>
      </c>
      <c r="K42" s="170" t="b">
        <v>0</v>
      </c>
      <c r="L42" s="170" t="s">
        <v>116</v>
      </c>
      <c r="M42" s="170" t="s">
        <v>116</v>
      </c>
      <c r="N42" s="170" t="s">
        <v>118</v>
      </c>
      <c r="O42" s="170" t="s">
        <v>256</v>
      </c>
      <c r="P42" s="48" t="s">
        <v>257</v>
      </c>
      <c r="Q42" s="48" t="s">
        <v>258</v>
      </c>
      <c r="R42" s="170" t="s">
        <v>116</v>
      </c>
      <c r="S42" s="170" t="s">
        <v>116</v>
      </c>
      <c r="T42" s="170" t="s">
        <v>116</v>
      </c>
      <c r="U42" s="170" t="s">
        <v>116</v>
      </c>
      <c r="V42" s="170" t="s">
        <v>116</v>
      </c>
      <c r="W42" s="170" t="s">
        <v>116</v>
      </c>
      <c r="X42" s="173" t="s">
        <v>297</v>
      </c>
      <c r="Y42" s="167">
        <v>188.66</v>
      </c>
      <c r="Z42" s="48" t="s">
        <v>123</v>
      </c>
      <c r="AA42" s="48">
        <v>1</v>
      </c>
      <c r="AB42" s="174">
        <v>0</v>
      </c>
      <c r="AC42" s="174"/>
      <c r="AD42" s="174">
        <v>0</v>
      </c>
      <c r="AE42" s="174">
        <v>0</v>
      </c>
      <c r="AF42" s="174">
        <v>0</v>
      </c>
      <c r="AG42" s="174">
        <v>0</v>
      </c>
      <c r="AH42" s="174">
        <v>0</v>
      </c>
      <c r="AI42" s="174">
        <v>0.94</v>
      </c>
      <c r="AJ42" s="174">
        <v>0</v>
      </c>
      <c r="AK42" s="174">
        <v>0</v>
      </c>
      <c r="AL42" s="174">
        <v>0</v>
      </c>
      <c r="AM42" s="174">
        <v>0</v>
      </c>
      <c r="AN42" s="174">
        <v>0</v>
      </c>
      <c r="AO42" s="174">
        <v>0</v>
      </c>
      <c r="AP42" s="174">
        <v>0</v>
      </c>
      <c r="AQ42" s="174">
        <v>0</v>
      </c>
      <c r="AR42" s="174">
        <v>0</v>
      </c>
      <c r="AS42" s="174">
        <v>0</v>
      </c>
      <c r="AT42" s="174">
        <v>0</v>
      </c>
      <c r="AU42" s="174">
        <v>0</v>
      </c>
      <c r="AV42" s="174">
        <v>0</v>
      </c>
      <c r="AW42" s="174">
        <v>0</v>
      </c>
      <c r="AX42" s="174">
        <v>0</v>
      </c>
      <c r="AY42" s="174">
        <v>0</v>
      </c>
      <c r="AZ42" s="174">
        <v>0</v>
      </c>
      <c r="BA42" s="174">
        <v>0</v>
      </c>
      <c r="BB42" s="174">
        <v>0</v>
      </c>
      <c r="BC42" s="174">
        <v>0</v>
      </c>
      <c r="BD42" s="174">
        <v>0</v>
      </c>
      <c r="BE42" s="174">
        <v>0</v>
      </c>
      <c r="BF42" s="174">
        <v>0</v>
      </c>
      <c r="BG42" s="174">
        <f t="shared" si="0"/>
        <v>0.94</v>
      </c>
      <c r="BH42" s="175" t="s">
        <v>272</v>
      </c>
      <c r="BI42" s="166">
        <v>46011</v>
      </c>
      <c r="BJ42" s="167">
        <v>504.9</v>
      </c>
      <c r="BK42" s="168"/>
      <c r="BL42" s="56"/>
      <c r="BM42" s="168" t="s">
        <v>256</v>
      </c>
      <c r="BN42" s="169" t="s">
        <v>386</v>
      </c>
      <c r="BO42" s="168"/>
      <c r="BP42" s="168"/>
      <c r="BQ42" s="168"/>
      <c r="BR42" s="207"/>
      <c r="BS42" s="168"/>
      <c r="BT42" s="168"/>
      <c r="BU42" s="167"/>
      <c r="BV42" s="170"/>
      <c r="BW42" s="48"/>
      <c r="BX42" s="168"/>
      <c r="BY42" s="168"/>
      <c r="BZ42" s="48"/>
      <c r="CA42" s="48"/>
      <c r="CB42" s="48"/>
      <c r="CC42" s="167"/>
      <c r="CD42" s="137"/>
      <c r="CE42" s="171"/>
      <c r="CF42" s="172" t="s">
        <v>166</v>
      </c>
      <c r="CG42" s="165"/>
    </row>
    <row r="43" spans="1:86" s="138" customFormat="1" ht="15" customHeight="1">
      <c r="A43" s="48" t="s">
        <v>298</v>
      </c>
      <c r="B43" s="29" t="s">
        <v>111</v>
      </c>
      <c r="C43" s="168">
        <v>46023</v>
      </c>
      <c r="D43" s="48" t="s">
        <v>179</v>
      </c>
      <c r="E43" s="29" t="s">
        <v>113</v>
      </c>
      <c r="F43" s="48" t="s">
        <v>114</v>
      </c>
      <c r="G43" s="48" t="s">
        <v>130</v>
      </c>
      <c r="H43" s="48" t="s">
        <v>116</v>
      </c>
      <c r="I43" s="48" t="s">
        <v>116</v>
      </c>
      <c r="J43" s="170" t="s">
        <v>116</v>
      </c>
      <c r="K43" s="170" t="b">
        <v>0</v>
      </c>
      <c r="L43" s="170" t="s">
        <v>116</v>
      </c>
      <c r="M43" s="170" t="s">
        <v>116</v>
      </c>
      <c r="N43" s="170" t="s">
        <v>118</v>
      </c>
      <c r="O43" s="170" t="s">
        <v>256</v>
      </c>
      <c r="P43" s="48" t="s">
        <v>257</v>
      </c>
      <c r="Q43" s="48" t="s">
        <v>258</v>
      </c>
      <c r="R43" s="170" t="s">
        <v>116</v>
      </c>
      <c r="S43" s="170" t="s">
        <v>116</v>
      </c>
      <c r="T43" s="170" t="s">
        <v>116</v>
      </c>
      <c r="U43" s="170" t="s">
        <v>116</v>
      </c>
      <c r="V43" s="170" t="s">
        <v>116</v>
      </c>
      <c r="W43" s="170" t="s">
        <v>116</v>
      </c>
      <c r="X43" s="173" t="s">
        <v>299</v>
      </c>
      <c r="Y43" s="167">
        <v>172.15</v>
      </c>
      <c r="Z43" s="48" t="s">
        <v>123</v>
      </c>
      <c r="AA43" s="48">
        <v>1</v>
      </c>
      <c r="AB43" s="174">
        <v>0</v>
      </c>
      <c r="AC43" s="174"/>
      <c r="AD43" s="174">
        <v>0</v>
      </c>
      <c r="AE43" s="174">
        <v>0</v>
      </c>
      <c r="AF43" s="174">
        <v>0</v>
      </c>
      <c r="AG43" s="174">
        <v>0</v>
      </c>
      <c r="AH43" s="174">
        <v>0</v>
      </c>
      <c r="AI43" s="174">
        <v>0.86</v>
      </c>
      <c r="AJ43" s="174">
        <v>0</v>
      </c>
      <c r="AK43" s="174">
        <v>0</v>
      </c>
      <c r="AL43" s="174">
        <v>0</v>
      </c>
      <c r="AM43" s="174">
        <v>0</v>
      </c>
      <c r="AN43" s="174">
        <v>0</v>
      </c>
      <c r="AO43" s="174">
        <v>0</v>
      </c>
      <c r="AP43" s="174">
        <v>0</v>
      </c>
      <c r="AQ43" s="174">
        <v>0</v>
      </c>
      <c r="AR43" s="174">
        <v>0</v>
      </c>
      <c r="AS43" s="174">
        <v>0</v>
      </c>
      <c r="AT43" s="174">
        <v>0</v>
      </c>
      <c r="AU43" s="174">
        <v>0</v>
      </c>
      <c r="AV43" s="174">
        <v>0</v>
      </c>
      <c r="AW43" s="174">
        <v>0</v>
      </c>
      <c r="AX43" s="174">
        <v>0</v>
      </c>
      <c r="AY43" s="174">
        <v>0</v>
      </c>
      <c r="AZ43" s="174">
        <v>0</v>
      </c>
      <c r="BA43" s="174">
        <v>0</v>
      </c>
      <c r="BB43" s="174">
        <v>0</v>
      </c>
      <c r="BC43" s="174">
        <v>0</v>
      </c>
      <c r="BD43" s="174">
        <v>0</v>
      </c>
      <c r="BE43" s="174">
        <v>0</v>
      </c>
      <c r="BF43" s="174">
        <v>0</v>
      </c>
      <c r="BG43" s="174">
        <f t="shared" si="0"/>
        <v>0.86</v>
      </c>
      <c r="BH43" s="175" t="s">
        <v>300</v>
      </c>
      <c r="BI43" s="166">
        <v>46011</v>
      </c>
      <c r="BJ43" s="167">
        <v>504.9</v>
      </c>
      <c r="BK43" s="168"/>
      <c r="BL43" s="56"/>
      <c r="BM43" s="168" t="s">
        <v>256</v>
      </c>
      <c r="BN43" s="169" t="s">
        <v>386</v>
      </c>
      <c r="BO43" s="168"/>
      <c r="BP43" s="168"/>
      <c r="BQ43" s="168"/>
      <c r="BR43" s="207"/>
      <c r="BS43" s="168"/>
      <c r="BT43" s="168"/>
      <c r="BU43" s="167"/>
      <c r="BV43" s="170"/>
      <c r="BW43" s="48"/>
      <c r="BX43" s="168"/>
      <c r="BY43" s="168"/>
      <c r="BZ43" s="48"/>
      <c r="CA43" s="48"/>
      <c r="CB43" s="48"/>
      <c r="CC43" s="167"/>
      <c r="CD43" s="137"/>
      <c r="CE43" s="171"/>
      <c r="CF43" s="172" t="s">
        <v>166</v>
      </c>
      <c r="CG43" s="165"/>
    </row>
    <row r="44" spans="1:86" s="138" customFormat="1" ht="15" customHeight="1">
      <c r="A44" s="48" t="s">
        <v>301</v>
      </c>
      <c r="B44" s="29" t="s">
        <v>111</v>
      </c>
      <c r="C44" s="168">
        <v>46023</v>
      </c>
      <c r="D44" s="48" t="s">
        <v>179</v>
      </c>
      <c r="E44" s="29" t="s">
        <v>113</v>
      </c>
      <c r="F44" s="48" t="s">
        <v>114</v>
      </c>
      <c r="G44" s="48" t="s">
        <v>130</v>
      </c>
      <c r="H44" s="48" t="s">
        <v>116</v>
      </c>
      <c r="I44" s="48" t="s">
        <v>116</v>
      </c>
      <c r="J44" s="170" t="s">
        <v>116</v>
      </c>
      <c r="K44" s="170" t="b">
        <v>0</v>
      </c>
      <c r="L44" s="170" t="s">
        <v>116</v>
      </c>
      <c r="M44" s="170" t="s">
        <v>116</v>
      </c>
      <c r="N44" s="170" t="s">
        <v>118</v>
      </c>
      <c r="O44" s="170" t="s">
        <v>256</v>
      </c>
      <c r="P44" s="48" t="s">
        <v>257</v>
      </c>
      <c r="Q44" s="48" t="s">
        <v>258</v>
      </c>
      <c r="R44" s="170" t="s">
        <v>116</v>
      </c>
      <c r="S44" s="170" t="s">
        <v>116</v>
      </c>
      <c r="T44" s="170" t="s">
        <v>116</v>
      </c>
      <c r="U44" s="170" t="s">
        <v>116</v>
      </c>
      <c r="V44" s="170" t="s">
        <v>116</v>
      </c>
      <c r="W44" s="170" t="s">
        <v>116</v>
      </c>
      <c r="X44" s="173" t="s">
        <v>302</v>
      </c>
      <c r="Y44" s="167">
        <v>146.76</v>
      </c>
      <c r="Z44" s="48" t="s">
        <v>123</v>
      </c>
      <c r="AA44" s="48">
        <v>1</v>
      </c>
      <c r="AB44" s="174">
        <v>0</v>
      </c>
      <c r="AC44" s="174"/>
      <c r="AD44" s="174">
        <v>0</v>
      </c>
      <c r="AE44" s="174">
        <v>0</v>
      </c>
      <c r="AF44" s="174">
        <v>0</v>
      </c>
      <c r="AG44" s="174">
        <v>0</v>
      </c>
      <c r="AH44" s="174">
        <v>0</v>
      </c>
      <c r="AI44" s="174">
        <v>0.73</v>
      </c>
      <c r="AJ44" s="174">
        <v>0</v>
      </c>
      <c r="AK44" s="174">
        <v>0</v>
      </c>
      <c r="AL44" s="174">
        <v>0</v>
      </c>
      <c r="AM44" s="174">
        <v>0</v>
      </c>
      <c r="AN44" s="174">
        <v>0</v>
      </c>
      <c r="AO44" s="174">
        <v>0</v>
      </c>
      <c r="AP44" s="174">
        <v>0</v>
      </c>
      <c r="AQ44" s="174">
        <v>0</v>
      </c>
      <c r="AR44" s="174">
        <v>0</v>
      </c>
      <c r="AS44" s="174">
        <v>0</v>
      </c>
      <c r="AT44" s="174">
        <v>0</v>
      </c>
      <c r="AU44" s="174">
        <v>0</v>
      </c>
      <c r="AV44" s="174">
        <v>0</v>
      </c>
      <c r="AW44" s="174">
        <v>0</v>
      </c>
      <c r="AX44" s="174">
        <v>0</v>
      </c>
      <c r="AY44" s="174">
        <v>0</v>
      </c>
      <c r="AZ44" s="174">
        <v>0</v>
      </c>
      <c r="BA44" s="174">
        <v>0</v>
      </c>
      <c r="BB44" s="174">
        <v>0</v>
      </c>
      <c r="BC44" s="174">
        <v>0</v>
      </c>
      <c r="BD44" s="174">
        <v>0</v>
      </c>
      <c r="BE44" s="174">
        <v>0</v>
      </c>
      <c r="BF44" s="174">
        <v>0</v>
      </c>
      <c r="BG44" s="174">
        <f t="shared" si="0"/>
        <v>0.73</v>
      </c>
      <c r="BH44" s="175" t="s">
        <v>300</v>
      </c>
      <c r="BI44" s="166">
        <v>46011</v>
      </c>
      <c r="BJ44" s="167">
        <v>504.9</v>
      </c>
      <c r="BK44" s="168"/>
      <c r="BL44" s="56"/>
      <c r="BM44" s="168" t="s">
        <v>256</v>
      </c>
      <c r="BN44" s="169" t="s">
        <v>386</v>
      </c>
      <c r="BO44" s="168"/>
      <c r="BP44" s="168"/>
      <c r="BQ44" s="168"/>
      <c r="BR44" s="207"/>
      <c r="BS44" s="168"/>
      <c r="BT44" s="168"/>
      <c r="BU44" s="167"/>
      <c r="BV44" s="170"/>
      <c r="BW44" s="48"/>
      <c r="BX44" s="168"/>
      <c r="BY44" s="168"/>
      <c r="BZ44" s="48"/>
      <c r="CA44" s="48"/>
      <c r="CB44" s="48"/>
      <c r="CC44" s="167"/>
      <c r="CD44" s="137"/>
      <c r="CE44" s="171"/>
      <c r="CF44" s="172" t="s">
        <v>166</v>
      </c>
      <c r="CG44" s="165"/>
    </row>
    <row r="45" spans="1:86" s="138" customFormat="1" ht="15" customHeight="1">
      <c r="A45" s="48" t="s">
        <v>303</v>
      </c>
      <c r="B45" s="29" t="s">
        <v>111</v>
      </c>
      <c r="C45" s="168">
        <v>45717</v>
      </c>
      <c r="D45" s="48" t="s">
        <v>304</v>
      </c>
      <c r="E45" s="29" t="s">
        <v>113</v>
      </c>
      <c r="F45" s="48" t="s">
        <v>114</v>
      </c>
      <c r="G45" s="48" t="s">
        <v>153</v>
      </c>
      <c r="H45" s="48" t="s">
        <v>116</v>
      </c>
      <c r="I45" s="48" t="s">
        <v>116</v>
      </c>
      <c r="J45" s="170" t="s">
        <v>116</v>
      </c>
      <c r="K45" s="170" t="b">
        <v>0</v>
      </c>
      <c r="L45" s="170" t="s">
        <v>116</v>
      </c>
      <c r="M45" s="170" t="s">
        <v>116</v>
      </c>
      <c r="N45" s="170" t="s">
        <v>118</v>
      </c>
      <c r="O45" s="170" t="s">
        <v>256</v>
      </c>
      <c r="P45" s="48" t="s">
        <v>257</v>
      </c>
      <c r="Q45" s="48" t="s">
        <v>258</v>
      </c>
      <c r="R45" s="170" t="s">
        <v>116</v>
      </c>
      <c r="S45" s="170" t="s">
        <v>116</v>
      </c>
      <c r="T45" s="170" t="s">
        <v>116</v>
      </c>
      <c r="U45" s="170" t="s">
        <v>116</v>
      </c>
      <c r="V45" s="170" t="s">
        <v>116</v>
      </c>
      <c r="W45" s="170" t="s">
        <v>116</v>
      </c>
      <c r="X45" s="173" t="s">
        <v>305</v>
      </c>
      <c r="Y45" s="167">
        <v>171.18</v>
      </c>
      <c r="Z45" s="48" t="s">
        <v>123</v>
      </c>
      <c r="AA45" s="48">
        <v>1</v>
      </c>
      <c r="AB45" s="174">
        <v>0</v>
      </c>
      <c r="AC45" s="174"/>
      <c r="AD45" s="174">
        <v>0</v>
      </c>
      <c r="AE45" s="174">
        <v>0</v>
      </c>
      <c r="AF45" s="174">
        <v>0</v>
      </c>
      <c r="AG45" s="174">
        <v>0</v>
      </c>
      <c r="AH45" s="174">
        <v>0</v>
      </c>
      <c r="AI45" s="174">
        <v>0.28999999999999998</v>
      </c>
      <c r="AJ45" s="174">
        <v>0</v>
      </c>
      <c r="AK45" s="174">
        <v>0</v>
      </c>
      <c r="AL45" s="174">
        <v>0</v>
      </c>
      <c r="AM45" s="174">
        <v>0</v>
      </c>
      <c r="AN45" s="174">
        <v>0</v>
      </c>
      <c r="AO45" s="174">
        <v>0</v>
      </c>
      <c r="AP45" s="174">
        <v>0</v>
      </c>
      <c r="AQ45" s="174">
        <v>0</v>
      </c>
      <c r="AR45" s="174">
        <v>0</v>
      </c>
      <c r="AS45" s="174">
        <v>0</v>
      </c>
      <c r="AT45" s="174">
        <v>0</v>
      </c>
      <c r="AU45" s="174">
        <v>0</v>
      </c>
      <c r="AV45" s="174">
        <v>0</v>
      </c>
      <c r="AW45" s="174">
        <v>0</v>
      </c>
      <c r="AX45" s="174">
        <v>0</v>
      </c>
      <c r="AY45" s="174">
        <v>0</v>
      </c>
      <c r="AZ45" s="174">
        <v>0</v>
      </c>
      <c r="BA45" s="174">
        <v>0</v>
      </c>
      <c r="BB45" s="174">
        <v>0</v>
      </c>
      <c r="BC45" s="174">
        <v>0</v>
      </c>
      <c r="BD45" s="174">
        <v>0</v>
      </c>
      <c r="BE45" s="174">
        <v>0</v>
      </c>
      <c r="BF45" s="174">
        <v>0</v>
      </c>
      <c r="BG45" s="174">
        <f t="shared" si="0"/>
        <v>0.28999999999999998</v>
      </c>
      <c r="BH45" s="175" t="s">
        <v>283</v>
      </c>
      <c r="BI45" s="166">
        <v>45998</v>
      </c>
      <c r="BJ45" s="167">
        <v>233.1</v>
      </c>
      <c r="BK45" s="168"/>
      <c r="BL45" s="56"/>
      <c r="BM45" s="168" t="s">
        <v>256</v>
      </c>
      <c r="BN45" s="169" t="s">
        <v>386</v>
      </c>
      <c r="BO45" s="168"/>
      <c r="BP45" s="168"/>
      <c r="BQ45" s="168"/>
      <c r="BR45" s="207"/>
      <c r="BS45" s="168"/>
      <c r="BT45" s="168"/>
      <c r="BU45" s="167"/>
      <c r="BV45" s="170"/>
      <c r="BW45" s="48"/>
      <c r="BX45" s="168"/>
      <c r="BY45" s="168"/>
      <c r="BZ45" s="48"/>
      <c r="CA45" s="48"/>
      <c r="CB45" s="48"/>
      <c r="CC45" s="167"/>
      <c r="CD45" s="137"/>
      <c r="CE45" s="171"/>
      <c r="CF45" s="172" t="s">
        <v>166</v>
      </c>
      <c r="CG45" s="165"/>
    </row>
    <row r="46" spans="1:86" s="138" customFormat="1" ht="15" customHeight="1">
      <c r="A46" s="48" t="s">
        <v>358</v>
      </c>
      <c r="B46" s="29" t="s">
        <v>111</v>
      </c>
      <c r="C46" s="168">
        <v>45839</v>
      </c>
      <c r="D46" s="48" t="s">
        <v>179</v>
      </c>
      <c r="E46" s="29" t="s">
        <v>113</v>
      </c>
      <c r="F46" s="48" t="s">
        <v>114</v>
      </c>
      <c r="G46" s="48" t="s">
        <v>153</v>
      </c>
      <c r="H46" s="48" t="s">
        <v>116</v>
      </c>
      <c r="I46" s="48" t="s">
        <v>116</v>
      </c>
      <c r="J46" s="170" t="s">
        <v>116</v>
      </c>
      <c r="K46" s="170" t="b">
        <v>0</v>
      </c>
      <c r="L46" s="170" t="s">
        <v>116</v>
      </c>
      <c r="M46" s="170" t="s">
        <v>116</v>
      </c>
      <c r="N46" s="170" t="s">
        <v>116</v>
      </c>
      <c r="O46" s="170" t="s">
        <v>118</v>
      </c>
      <c r="P46" s="48" t="s">
        <v>256</v>
      </c>
      <c r="Q46" s="48" t="s">
        <v>359</v>
      </c>
      <c r="R46" s="170" t="s">
        <v>116</v>
      </c>
      <c r="S46" s="170" t="s">
        <v>116</v>
      </c>
      <c r="T46" s="170" t="s">
        <v>116</v>
      </c>
      <c r="U46" s="170" t="s">
        <v>116</v>
      </c>
      <c r="V46" s="170" t="s">
        <v>116</v>
      </c>
      <c r="W46" s="170" t="s">
        <v>116</v>
      </c>
      <c r="X46" s="173" t="s">
        <v>360</v>
      </c>
      <c r="Y46" s="167">
        <v>114.65</v>
      </c>
      <c r="Z46" s="48" t="s">
        <v>116</v>
      </c>
      <c r="AA46" s="48">
        <v>1</v>
      </c>
      <c r="AB46" s="174">
        <v>0</v>
      </c>
      <c r="AC46" s="174"/>
      <c r="AD46" s="174">
        <v>0</v>
      </c>
      <c r="AE46" s="174">
        <v>0</v>
      </c>
      <c r="AF46" s="174">
        <v>0</v>
      </c>
      <c r="AG46" s="174">
        <v>0</v>
      </c>
      <c r="AH46" s="174">
        <v>0</v>
      </c>
      <c r="AI46" s="174">
        <v>0</v>
      </c>
      <c r="AJ46" s="174">
        <v>1.1499999999999999</v>
      </c>
      <c r="AK46" s="174">
        <v>0</v>
      </c>
      <c r="AL46" s="174">
        <v>0</v>
      </c>
      <c r="AM46" s="174">
        <v>0</v>
      </c>
      <c r="AN46" s="174">
        <v>0</v>
      </c>
      <c r="AO46" s="174">
        <v>0</v>
      </c>
      <c r="AP46" s="174">
        <v>0</v>
      </c>
      <c r="AQ46" s="174">
        <v>0</v>
      </c>
      <c r="AR46" s="174">
        <v>0</v>
      </c>
      <c r="AS46" s="174">
        <v>0</v>
      </c>
      <c r="AT46" s="174">
        <v>0</v>
      </c>
      <c r="AU46" s="174">
        <v>0</v>
      </c>
      <c r="AV46" s="174">
        <v>0</v>
      </c>
      <c r="AW46" s="174">
        <v>0</v>
      </c>
      <c r="AX46" s="174">
        <v>0</v>
      </c>
      <c r="AY46" s="174">
        <v>0</v>
      </c>
      <c r="AZ46" s="174">
        <v>0</v>
      </c>
      <c r="BA46" s="174">
        <v>0</v>
      </c>
      <c r="BB46" s="174">
        <v>0</v>
      </c>
      <c r="BC46" s="174">
        <v>0</v>
      </c>
      <c r="BD46" s="174">
        <v>0</v>
      </c>
      <c r="BE46" s="174">
        <v>0</v>
      </c>
      <c r="BF46" s="174">
        <v>0</v>
      </c>
      <c r="BG46" s="174">
        <f t="shared" si="0"/>
        <v>1.1499999999999999</v>
      </c>
      <c r="BH46" s="175" t="s">
        <v>174</v>
      </c>
      <c r="BI46" s="166">
        <v>46011</v>
      </c>
      <c r="BJ46" s="167">
        <v>504.9</v>
      </c>
      <c r="BK46" s="168"/>
      <c r="BL46" s="56"/>
      <c r="BM46" s="168" t="s">
        <v>256</v>
      </c>
      <c r="BN46" s="169" t="s">
        <v>386</v>
      </c>
      <c r="BO46" s="168"/>
      <c r="BP46" s="168"/>
      <c r="BQ46" s="168"/>
      <c r="BR46" s="207"/>
      <c r="BS46" s="168"/>
      <c r="BT46" s="168"/>
      <c r="BU46" s="167"/>
      <c r="BV46" s="170"/>
      <c r="BW46" s="48"/>
      <c r="BX46" s="168"/>
      <c r="BY46" s="168"/>
      <c r="BZ46" s="48"/>
      <c r="CA46" s="48"/>
      <c r="CB46" s="48"/>
      <c r="CC46" s="167"/>
      <c r="CD46" s="137"/>
      <c r="CE46" s="171"/>
      <c r="CF46" s="172" t="s">
        <v>166</v>
      </c>
      <c r="CG46" s="165"/>
    </row>
    <row r="47" spans="1:86" s="138" customFormat="1" ht="15" customHeight="1">
      <c r="A47" s="48"/>
      <c r="B47" s="29"/>
      <c r="C47" s="168"/>
      <c r="D47" s="48"/>
      <c r="E47" s="29"/>
      <c r="F47" s="48"/>
      <c r="G47" s="48"/>
      <c r="H47" s="48"/>
      <c r="I47" s="48"/>
      <c r="J47" s="170"/>
      <c r="K47" s="170"/>
      <c r="L47" s="170"/>
      <c r="M47" s="170"/>
      <c r="N47" s="170"/>
      <c r="O47" s="170"/>
      <c r="P47" s="48"/>
      <c r="Q47" s="48"/>
      <c r="R47" s="170"/>
      <c r="S47" s="170"/>
      <c r="T47" s="170"/>
      <c r="U47" s="170"/>
      <c r="V47" s="170"/>
      <c r="W47" s="170"/>
      <c r="X47" s="173"/>
      <c r="Y47" s="167"/>
      <c r="Z47" s="48"/>
      <c r="AA47" s="48"/>
      <c r="AB47" s="174"/>
      <c r="AC47" s="174"/>
      <c r="AD47" s="174"/>
      <c r="AE47" s="174"/>
      <c r="AF47" s="174"/>
      <c r="AG47" s="174"/>
      <c r="AH47" s="174"/>
      <c r="AI47" s="174"/>
      <c r="AJ47" s="174"/>
      <c r="AK47" s="174"/>
      <c r="AL47" s="174"/>
      <c r="AM47" s="174"/>
      <c r="AN47" s="174"/>
      <c r="AO47" s="174"/>
      <c r="AP47" s="174"/>
      <c r="AQ47" s="174"/>
      <c r="AR47" s="174"/>
      <c r="AS47" s="174"/>
      <c r="AT47" s="174"/>
      <c r="AU47" s="174"/>
      <c r="AV47" s="174"/>
      <c r="AW47" s="174"/>
      <c r="AX47" s="174"/>
      <c r="AY47" s="174"/>
      <c r="AZ47" s="174"/>
      <c r="BA47" s="174"/>
      <c r="BB47" s="174"/>
      <c r="BC47" s="174"/>
      <c r="BD47" s="174"/>
      <c r="BE47" s="174"/>
      <c r="BF47" s="174"/>
      <c r="BG47" s="174"/>
      <c r="BH47" s="175"/>
      <c r="BI47" s="166"/>
      <c r="BJ47" s="167"/>
      <c r="BK47" s="168"/>
      <c r="BL47" s="56"/>
      <c r="BM47" s="168"/>
      <c r="BN47" s="169"/>
      <c r="BO47" s="168"/>
      <c r="BP47" s="168"/>
      <c r="BQ47" s="168"/>
      <c r="BR47" s="207"/>
      <c r="BS47" s="168"/>
      <c r="BT47" s="168"/>
      <c r="BU47" s="167"/>
      <c r="BV47" s="170"/>
      <c r="BW47" s="48"/>
      <c r="BX47" s="168"/>
      <c r="BY47" s="168"/>
      <c r="BZ47" s="48"/>
      <c r="CA47" s="48"/>
      <c r="CB47" s="48"/>
      <c r="CC47" s="167"/>
      <c r="CD47" s="137"/>
      <c r="CE47" s="171"/>
      <c r="CF47" s="172"/>
      <c r="CG47" s="165"/>
    </row>
    <row r="48" spans="1:86" s="138" customFormat="1" ht="15" customHeight="1">
      <c r="A48" s="29"/>
      <c r="B48" s="29"/>
      <c r="C48" s="31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176"/>
      <c r="R48" s="176"/>
      <c r="S48" s="176"/>
      <c r="T48" s="176"/>
      <c r="U48" s="176"/>
      <c r="V48" s="176"/>
      <c r="W48" s="176"/>
      <c r="X48" s="177" t="s">
        <v>140</v>
      </c>
      <c r="Y48" s="178"/>
      <c r="Z48" s="179"/>
      <c r="AA48" s="179">
        <f t="shared" ref="AA48:AH48" si="1">SUM(AA27:AA46)</f>
        <v>20</v>
      </c>
      <c r="AB48" s="180">
        <f t="shared" si="1"/>
        <v>0</v>
      </c>
      <c r="AC48" s="180">
        <f t="shared" si="1"/>
        <v>0</v>
      </c>
      <c r="AD48" s="180">
        <f t="shared" si="1"/>
        <v>0</v>
      </c>
      <c r="AE48" s="180">
        <f t="shared" si="1"/>
        <v>0</v>
      </c>
      <c r="AF48" s="180">
        <f t="shared" si="1"/>
        <v>0</v>
      </c>
      <c r="AG48" s="180">
        <f t="shared" si="1"/>
        <v>0</v>
      </c>
      <c r="AH48" s="180">
        <f t="shared" si="1"/>
        <v>0</v>
      </c>
      <c r="AI48" s="180">
        <f t="shared" ref="AI48:BG48" si="2">SUM(AI27:AI47)</f>
        <v>24.750000000000004</v>
      </c>
      <c r="AJ48" s="180">
        <f t="shared" si="2"/>
        <v>1.1499999999999999</v>
      </c>
      <c r="AK48" s="180">
        <f t="shared" si="2"/>
        <v>0</v>
      </c>
      <c r="AL48" s="180">
        <f t="shared" si="2"/>
        <v>0</v>
      </c>
      <c r="AM48" s="180">
        <f t="shared" si="2"/>
        <v>0</v>
      </c>
      <c r="AN48" s="180">
        <f t="shared" si="2"/>
        <v>0</v>
      </c>
      <c r="AO48" s="180">
        <f t="shared" si="2"/>
        <v>0</v>
      </c>
      <c r="AP48" s="180">
        <f t="shared" si="2"/>
        <v>0</v>
      </c>
      <c r="AQ48" s="180">
        <f t="shared" si="2"/>
        <v>0</v>
      </c>
      <c r="AR48" s="180">
        <f t="shared" si="2"/>
        <v>0</v>
      </c>
      <c r="AS48" s="180">
        <f t="shared" si="2"/>
        <v>0</v>
      </c>
      <c r="AT48" s="180">
        <f t="shared" si="2"/>
        <v>0</v>
      </c>
      <c r="AU48" s="180">
        <f t="shared" si="2"/>
        <v>0</v>
      </c>
      <c r="AV48" s="180">
        <f t="shared" si="2"/>
        <v>0</v>
      </c>
      <c r="AW48" s="180">
        <f t="shared" si="2"/>
        <v>0</v>
      </c>
      <c r="AX48" s="180">
        <f t="shared" si="2"/>
        <v>0</v>
      </c>
      <c r="AY48" s="180">
        <f t="shared" si="2"/>
        <v>0</v>
      </c>
      <c r="AZ48" s="180">
        <f t="shared" si="2"/>
        <v>0</v>
      </c>
      <c r="BA48" s="180">
        <f t="shared" si="2"/>
        <v>0</v>
      </c>
      <c r="BB48" s="180">
        <f t="shared" si="2"/>
        <v>0</v>
      </c>
      <c r="BC48" s="180">
        <f t="shared" si="2"/>
        <v>0</v>
      </c>
      <c r="BD48" s="180">
        <f t="shared" si="2"/>
        <v>0</v>
      </c>
      <c r="BE48" s="180">
        <f t="shared" si="2"/>
        <v>0</v>
      </c>
      <c r="BF48" s="180">
        <f t="shared" si="2"/>
        <v>0</v>
      </c>
      <c r="BG48" s="180">
        <f t="shared" si="2"/>
        <v>25.900000000000002</v>
      </c>
      <c r="BH48" s="181"/>
      <c r="BI48" s="31"/>
      <c r="BJ48" s="182"/>
      <c r="BK48" s="31"/>
      <c r="BL48" s="56"/>
      <c r="BM48" s="29"/>
      <c r="BN48" s="183"/>
      <c r="BO48" s="31"/>
      <c r="BP48" s="31"/>
      <c r="BQ48" s="31"/>
      <c r="BR48" s="208"/>
      <c r="BS48" s="31"/>
      <c r="BT48" s="183"/>
      <c r="BU48" s="182"/>
      <c r="BV48" s="183"/>
      <c r="BW48" s="183"/>
      <c r="BX48" s="31"/>
      <c r="BY48" s="183"/>
      <c r="BZ48" s="183"/>
      <c r="CA48" s="183"/>
      <c r="CB48" s="183"/>
      <c r="CC48" s="184"/>
      <c r="CD48" s="137"/>
      <c r="CE48" s="183"/>
      <c r="CF48" s="183"/>
      <c r="CG48" s="183"/>
      <c r="CH48" s="183"/>
    </row>
    <row r="49" spans="1:85" s="138" customFormat="1" ht="15" customHeight="1">
      <c r="A49" s="48"/>
      <c r="B49" s="29"/>
      <c r="C49" s="168"/>
      <c r="D49" s="48"/>
      <c r="E49" s="29"/>
      <c r="F49" s="48"/>
      <c r="G49" s="48"/>
      <c r="H49" s="48"/>
      <c r="I49" s="48"/>
      <c r="J49" s="170"/>
      <c r="K49" s="170"/>
      <c r="L49" s="170"/>
      <c r="M49" s="170"/>
      <c r="N49" s="170"/>
      <c r="O49" s="170"/>
      <c r="P49" s="48"/>
      <c r="Q49" s="48"/>
      <c r="R49" s="170"/>
      <c r="S49" s="170"/>
      <c r="T49" s="170"/>
      <c r="U49" s="170"/>
      <c r="V49" s="170"/>
      <c r="W49" s="170"/>
      <c r="X49" s="173"/>
      <c r="Y49" s="167"/>
      <c r="Z49" s="48"/>
      <c r="AA49" s="48"/>
      <c r="AB49" s="174"/>
      <c r="AC49" s="174"/>
      <c r="AD49" s="174"/>
      <c r="AE49" s="174"/>
      <c r="AF49" s="174"/>
      <c r="AG49" s="174"/>
      <c r="AH49" s="174"/>
      <c r="AI49" s="174"/>
      <c r="AJ49" s="174"/>
      <c r="AK49" s="174"/>
      <c r="AL49" s="174"/>
      <c r="AM49" s="174"/>
      <c r="AN49" s="174"/>
      <c r="AO49" s="174"/>
      <c r="AP49" s="174"/>
      <c r="AQ49" s="174"/>
      <c r="AR49" s="174"/>
      <c r="AS49" s="174"/>
      <c r="AT49" s="174"/>
      <c r="AU49" s="174"/>
      <c r="AV49" s="174"/>
      <c r="AW49" s="174"/>
      <c r="AX49" s="174"/>
      <c r="AY49" s="174"/>
      <c r="AZ49" s="174"/>
      <c r="BA49" s="174"/>
      <c r="BB49" s="174"/>
      <c r="BC49" s="174"/>
      <c r="BD49" s="174"/>
      <c r="BE49" s="174"/>
      <c r="BF49" s="174"/>
      <c r="BG49" s="174"/>
      <c r="BH49" s="175"/>
      <c r="BI49" s="166"/>
      <c r="BJ49" s="167"/>
      <c r="BK49" s="168"/>
      <c r="BL49" s="56"/>
      <c r="BM49" s="168"/>
      <c r="BN49" s="169"/>
      <c r="BO49" s="168"/>
      <c r="BP49" s="168"/>
      <c r="BQ49" s="168"/>
      <c r="BR49" s="207"/>
      <c r="BS49" s="168"/>
      <c r="BT49" s="168"/>
      <c r="BU49" s="167"/>
      <c r="BV49" s="170"/>
      <c r="BW49" s="48"/>
      <c r="BX49" s="168"/>
      <c r="BY49" s="168"/>
      <c r="BZ49" s="48"/>
      <c r="CA49" s="48"/>
      <c r="CB49" s="48"/>
      <c r="CC49" s="167"/>
      <c r="CD49" s="137"/>
      <c r="CE49" s="171"/>
      <c r="CF49" s="172"/>
      <c r="CG49" s="165"/>
    </row>
    <row r="50" spans="1:85" s="138" customFormat="1" ht="15" customHeight="1">
      <c r="A50" s="48"/>
      <c r="B50" s="29"/>
      <c r="C50" s="168"/>
      <c r="D50" s="48"/>
      <c r="E50" s="29"/>
      <c r="F50" s="48"/>
      <c r="G50" s="48"/>
      <c r="H50" s="48"/>
      <c r="I50" s="48"/>
      <c r="J50" s="170"/>
      <c r="K50" s="170"/>
      <c r="L50" s="170"/>
      <c r="M50" s="170"/>
      <c r="N50" s="170"/>
      <c r="O50" s="170"/>
      <c r="P50" s="48"/>
      <c r="Q50" s="48"/>
      <c r="R50" s="170"/>
      <c r="S50" s="170"/>
      <c r="T50" s="170"/>
      <c r="U50" s="170"/>
      <c r="V50" s="170"/>
      <c r="W50" s="170"/>
      <c r="X50" s="173"/>
      <c r="Y50" s="167"/>
      <c r="Z50" s="48"/>
      <c r="AA50" s="48"/>
      <c r="AB50" s="174"/>
      <c r="AC50" s="174"/>
      <c r="AD50" s="174"/>
      <c r="AE50" s="174"/>
      <c r="AF50" s="174"/>
      <c r="AG50" s="174"/>
      <c r="AH50" s="174"/>
      <c r="AI50" s="174"/>
      <c r="AJ50" s="174"/>
      <c r="AK50" s="174"/>
      <c r="AL50" s="174"/>
      <c r="AM50" s="174"/>
      <c r="AN50" s="174"/>
      <c r="AO50" s="174"/>
      <c r="AP50" s="174"/>
      <c r="AQ50" s="174"/>
      <c r="AR50" s="174"/>
      <c r="AS50" s="174"/>
      <c r="AT50" s="174"/>
      <c r="AU50" s="174"/>
      <c r="AV50" s="174"/>
      <c r="AW50" s="174"/>
      <c r="AX50" s="174"/>
      <c r="AY50" s="174"/>
      <c r="AZ50" s="174"/>
      <c r="BA50" s="174"/>
      <c r="BB50" s="174"/>
      <c r="BC50" s="174"/>
      <c r="BD50" s="174"/>
      <c r="BE50" s="174"/>
      <c r="BF50" s="174"/>
      <c r="BG50" s="174"/>
      <c r="BH50" s="175"/>
      <c r="BI50" s="166"/>
      <c r="BJ50" s="167"/>
      <c r="BK50" s="168"/>
      <c r="BL50" s="56"/>
      <c r="BM50" s="168"/>
      <c r="BN50" s="169"/>
      <c r="BO50" s="168"/>
      <c r="BP50" s="168"/>
      <c r="BQ50" s="168"/>
      <c r="BR50" s="207"/>
      <c r="BS50" s="168"/>
      <c r="BT50" s="168"/>
      <c r="BU50" s="167"/>
      <c r="BV50" s="170"/>
      <c r="BW50" s="48"/>
      <c r="BX50" s="168"/>
      <c r="BY50" s="168"/>
      <c r="BZ50" s="48"/>
      <c r="CA50" s="48"/>
      <c r="CB50" s="48"/>
      <c r="CC50" s="167"/>
      <c r="CD50" s="137"/>
      <c r="CE50" s="171"/>
      <c r="CF50" s="172"/>
      <c r="CG50" s="165"/>
    </row>
    <row r="51" spans="1:85" s="138" customFormat="1" ht="15" customHeight="1">
      <c r="A51" s="48"/>
      <c r="B51" s="29"/>
      <c r="C51" s="168"/>
      <c r="D51" s="48"/>
      <c r="E51" s="29"/>
      <c r="F51" s="48"/>
      <c r="G51" s="48"/>
      <c r="H51" s="48"/>
      <c r="I51" s="48"/>
      <c r="J51" s="170"/>
      <c r="K51" s="170"/>
      <c r="L51" s="170"/>
      <c r="M51" s="170"/>
      <c r="N51" s="170"/>
      <c r="O51" s="170"/>
      <c r="P51" s="48"/>
      <c r="Q51" s="48"/>
      <c r="R51" s="170"/>
      <c r="S51" s="170"/>
      <c r="T51" s="170"/>
      <c r="U51" s="170"/>
      <c r="V51" s="170"/>
      <c r="W51" s="170"/>
      <c r="X51" s="173"/>
      <c r="Y51" s="167"/>
      <c r="Z51" s="48"/>
      <c r="AA51" s="48"/>
      <c r="AB51" s="174"/>
      <c r="AC51" s="174"/>
      <c r="AD51" s="174"/>
      <c r="AE51" s="174"/>
      <c r="AF51" s="174"/>
      <c r="AG51" s="174"/>
      <c r="AH51" s="174"/>
      <c r="AI51" s="174"/>
      <c r="AJ51" s="174"/>
      <c r="AK51" s="174"/>
      <c r="AL51" s="174"/>
      <c r="AM51" s="174"/>
      <c r="AN51" s="174"/>
      <c r="AO51" s="174"/>
      <c r="AP51" s="174"/>
      <c r="AQ51" s="174"/>
      <c r="AR51" s="174"/>
      <c r="AS51" s="174"/>
      <c r="AT51" s="174"/>
      <c r="AU51" s="174"/>
      <c r="AV51" s="174"/>
      <c r="AW51" s="174"/>
      <c r="AX51" s="174"/>
      <c r="AY51" s="174"/>
      <c r="AZ51" s="174"/>
      <c r="BA51" s="174"/>
      <c r="BB51" s="174"/>
      <c r="BC51" s="174"/>
      <c r="BD51" s="174"/>
      <c r="BE51" s="174"/>
      <c r="BF51" s="174"/>
      <c r="BG51" s="174"/>
      <c r="BH51" s="175"/>
      <c r="BI51" s="166"/>
      <c r="BJ51" s="167"/>
      <c r="BK51" s="168"/>
      <c r="BL51" s="56"/>
      <c r="BM51" s="168"/>
      <c r="BN51" s="169"/>
      <c r="BO51" s="168"/>
      <c r="BP51" s="168"/>
      <c r="BQ51" s="168"/>
      <c r="BR51" s="207"/>
      <c r="BS51" s="168"/>
      <c r="BT51" s="168"/>
      <c r="BU51" s="167"/>
      <c r="BV51" s="170"/>
      <c r="BW51" s="48"/>
      <c r="BX51" s="168"/>
      <c r="BY51" s="168"/>
      <c r="BZ51" s="48"/>
      <c r="CA51" s="48"/>
      <c r="CB51" s="48"/>
      <c r="CC51" s="167"/>
      <c r="CD51" s="137"/>
      <c r="CE51" s="171"/>
      <c r="CF51" s="172"/>
      <c r="CG51" s="165"/>
    </row>
    <row r="52" spans="1:85" s="138" customFormat="1" ht="15" customHeight="1">
      <c r="A52" s="48"/>
      <c r="B52" s="29"/>
      <c r="C52" s="168"/>
      <c r="D52" s="48"/>
      <c r="E52" s="29"/>
      <c r="F52" s="48"/>
      <c r="G52" s="48"/>
      <c r="H52" s="48"/>
      <c r="I52" s="48"/>
      <c r="J52" s="170"/>
      <c r="K52" s="170"/>
      <c r="L52" s="170"/>
      <c r="M52" s="170"/>
      <c r="N52" s="170"/>
      <c r="O52" s="170"/>
      <c r="P52" s="48"/>
      <c r="Q52" s="48"/>
      <c r="R52" s="170"/>
      <c r="S52" s="170"/>
      <c r="T52" s="170"/>
      <c r="U52" s="170"/>
      <c r="V52" s="170"/>
      <c r="W52" s="170"/>
      <c r="X52" s="173"/>
      <c r="Y52" s="167"/>
      <c r="Z52" s="48"/>
      <c r="AA52" s="48"/>
      <c r="AB52" s="174"/>
      <c r="AC52" s="174"/>
      <c r="AD52" s="174"/>
      <c r="AE52" s="174"/>
      <c r="AF52" s="174"/>
      <c r="AG52" s="174"/>
      <c r="AH52" s="174"/>
      <c r="AI52" s="174"/>
      <c r="AJ52" s="174"/>
      <c r="AK52" s="174"/>
      <c r="AL52" s="174"/>
      <c r="AM52" s="174"/>
      <c r="AN52" s="174"/>
      <c r="AO52" s="174"/>
      <c r="AP52" s="174"/>
      <c r="AQ52" s="174"/>
      <c r="AR52" s="174"/>
      <c r="AS52" s="174"/>
      <c r="AT52" s="174"/>
      <c r="AU52" s="174"/>
      <c r="AV52" s="174"/>
      <c r="AW52" s="174"/>
      <c r="AX52" s="174"/>
      <c r="AY52" s="174"/>
      <c r="AZ52" s="174"/>
      <c r="BA52" s="174"/>
      <c r="BB52" s="174"/>
      <c r="BC52" s="174"/>
      <c r="BD52" s="174"/>
      <c r="BE52" s="174"/>
      <c r="BF52" s="174"/>
      <c r="BG52" s="174"/>
      <c r="BH52" s="175"/>
      <c r="BI52" s="166"/>
      <c r="BJ52" s="167"/>
      <c r="BK52" s="168"/>
      <c r="BL52" s="56"/>
      <c r="BM52" s="168"/>
      <c r="BN52" s="169"/>
      <c r="BO52" s="168"/>
      <c r="BP52" s="168"/>
      <c r="BQ52" s="168"/>
      <c r="BR52" s="207"/>
      <c r="BS52" s="168"/>
      <c r="BT52" s="168"/>
      <c r="BU52" s="167"/>
      <c r="BV52" s="170"/>
      <c r="BW52" s="48"/>
      <c r="BX52" s="168"/>
      <c r="BY52" s="168"/>
      <c r="BZ52" s="48"/>
      <c r="CA52" s="48"/>
      <c r="CB52" s="48"/>
      <c r="CC52" s="167"/>
      <c r="CD52" s="137"/>
      <c r="CE52" s="171"/>
      <c r="CF52" s="172"/>
      <c r="CG52" s="165"/>
    </row>
    <row r="53" spans="1:85" s="138" customFormat="1" ht="15" customHeight="1">
      <c r="A53" s="48"/>
      <c r="B53" s="29"/>
      <c r="C53" s="168"/>
      <c r="D53" s="48"/>
      <c r="E53" s="29"/>
      <c r="F53" s="48"/>
      <c r="G53" s="48"/>
      <c r="H53" s="48"/>
      <c r="I53" s="48"/>
      <c r="J53" s="170"/>
      <c r="K53" s="170"/>
      <c r="L53" s="170"/>
      <c r="M53" s="170"/>
      <c r="N53" s="170"/>
      <c r="O53" s="170"/>
      <c r="P53" s="48"/>
      <c r="Q53" s="48"/>
      <c r="R53" s="170"/>
      <c r="S53" s="170"/>
      <c r="T53" s="170"/>
      <c r="U53" s="170"/>
      <c r="V53" s="170"/>
      <c r="W53" s="170"/>
      <c r="X53" s="173"/>
      <c r="Y53" s="167"/>
      <c r="Z53" s="48"/>
      <c r="AA53" s="48"/>
      <c r="AB53" s="174"/>
      <c r="AC53" s="174"/>
      <c r="AD53" s="174"/>
      <c r="AE53" s="174"/>
      <c r="AF53" s="174"/>
      <c r="AG53" s="174"/>
      <c r="AH53" s="174"/>
      <c r="AI53" s="174"/>
      <c r="AJ53" s="174"/>
      <c r="AK53" s="174"/>
      <c r="AL53" s="174"/>
      <c r="AM53" s="174"/>
      <c r="AN53" s="174"/>
      <c r="AO53" s="174"/>
      <c r="AP53" s="174"/>
      <c r="AQ53" s="174"/>
      <c r="AR53" s="174"/>
      <c r="AS53" s="174"/>
      <c r="AT53" s="174"/>
      <c r="AU53" s="174"/>
      <c r="AV53" s="174"/>
      <c r="AW53" s="174"/>
      <c r="AX53" s="174"/>
      <c r="AY53" s="174"/>
      <c r="AZ53" s="174"/>
      <c r="BA53" s="174"/>
      <c r="BB53" s="174"/>
      <c r="BC53" s="174"/>
      <c r="BD53" s="174"/>
      <c r="BE53" s="174"/>
      <c r="BF53" s="174"/>
      <c r="BG53" s="174"/>
      <c r="BH53" s="175"/>
      <c r="BI53" s="166"/>
      <c r="BJ53" s="167"/>
      <c r="BK53" s="168"/>
      <c r="BL53" s="56"/>
      <c r="BM53" s="168"/>
      <c r="BN53" s="169"/>
      <c r="BO53" s="168"/>
      <c r="BP53" s="168"/>
      <c r="BQ53" s="168"/>
      <c r="BR53" s="207"/>
      <c r="BS53" s="168"/>
      <c r="BT53" s="168"/>
      <c r="BU53" s="167"/>
      <c r="BV53" s="170"/>
      <c r="BW53" s="48"/>
      <c r="BX53" s="168"/>
      <c r="BY53" s="168"/>
      <c r="BZ53" s="48"/>
      <c r="CA53" s="48"/>
      <c r="CB53" s="48"/>
      <c r="CC53" s="167"/>
      <c r="CD53" s="137"/>
      <c r="CE53" s="171"/>
      <c r="CF53" s="172"/>
      <c r="CG53" s="165"/>
    </row>
    <row r="54" spans="1:85" s="138" customFormat="1" ht="15.6">
      <c r="C54" s="185"/>
      <c r="X54" s="186"/>
      <c r="BL54" s="187"/>
    </row>
    <row r="55" spans="1:85" s="138" customFormat="1" ht="15.6">
      <c r="C55" s="185"/>
      <c r="X55" s="186"/>
      <c r="BL55" s="187"/>
    </row>
    <row r="56" spans="1:85" s="138" customFormat="1" ht="15.6">
      <c r="C56" s="185"/>
      <c r="X56" s="186"/>
      <c r="BL56" s="187"/>
    </row>
    <row r="57" spans="1:85" s="138" customFormat="1" ht="15.6">
      <c r="C57" s="185"/>
      <c r="X57" s="186"/>
      <c r="BL57" s="187"/>
    </row>
  </sheetData>
  <autoFilter ref="A26:CH26" xr:uid="{0B3BE0A8-94D9-4943-B51D-CC52050FCF99}"/>
  <printOptions horizontalCentered="1"/>
  <pageMargins left="0.5" right="0.5" top="0.5" bottom="0.5" header="0.3" footer="0.3"/>
  <pageSetup scale="25" fitToHeight="0" orientation="landscape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46C5D-B318-42A4-AB51-0800095344A7}">
  <sheetPr>
    <tabColor theme="2" tint="-0.249977111117893"/>
    <pageSetUpPr fitToPage="1"/>
  </sheetPr>
  <dimension ref="A1:CH38"/>
  <sheetViews>
    <sheetView zoomScale="80" zoomScaleNormal="80" workbookViewId="0">
      <selection activeCell="A27" sqref="A27:XFD27"/>
    </sheetView>
  </sheetViews>
  <sheetFormatPr defaultColWidth="8.85546875" defaultRowHeight="14.45"/>
  <cols>
    <col min="1" max="1" width="29.140625" style="136" customWidth="1"/>
    <col min="2" max="2" width="7.28515625" style="136" hidden="1" customWidth="1"/>
    <col min="3" max="3" width="16.42578125" style="188" bestFit="1" customWidth="1"/>
    <col min="4" max="4" width="6.7109375" style="136" bestFit="1" customWidth="1"/>
    <col min="5" max="5" width="9.28515625" style="136" customWidth="1"/>
    <col min="6" max="6" width="11.28515625" style="136" bestFit="1" customWidth="1"/>
    <col min="7" max="7" width="12.7109375" style="136" bestFit="1" customWidth="1"/>
    <col min="8" max="15" width="0.85546875" style="136" hidden="1" customWidth="1"/>
    <col min="16" max="16" width="3.42578125" style="136" hidden="1" customWidth="1"/>
    <col min="17" max="17" width="22.140625" style="136" customWidth="1"/>
    <col min="18" max="21" width="2.85546875" style="136" hidden="1" customWidth="1"/>
    <col min="22" max="22" width="19.85546875" style="136" hidden="1" customWidth="1"/>
    <col min="23" max="23" width="1.42578125" style="136" hidden="1" customWidth="1"/>
    <col min="24" max="24" width="22.140625" style="189" customWidth="1"/>
    <col min="25" max="25" width="5.140625" style="136" hidden="1" customWidth="1"/>
    <col min="26" max="26" width="19" style="136" hidden="1" customWidth="1"/>
    <col min="27" max="27" width="14.140625" style="136" hidden="1" customWidth="1"/>
    <col min="28" max="28" width="7.42578125" style="136" hidden="1" customWidth="1"/>
    <col min="29" max="29" width="1.7109375" style="136" hidden="1" customWidth="1"/>
    <col min="30" max="30" width="7.42578125" style="136" hidden="1" customWidth="1"/>
    <col min="31" max="34" width="1" style="136" hidden="1" customWidth="1"/>
    <col min="35" max="35" width="9.42578125" style="136" hidden="1" customWidth="1"/>
    <col min="36" max="36" width="10.28515625" style="136" customWidth="1"/>
    <col min="37" max="37" width="18.140625" style="136" hidden="1" customWidth="1"/>
    <col min="38" max="38" width="10.42578125" style="136" hidden="1" customWidth="1"/>
    <col min="39" max="40" width="1.42578125" style="136" hidden="1" customWidth="1"/>
    <col min="41" max="58" width="2.7109375" style="136" hidden="1" customWidth="1"/>
    <col min="59" max="59" width="10.140625" style="136" hidden="1" customWidth="1"/>
    <col min="60" max="60" width="10.42578125" style="136" bestFit="1" customWidth="1"/>
    <col min="61" max="61" width="9.42578125" style="136" bestFit="1" customWidth="1"/>
    <col min="62" max="62" width="12.42578125" style="136" bestFit="1" customWidth="1"/>
    <col min="63" max="63" width="17.140625" style="136" bestFit="1" customWidth="1"/>
    <col min="64" max="64" width="32.28515625" style="190" bestFit="1" customWidth="1"/>
    <col min="65" max="65" width="18" style="136" bestFit="1" customWidth="1"/>
    <col min="66" max="66" width="8.85546875" style="136"/>
    <col min="67" max="67" width="0.5703125" style="136" customWidth="1"/>
    <col min="68" max="68" width="10.7109375" style="136" bestFit="1" customWidth="1"/>
    <col min="69" max="69" width="1" style="136" customWidth="1"/>
    <col min="70" max="70" width="19.5703125" style="136" bestFit="1" customWidth="1"/>
    <col min="71" max="74" width="0.7109375" style="136" customWidth="1"/>
    <col min="75" max="80" width="0.5703125" style="136" customWidth="1"/>
    <col min="81" max="81" width="13.7109375" style="136" bestFit="1" customWidth="1"/>
    <col min="82" max="82" width="14.7109375" style="136" bestFit="1" customWidth="1"/>
    <col min="83" max="83" width="8.85546875" style="136"/>
    <col min="84" max="84" width="17.140625" style="136" bestFit="1" customWidth="1"/>
    <col min="85" max="16384" width="8.85546875" style="136"/>
  </cols>
  <sheetData>
    <row r="1" spans="1:85" ht="25.9">
      <c r="A1" s="132" t="s">
        <v>25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3"/>
      <c r="R1" s="132"/>
      <c r="S1" s="132"/>
      <c r="T1" s="132"/>
      <c r="U1" s="132"/>
      <c r="V1" s="132"/>
      <c r="W1" s="132"/>
      <c r="X1" s="134"/>
      <c r="Y1" s="6"/>
      <c r="Z1" s="6"/>
      <c r="AA1" s="2"/>
      <c r="AB1" s="26"/>
      <c r="AC1" s="26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7"/>
      <c r="BI1" s="3"/>
      <c r="BJ1" s="8"/>
      <c r="BK1" s="3"/>
      <c r="BL1" s="40"/>
      <c r="BM1" s="28"/>
      <c r="BN1" s="5"/>
      <c r="BO1" s="3"/>
      <c r="BP1" s="3"/>
      <c r="BQ1" s="3"/>
      <c r="BR1" s="200"/>
      <c r="BS1" s="3"/>
      <c r="BT1" s="5"/>
      <c r="BU1" s="8"/>
      <c r="BV1" s="5"/>
      <c r="BW1" s="5"/>
      <c r="BX1" s="3"/>
      <c r="BY1" s="5"/>
      <c r="BZ1" s="5"/>
      <c r="CA1" s="5"/>
      <c r="CB1" s="5"/>
      <c r="CC1" s="5"/>
      <c r="CD1" s="135"/>
      <c r="CE1" s="5"/>
      <c r="CF1" s="5"/>
      <c r="CG1" s="5"/>
    </row>
    <row r="2" spans="1:85" s="138" customFormat="1" ht="15" customHeight="1">
      <c r="A2" s="43" t="s">
        <v>26</v>
      </c>
      <c r="B2" s="44"/>
      <c r="C2" s="46" t="s">
        <v>400</v>
      </c>
      <c r="D2" s="44"/>
      <c r="E2" s="44"/>
      <c r="F2" s="44"/>
      <c r="G2" s="29"/>
      <c r="H2" s="29"/>
      <c r="I2" s="29"/>
      <c r="J2" s="29"/>
      <c r="K2" s="29"/>
      <c r="L2" s="29"/>
      <c r="M2" s="29"/>
      <c r="N2" s="29"/>
      <c r="O2" s="29"/>
      <c r="P2" s="29"/>
      <c r="Q2" s="137"/>
      <c r="R2" s="30"/>
      <c r="S2" s="30"/>
      <c r="T2" s="30"/>
      <c r="U2" s="30"/>
      <c r="V2" s="30"/>
      <c r="W2" s="30"/>
      <c r="X2" s="39"/>
      <c r="Y2" s="30"/>
      <c r="Z2" s="30"/>
      <c r="AA2" s="31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3"/>
      <c r="BI2" s="34"/>
      <c r="BJ2" s="35"/>
      <c r="BK2" s="34"/>
      <c r="BL2" s="41"/>
      <c r="BM2" s="36"/>
      <c r="BN2" s="37"/>
      <c r="BO2" s="34"/>
      <c r="BP2" s="34"/>
      <c r="BQ2" s="34"/>
      <c r="BR2" s="205"/>
      <c r="BS2" s="34"/>
      <c r="BT2" s="37"/>
      <c r="BU2" s="35"/>
      <c r="BV2" s="37"/>
      <c r="BW2" s="37"/>
      <c r="BX2" s="34"/>
      <c r="BY2" s="37"/>
      <c r="BZ2" s="37"/>
      <c r="CA2" s="37"/>
      <c r="CB2" s="37"/>
      <c r="CC2" s="37"/>
      <c r="CD2" s="137"/>
      <c r="CE2" s="37"/>
      <c r="CF2" s="37"/>
      <c r="CG2" s="37"/>
    </row>
    <row r="3" spans="1:85" s="138" customFormat="1" ht="15" customHeight="1">
      <c r="A3" s="47" t="s">
        <v>27</v>
      </c>
      <c r="B3" s="29"/>
      <c r="C3" s="46" t="s">
        <v>387</v>
      </c>
      <c r="D3" s="48"/>
      <c r="E3" s="48"/>
      <c r="F3" s="48"/>
      <c r="G3" s="29"/>
      <c r="H3" s="29"/>
      <c r="I3" s="29"/>
      <c r="J3" s="29"/>
      <c r="K3" s="29"/>
      <c r="L3" s="29"/>
      <c r="M3" s="29"/>
      <c r="N3" s="29"/>
      <c r="O3" s="29"/>
      <c r="P3" s="29"/>
      <c r="Q3" s="137"/>
      <c r="R3" s="30"/>
      <c r="S3" s="30"/>
      <c r="T3" s="30"/>
      <c r="U3" s="30"/>
      <c r="V3" s="30"/>
      <c r="W3" s="30"/>
      <c r="X3" s="39"/>
      <c r="Y3" s="30"/>
      <c r="Z3" s="30"/>
      <c r="AA3" s="31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3"/>
      <c r="BI3" s="34"/>
      <c r="BJ3" s="35"/>
      <c r="BK3" s="34"/>
      <c r="BL3" s="41"/>
      <c r="BM3" s="36"/>
      <c r="BN3" s="37"/>
      <c r="BO3" s="34"/>
      <c r="BP3" s="34"/>
      <c r="BQ3" s="34"/>
      <c r="BR3" s="205"/>
      <c r="BS3" s="34"/>
      <c r="BT3" s="37"/>
      <c r="BU3" s="35"/>
      <c r="BV3" s="37"/>
      <c r="BW3" s="37"/>
      <c r="BX3" s="34"/>
      <c r="BY3" s="37"/>
      <c r="BZ3" s="37"/>
      <c r="CA3" s="37"/>
      <c r="CB3" s="37"/>
      <c r="CC3" s="37"/>
      <c r="CD3" s="137"/>
      <c r="CE3" s="37"/>
      <c r="CF3" s="37"/>
      <c r="CG3" s="37"/>
    </row>
    <row r="4" spans="1:85" s="138" customFormat="1" ht="15" customHeight="1">
      <c r="A4" s="43" t="s">
        <v>29</v>
      </c>
      <c r="B4" s="45"/>
      <c r="C4" s="46"/>
      <c r="D4" s="29"/>
      <c r="E4" s="29"/>
      <c r="F4" s="29"/>
      <c r="G4" s="29"/>
      <c r="H4" s="29"/>
      <c r="I4" s="29"/>
      <c r="J4" s="44"/>
      <c r="K4" s="44"/>
      <c r="L4" s="44"/>
      <c r="M4" s="44"/>
      <c r="N4" s="44"/>
      <c r="O4" s="44"/>
      <c r="P4" s="44"/>
      <c r="Q4" s="137"/>
      <c r="R4" s="49"/>
      <c r="S4" s="49"/>
      <c r="T4" s="49"/>
      <c r="U4" s="49"/>
      <c r="V4" s="49"/>
      <c r="W4" s="49"/>
      <c r="X4" s="39"/>
      <c r="Y4" s="49"/>
      <c r="Z4" s="49"/>
      <c r="AA4" s="31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50"/>
      <c r="BI4" s="34"/>
      <c r="BJ4" s="35"/>
      <c r="BK4" s="34"/>
      <c r="BL4" s="41"/>
      <c r="BM4" s="36"/>
      <c r="BN4" s="37"/>
      <c r="BO4" s="34"/>
      <c r="BP4" s="34"/>
      <c r="BQ4" s="34"/>
      <c r="BR4" s="205"/>
      <c r="BS4" s="34"/>
      <c r="BT4" s="37"/>
      <c r="BU4" s="35"/>
      <c r="BV4" s="37"/>
      <c r="BW4" s="37"/>
      <c r="BX4" s="34"/>
      <c r="BY4" s="37"/>
      <c r="BZ4" s="37"/>
      <c r="CA4" s="37"/>
      <c r="CB4" s="37"/>
      <c r="CC4" s="37"/>
      <c r="CD4" s="137"/>
      <c r="CE4" s="37"/>
      <c r="CF4" s="37"/>
      <c r="CG4" s="37"/>
    </row>
    <row r="5" spans="1:85" s="138" customFormat="1" ht="15" customHeight="1">
      <c r="A5" s="43" t="s">
        <v>30</v>
      </c>
      <c r="B5" s="45"/>
      <c r="C5" s="139">
        <v>1</v>
      </c>
      <c r="D5" s="29"/>
      <c r="E5" s="29"/>
      <c r="F5" s="29"/>
      <c r="G5" s="29"/>
      <c r="H5" s="29"/>
      <c r="I5" s="29"/>
      <c r="J5" s="44"/>
      <c r="K5" s="44"/>
      <c r="L5" s="44"/>
      <c r="M5" s="44"/>
      <c r="N5" s="44"/>
      <c r="O5" s="44"/>
      <c r="P5" s="44"/>
      <c r="Q5" s="137"/>
      <c r="R5" s="49"/>
      <c r="S5" s="49"/>
      <c r="T5" s="49"/>
      <c r="U5" s="49"/>
      <c r="V5" s="49"/>
      <c r="W5" s="49"/>
      <c r="X5" s="39"/>
      <c r="Y5" s="49"/>
      <c r="Z5" s="49"/>
      <c r="AA5" s="31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50"/>
      <c r="BI5" s="34"/>
      <c r="BJ5" s="35"/>
      <c r="BK5" s="34"/>
      <c r="BL5" s="41"/>
      <c r="BM5" s="36"/>
      <c r="BN5" s="37"/>
      <c r="BO5" s="34"/>
      <c r="BP5" s="34"/>
      <c r="BQ5" s="34"/>
      <c r="BR5" s="205"/>
      <c r="BS5" s="34"/>
      <c r="BT5" s="37"/>
      <c r="BU5" s="35"/>
      <c r="BV5" s="37"/>
      <c r="BW5" s="37"/>
      <c r="BX5" s="34"/>
      <c r="BY5" s="37"/>
      <c r="BZ5" s="37"/>
      <c r="CA5" s="37"/>
      <c r="CB5" s="37"/>
      <c r="CC5" s="37"/>
      <c r="CD5" s="137"/>
      <c r="CE5" s="37"/>
      <c r="CF5" s="37"/>
      <c r="CG5" s="37"/>
    </row>
    <row r="6" spans="1:85" s="138" customFormat="1" ht="15" customHeight="1">
      <c r="A6" s="43"/>
      <c r="B6" s="45"/>
      <c r="C6" s="139"/>
      <c r="D6" s="29"/>
      <c r="E6" s="29"/>
      <c r="F6" s="29"/>
      <c r="G6" s="29"/>
      <c r="H6" s="29"/>
      <c r="I6" s="29"/>
      <c r="J6" s="44"/>
      <c r="K6" s="44"/>
      <c r="L6" s="44"/>
      <c r="M6" s="44"/>
      <c r="N6" s="44"/>
      <c r="O6" s="44"/>
      <c r="P6" s="44"/>
      <c r="Q6" s="137"/>
      <c r="R6" s="49"/>
      <c r="S6" s="49"/>
      <c r="T6" s="49"/>
      <c r="U6" s="49"/>
      <c r="V6" s="49"/>
      <c r="W6" s="49"/>
      <c r="X6" s="39"/>
      <c r="Y6" s="49"/>
      <c r="Z6" s="49"/>
      <c r="AA6" s="31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50"/>
      <c r="BI6" s="34"/>
      <c r="BJ6" s="35"/>
      <c r="BK6" s="34"/>
      <c r="BL6" s="41"/>
      <c r="BM6" s="36"/>
      <c r="BN6" s="37"/>
      <c r="BO6" s="34"/>
      <c r="BP6" s="34"/>
      <c r="BQ6" s="34"/>
      <c r="BR6" s="205"/>
      <c r="BS6" s="34"/>
      <c r="BT6" s="37"/>
      <c r="BU6" s="35"/>
      <c r="BV6" s="37"/>
      <c r="BW6" s="37"/>
      <c r="BX6" s="34"/>
      <c r="BY6" s="37"/>
      <c r="BZ6" s="37"/>
      <c r="CA6" s="37"/>
      <c r="CB6" s="37"/>
      <c r="CC6" s="37"/>
      <c r="CD6" s="137"/>
      <c r="CE6" s="37"/>
      <c r="CF6" s="37"/>
      <c r="CG6" s="37"/>
    </row>
    <row r="7" spans="1:85" s="138" customFormat="1" ht="15" customHeight="1" thickBot="1">
      <c r="A7" s="43"/>
      <c r="B7" s="45"/>
      <c r="C7" s="139"/>
      <c r="D7" s="29"/>
      <c r="E7" s="29"/>
      <c r="F7" s="29"/>
      <c r="G7" s="29"/>
      <c r="H7" s="29"/>
      <c r="I7" s="29"/>
      <c r="J7" s="44"/>
      <c r="K7" s="44"/>
      <c r="L7" s="44"/>
      <c r="M7" s="44"/>
      <c r="N7" s="44"/>
      <c r="O7" s="44"/>
      <c r="P7" s="44"/>
      <c r="Q7" s="137"/>
      <c r="R7" s="49"/>
      <c r="S7" s="49"/>
      <c r="T7" s="49"/>
      <c r="U7" s="49"/>
      <c r="V7" s="49"/>
      <c r="W7" s="49"/>
      <c r="X7" s="39"/>
      <c r="Y7" s="49"/>
      <c r="Z7" s="49"/>
      <c r="AA7" s="31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50"/>
      <c r="BI7" s="34"/>
      <c r="BJ7" s="35"/>
      <c r="BK7" s="34"/>
      <c r="BL7" s="41"/>
      <c r="BM7" s="36"/>
      <c r="BN7" s="37"/>
      <c r="BO7" s="34"/>
      <c r="BP7" s="34"/>
      <c r="BQ7" s="34"/>
      <c r="BR7" s="205"/>
      <c r="BS7" s="34"/>
      <c r="BT7" s="37"/>
      <c r="BU7" s="35"/>
      <c r="BV7" s="37"/>
      <c r="BW7" s="37"/>
      <c r="BX7" s="34"/>
      <c r="BY7" s="37"/>
      <c r="BZ7" s="37"/>
      <c r="CA7" s="37"/>
      <c r="CB7" s="37"/>
      <c r="CC7" s="37"/>
      <c r="CD7" s="137"/>
      <c r="CE7" s="37"/>
      <c r="CF7" s="37"/>
      <c r="CG7" s="37"/>
    </row>
    <row r="8" spans="1:85" s="138" customFormat="1" ht="15" customHeight="1" thickBot="1">
      <c r="A8" s="140" t="s">
        <v>31</v>
      </c>
      <c r="B8" s="141"/>
      <c r="C8" s="142">
        <v>1.4</v>
      </c>
      <c r="D8" s="29"/>
      <c r="E8" s="29"/>
      <c r="F8" s="29"/>
      <c r="G8" s="29"/>
      <c r="H8" s="29"/>
      <c r="I8" s="29"/>
      <c r="J8" s="44"/>
      <c r="K8" s="44"/>
      <c r="L8" s="44"/>
      <c r="M8" s="44"/>
      <c r="N8" s="44"/>
      <c r="O8" s="44"/>
      <c r="P8" s="44"/>
      <c r="Q8" s="137"/>
      <c r="R8" s="49"/>
      <c r="S8" s="49"/>
      <c r="T8" s="49"/>
      <c r="U8" s="49"/>
      <c r="V8" s="49"/>
      <c r="W8" s="49"/>
      <c r="X8" s="39"/>
      <c r="Y8" s="49"/>
      <c r="Z8" s="49"/>
      <c r="AA8" s="31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50"/>
      <c r="BI8" s="34"/>
      <c r="BJ8" s="35"/>
      <c r="BK8" s="34"/>
      <c r="BL8" s="41"/>
      <c r="BM8" s="36"/>
      <c r="BN8" s="37"/>
      <c r="BO8" s="34"/>
      <c r="BP8" s="34"/>
      <c r="BQ8" s="34"/>
      <c r="BR8" s="205"/>
      <c r="BS8" s="34"/>
      <c r="BT8" s="37"/>
      <c r="BU8" s="35"/>
      <c r="BV8" s="37"/>
      <c r="BW8" s="37"/>
      <c r="BX8" s="34"/>
      <c r="BY8" s="37"/>
      <c r="BZ8" s="37"/>
      <c r="CA8" s="37"/>
      <c r="CB8" s="37"/>
      <c r="CC8" s="37"/>
      <c r="CD8" s="137"/>
      <c r="CE8" s="37"/>
      <c r="CF8" s="37"/>
      <c r="CG8" s="37"/>
    </row>
    <row r="9" spans="1:85" s="138" customFormat="1" ht="15" customHeight="1">
      <c r="A9" s="137"/>
      <c r="B9" s="45"/>
      <c r="C9" s="49"/>
      <c r="D9" s="29"/>
      <c r="E9" s="29"/>
      <c r="F9" s="29"/>
      <c r="G9" s="29"/>
      <c r="H9" s="29"/>
      <c r="I9" s="29"/>
      <c r="J9" s="44"/>
      <c r="K9" s="44"/>
      <c r="L9" s="44"/>
      <c r="M9" s="44"/>
      <c r="N9" s="44"/>
      <c r="O9" s="44"/>
      <c r="P9" s="44"/>
      <c r="Q9" s="137"/>
      <c r="R9" s="143"/>
      <c r="S9" s="143"/>
      <c r="T9" s="143"/>
      <c r="U9" s="143"/>
      <c r="V9" s="143"/>
      <c r="W9" s="143"/>
      <c r="X9" s="144"/>
      <c r="Y9" s="49"/>
      <c r="Z9" s="49"/>
      <c r="AA9" s="31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50"/>
      <c r="BI9" s="34"/>
      <c r="BJ9" s="35"/>
      <c r="BK9" s="34"/>
      <c r="BL9" s="41"/>
      <c r="BM9" s="36"/>
      <c r="BN9" s="37"/>
      <c r="BO9" s="34"/>
      <c r="BP9" s="34"/>
      <c r="BQ9" s="34"/>
      <c r="BR9" s="205"/>
      <c r="BS9" s="34"/>
      <c r="BT9" s="37"/>
      <c r="BU9" s="35"/>
      <c r="BV9" s="37"/>
      <c r="BW9" s="37"/>
      <c r="BX9" s="34"/>
      <c r="BY9" s="37"/>
      <c r="BZ9" s="37"/>
      <c r="CA9" s="37"/>
      <c r="CB9" s="37"/>
      <c r="CC9" s="37"/>
      <c r="CD9" s="137"/>
      <c r="CE9" s="37"/>
      <c r="CF9" s="37"/>
      <c r="CG9" s="37"/>
    </row>
    <row r="10" spans="1:85" s="138" customFormat="1" ht="15" customHeight="1">
      <c r="A10" s="137" t="s">
        <v>388</v>
      </c>
      <c r="B10" s="45"/>
      <c r="C10" s="49">
        <v>0</v>
      </c>
      <c r="D10" s="29"/>
      <c r="E10" s="29"/>
      <c r="F10" s="29"/>
      <c r="G10" s="29"/>
      <c r="H10" s="29"/>
      <c r="I10" s="29"/>
      <c r="J10" s="44"/>
      <c r="K10" s="44"/>
      <c r="L10" s="44"/>
      <c r="M10" s="44"/>
      <c r="N10" s="44"/>
      <c r="O10" s="44"/>
      <c r="P10" s="44"/>
      <c r="Q10" s="137"/>
      <c r="R10" s="143"/>
      <c r="S10" s="143"/>
      <c r="T10" s="143"/>
      <c r="U10" s="143"/>
      <c r="V10" s="143"/>
      <c r="W10" s="143"/>
      <c r="X10" s="144"/>
      <c r="Y10" s="49"/>
      <c r="Z10" s="49"/>
      <c r="AA10" s="31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50"/>
      <c r="BI10" s="34"/>
      <c r="BJ10" s="35"/>
      <c r="BK10" s="34"/>
      <c r="BL10" s="41"/>
      <c r="BM10" s="36"/>
      <c r="BN10" s="37"/>
      <c r="BO10" s="34"/>
      <c r="BP10" s="34"/>
      <c r="BQ10" s="34"/>
      <c r="BR10" s="205"/>
      <c r="BS10" s="34"/>
      <c r="BT10" s="37"/>
      <c r="BU10" s="35"/>
      <c r="BV10" s="37"/>
      <c r="BW10" s="37"/>
      <c r="BX10" s="34"/>
      <c r="BY10" s="37"/>
      <c r="BZ10" s="37"/>
      <c r="CA10" s="37"/>
      <c r="CB10" s="37"/>
      <c r="CC10" s="37"/>
      <c r="CD10" s="137"/>
      <c r="CE10" s="37"/>
      <c r="CF10" s="37"/>
      <c r="CG10" s="37"/>
    </row>
    <row r="11" spans="1:85" s="138" customFormat="1" ht="15" customHeight="1">
      <c r="A11" s="137" t="s">
        <v>32</v>
      </c>
      <c r="B11" s="45"/>
      <c r="C11" s="49">
        <v>0</v>
      </c>
      <c r="D11" s="29"/>
      <c r="E11" s="29"/>
      <c r="F11" s="29"/>
      <c r="G11" s="29"/>
      <c r="H11" s="29"/>
      <c r="I11" s="29"/>
      <c r="J11" s="44"/>
      <c r="K11" s="44"/>
      <c r="L11" s="44"/>
      <c r="M11" s="44"/>
      <c r="N11" s="44"/>
      <c r="O11" s="44"/>
      <c r="P11" s="44"/>
      <c r="Q11" s="137"/>
      <c r="R11" s="145"/>
      <c r="S11" s="145"/>
      <c r="T11" s="145"/>
      <c r="U11" s="145"/>
      <c r="V11" s="145"/>
      <c r="W11" s="145"/>
      <c r="X11" s="144"/>
      <c r="Y11" s="49"/>
      <c r="Z11" s="49"/>
      <c r="AA11" s="31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50"/>
      <c r="BI11" s="34"/>
      <c r="BJ11" s="35"/>
      <c r="BK11" s="34"/>
      <c r="BL11" s="41"/>
      <c r="BM11" s="36"/>
      <c r="BN11" s="37"/>
      <c r="BO11" s="34"/>
      <c r="BP11" s="34"/>
      <c r="BQ11" s="34"/>
      <c r="BR11" s="205"/>
      <c r="BS11" s="34"/>
      <c r="BT11" s="37"/>
      <c r="BU11" s="35"/>
      <c r="BV11" s="37"/>
      <c r="BW11" s="37"/>
      <c r="BX11" s="34"/>
      <c r="BY11" s="37"/>
      <c r="BZ11" s="37"/>
      <c r="CA11" s="37"/>
      <c r="CB11" s="37"/>
      <c r="CC11" s="37"/>
      <c r="CD11" s="137"/>
      <c r="CE11" s="37"/>
      <c r="CF11" s="37"/>
      <c r="CG11" s="37"/>
    </row>
    <row r="12" spans="1:85" s="138" customFormat="1" ht="15" customHeight="1">
      <c r="A12" s="137" t="s">
        <v>33</v>
      </c>
      <c r="B12" s="45"/>
      <c r="C12" s="49">
        <v>1.4</v>
      </c>
      <c r="D12" s="29"/>
      <c r="E12" s="29"/>
      <c r="F12" s="29"/>
      <c r="G12" s="29"/>
      <c r="H12" s="29"/>
      <c r="I12" s="29"/>
      <c r="J12" s="44"/>
      <c r="K12" s="44"/>
      <c r="L12" s="44"/>
      <c r="M12" s="44"/>
      <c r="N12" s="44"/>
      <c r="O12" s="44"/>
      <c r="P12" s="44"/>
      <c r="Q12" s="137"/>
      <c r="R12" s="145"/>
      <c r="S12" s="145"/>
      <c r="T12" s="145"/>
      <c r="U12" s="145"/>
      <c r="V12" s="145"/>
      <c r="W12" s="145"/>
      <c r="X12" s="144"/>
      <c r="Y12" s="49"/>
      <c r="Z12" s="49"/>
      <c r="AA12" s="31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50"/>
      <c r="BI12" s="34"/>
      <c r="BJ12" s="35"/>
      <c r="BK12" s="34"/>
      <c r="BL12" s="41"/>
      <c r="BM12" s="36"/>
      <c r="BN12" s="37"/>
      <c r="BO12" s="34"/>
      <c r="BP12" s="34"/>
      <c r="BQ12" s="34"/>
      <c r="BR12" s="205"/>
      <c r="BS12" s="34"/>
      <c r="BT12" s="37"/>
      <c r="BU12" s="35"/>
      <c r="BV12" s="37"/>
      <c r="BW12" s="37"/>
      <c r="BX12" s="34"/>
      <c r="BY12" s="37"/>
      <c r="BZ12" s="37"/>
      <c r="CA12" s="37"/>
      <c r="CB12" s="37"/>
      <c r="CC12" s="37"/>
      <c r="CD12" s="137"/>
      <c r="CE12" s="37"/>
      <c r="CF12" s="37"/>
      <c r="CG12" s="37"/>
    </row>
    <row r="13" spans="1:85" s="138" customFormat="1" ht="15" customHeight="1">
      <c r="A13" s="137" t="s">
        <v>34</v>
      </c>
      <c r="B13" s="45"/>
      <c r="C13" s="49">
        <v>0</v>
      </c>
      <c r="D13" s="29"/>
      <c r="E13" s="29"/>
      <c r="F13" s="29"/>
      <c r="G13" s="29"/>
      <c r="H13" s="29"/>
      <c r="I13" s="29"/>
      <c r="J13" s="44"/>
      <c r="K13" s="44"/>
      <c r="L13" s="44"/>
      <c r="M13" s="44"/>
      <c r="N13" s="44"/>
      <c r="O13" s="44"/>
      <c r="P13" s="44"/>
      <c r="Q13" s="137"/>
      <c r="R13" s="143"/>
      <c r="S13" s="143"/>
      <c r="T13" s="143"/>
      <c r="U13" s="143"/>
      <c r="V13" s="143"/>
      <c r="W13" s="143"/>
      <c r="X13" s="144"/>
      <c r="Y13" s="49"/>
      <c r="Z13" s="49"/>
      <c r="AA13" s="31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50"/>
      <c r="BI13" s="34"/>
      <c r="BJ13" s="35"/>
      <c r="BK13" s="34"/>
      <c r="BL13" s="41"/>
      <c r="BM13" s="36"/>
      <c r="BN13" s="37"/>
      <c r="BO13" s="34"/>
      <c r="BP13" s="34"/>
      <c r="BQ13" s="34"/>
      <c r="BR13" s="205"/>
      <c r="BS13" s="34"/>
      <c r="BT13" s="37"/>
      <c r="BU13" s="35"/>
      <c r="BV13" s="37"/>
      <c r="BW13" s="37"/>
      <c r="BX13" s="34"/>
      <c r="BY13" s="37"/>
      <c r="BZ13" s="37"/>
      <c r="CA13" s="37"/>
      <c r="CB13" s="37"/>
      <c r="CC13" s="37"/>
      <c r="CD13" s="137"/>
      <c r="CE13" s="37"/>
      <c r="CF13" s="37"/>
      <c r="CG13" s="37"/>
    </row>
    <row r="14" spans="1:85" s="138" customFormat="1" ht="15" customHeight="1">
      <c r="A14" s="137" t="s">
        <v>35</v>
      </c>
      <c r="B14" s="45"/>
      <c r="C14" s="49">
        <v>0</v>
      </c>
      <c r="D14" s="29"/>
      <c r="E14" s="29"/>
      <c r="F14" s="29"/>
      <c r="G14" s="29"/>
      <c r="H14" s="29"/>
      <c r="I14" s="29"/>
      <c r="J14" s="44"/>
      <c r="K14" s="44"/>
      <c r="L14" s="44"/>
      <c r="M14" s="44"/>
      <c r="N14" s="44"/>
      <c r="O14" s="44"/>
      <c r="P14" s="44"/>
      <c r="Q14" s="137"/>
      <c r="R14" s="49"/>
      <c r="S14" s="49"/>
      <c r="T14" s="49"/>
      <c r="U14" s="49"/>
      <c r="V14" s="49"/>
      <c r="W14" s="49"/>
      <c r="X14" s="39"/>
      <c r="Y14" s="49"/>
      <c r="Z14" s="49"/>
      <c r="AA14" s="31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50"/>
      <c r="BI14" s="34"/>
      <c r="BJ14" s="35"/>
      <c r="BK14" s="34"/>
      <c r="BL14" s="41"/>
      <c r="BM14" s="36"/>
      <c r="BN14" s="37"/>
      <c r="BO14" s="34"/>
      <c r="BP14" s="34"/>
      <c r="BQ14" s="34"/>
      <c r="BR14" s="205"/>
      <c r="BS14" s="34"/>
      <c r="BT14" s="37"/>
      <c r="BU14" s="35"/>
      <c r="BV14" s="37"/>
      <c r="BW14" s="37"/>
      <c r="BX14" s="34"/>
      <c r="BY14" s="37"/>
      <c r="BZ14" s="37"/>
      <c r="CA14" s="37"/>
      <c r="CB14" s="37"/>
      <c r="CC14" s="37"/>
      <c r="CD14" s="137"/>
      <c r="CE14" s="37"/>
      <c r="CF14" s="37"/>
      <c r="CG14" s="37"/>
    </row>
    <row r="15" spans="1:85" s="138" customFormat="1" ht="15" customHeight="1">
      <c r="A15" s="137" t="s">
        <v>36</v>
      </c>
      <c r="B15" s="49"/>
      <c r="C15" s="49">
        <v>0</v>
      </c>
      <c r="D15" s="29"/>
      <c r="E15" s="29"/>
      <c r="F15" s="29"/>
      <c r="G15" s="29"/>
      <c r="H15" s="29"/>
      <c r="I15" s="29"/>
      <c r="J15" s="44"/>
      <c r="K15" s="44"/>
      <c r="L15" s="44"/>
      <c r="M15" s="44"/>
      <c r="N15" s="44"/>
      <c r="O15" s="44"/>
      <c r="P15" s="44"/>
      <c r="Q15" s="137"/>
      <c r="R15" s="49"/>
      <c r="S15" s="49"/>
      <c r="T15" s="49"/>
      <c r="U15" s="49"/>
      <c r="V15" s="49"/>
      <c r="W15" s="49"/>
      <c r="X15" s="39"/>
      <c r="Y15" s="49"/>
      <c r="Z15" s="49"/>
      <c r="AA15" s="31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50"/>
      <c r="BI15" s="34"/>
      <c r="BJ15" s="35"/>
      <c r="BK15" s="34"/>
      <c r="BL15" s="41"/>
      <c r="BM15" s="36"/>
      <c r="BN15" s="37"/>
      <c r="BO15" s="34"/>
      <c r="BP15" s="34"/>
      <c r="BQ15" s="34"/>
      <c r="BR15" s="205"/>
      <c r="BS15" s="34"/>
      <c r="BT15" s="37"/>
      <c r="BU15" s="35"/>
      <c r="BV15" s="37"/>
      <c r="BW15" s="37"/>
      <c r="BX15" s="34"/>
      <c r="BY15" s="37"/>
      <c r="BZ15" s="37"/>
      <c r="CA15" s="37"/>
      <c r="CB15" s="37"/>
      <c r="CC15" s="37"/>
      <c r="CD15" s="137"/>
      <c r="CE15" s="37"/>
      <c r="CF15" s="37"/>
      <c r="CG15" s="37"/>
    </row>
    <row r="16" spans="1:85" s="138" customFormat="1" ht="15" customHeight="1">
      <c r="A16" s="137" t="s">
        <v>37</v>
      </c>
      <c r="B16" s="49"/>
      <c r="C16" s="49">
        <v>0</v>
      </c>
      <c r="D16" s="29"/>
      <c r="E16" s="29"/>
      <c r="F16" s="29"/>
      <c r="G16" s="29"/>
      <c r="H16" s="29"/>
      <c r="I16" s="29"/>
      <c r="J16" s="44"/>
      <c r="K16" s="44"/>
      <c r="L16" s="44"/>
      <c r="M16" s="44"/>
      <c r="N16" s="44"/>
      <c r="O16" s="44"/>
      <c r="P16" s="44"/>
      <c r="Q16" s="137"/>
      <c r="R16" s="49"/>
      <c r="S16" s="49"/>
      <c r="T16" s="49"/>
      <c r="U16" s="49"/>
      <c r="V16" s="49"/>
      <c r="W16" s="49"/>
      <c r="X16" s="39"/>
      <c r="Y16" s="49"/>
      <c r="Z16" s="49"/>
      <c r="AA16" s="31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50"/>
      <c r="BI16" s="34"/>
      <c r="BJ16" s="35"/>
      <c r="BK16" s="34"/>
      <c r="BL16" s="41"/>
      <c r="BM16" s="36"/>
      <c r="BN16" s="37"/>
      <c r="BO16" s="34"/>
      <c r="BP16" s="34"/>
      <c r="BQ16" s="34"/>
      <c r="BR16" s="205"/>
      <c r="BS16" s="34"/>
      <c r="BT16" s="37"/>
      <c r="BU16" s="35"/>
      <c r="BV16" s="37"/>
      <c r="BW16" s="37"/>
      <c r="BX16" s="34"/>
      <c r="BY16" s="37"/>
      <c r="BZ16" s="37"/>
      <c r="CA16" s="37"/>
      <c r="CB16" s="37"/>
      <c r="CC16" s="37"/>
      <c r="CD16" s="137"/>
      <c r="CE16" s="37"/>
      <c r="CF16" s="37"/>
      <c r="CG16" s="37"/>
    </row>
    <row r="17" spans="1:86" s="138" customFormat="1" ht="15" customHeight="1">
      <c r="A17" s="137" t="s">
        <v>38</v>
      </c>
      <c r="B17" s="49"/>
      <c r="C17" s="49">
        <v>0</v>
      </c>
      <c r="D17" s="29"/>
      <c r="E17" s="29"/>
      <c r="F17" s="29"/>
      <c r="G17" s="29"/>
      <c r="H17" s="29"/>
      <c r="I17" s="29"/>
      <c r="J17" s="44"/>
      <c r="K17" s="44"/>
      <c r="L17" s="44"/>
      <c r="M17" s="44"/>
      <c r="N17" s="44"/>
      <c r="O17" s="44"/>
      <c r="P17" s="44"/>
      <c r="Q17" s="137"/>
      <c r="R17" s="49"/>
      <c r="S17" s="49"/>
      <c r="T17" s="49"/>
      <c r="U17" s="49"/>
      <c r="V17" s="49"/>
      <c r="W17" s="49"/>
      <c r="X17" s="39"/>
      <c r="Y17" s="49"/>
      <c r="Z17" s="49"/>
      <c r="AA17" s="31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50"/>
      <c r="BI17" s="34"/>
      <c r="BJ17" s="35"/>
      <c r="BK17" s="34"/>
      <c r="BL17" s="41"/>
      <c r="BM17" s="36"/>
      <c r="BN17" s="37"/>
      <c r="BO17" s="34"/>
      <c r="BP17" s="34"/>
      <c r="BQ17" s="34"/>
      <c r="BR17" s="205"/>
      <c r="BS17" s="34"/>
      <c r="BT17" s="37"/>
      <c r="BU17" s="35"/>
      <c r="BV17" s="37"/>
      <c r="BW17" s="37"/>
      <c r="BX17" s="34"/>
      <c r="BY17" s="37"/>
      <c r="BZ17" s="37"/>
      <c r="CA17" s="37"/>
      <c r="CB17" s="37"/>
      <c r="CC17" s="37"/>
      <c r="CD17" s="137"/>
      <c r="CE17" s="37"/>
      <c r="CF17" s="37"/>
      <c r="CG17" s="37"/>
    </row>
    <row r="18" spans="1:86" s="138" customFormat="1" ht="15" customHeight="1">
      <c r="A18" s="137" t="s">
        <v>39</v>
      </c>
      <c r="B18" s="49"/>
      <c r="C18" s="49">
        <v>0</v>
      </c>
      <c r="D18" s="29"/>
      <c r="E18" s="29"/>
      <c r="F18" s="29"/>
      <c r="G18" s="29"/>
      <c r="H18" s="29"/>
      <c r="I18" s="29"/>
      <c r="J18" s="44"/>
      <c r="K18" s="44"/>
      <c r="L18" s="44"/>
      <c r="M18" s="44"/>
      <c r="N18" s="44"/>
      <c r="O18" s="44"/>
      <c r="P18" s="44"/>
      <c r="Q18" s="137"/>
      <c r="R18" s="49"/>
      <c r="S18" s="49"/>
      <c r="T18" s="49"/>
      <c r="U18" s="49"/>
      <c r="V18" s="49"/>
      <c r="W18" s="49"/>
      <c r="X18" s="39"/>
      <c r="Y18" s="49"/>
      <c r="Z18" s="49"/>
      <c r="AA18" s="31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50"/>
      <c r="BI18" s="34"/>
      <c r="BJ18" s="35"/>
      <c r="BK18" s="34"/>
      <c r="BL18" s="41"/>
      <c r="BM18" s="36"/>
      <c r="BN18" s="37"/>
      <c r="BO18" s="34"/>
      <c r="BP18" s="34"/>
      <c r="BQ18" s="34"/>
      <c r="BR18" s="205"/>
      <c r="BS18" s="34"/>
      <c r="BT18" s="37"/>
      <c r="BU18" s="35"/>
      <c r="BV18" s="37"/>
      <c r="BW18" s="37"/>
      <c r="BX18" s="34"/>
      <c r="BY18" s="37"/>
      <c r="BZ18" s="37"/>
      <c r="CA18" s="37"/>
      <c r="CB18" s="37"/>
      <c r="CC18" s="37"/>
      <c r="CD18" s="137"/>
      <c r="CE18" s="37"/>
      <c r="CF18" s="37"/>
      <c r="CG18" s="37"/>
    </row>
    <row r="19" spans="1:86" s="138" customFormat="1" ht="15" customHeight="1">
      <c r="A19" s="137" t="s">
        <v>40</v>
      </c>
      <c r="B19" s="49"/>
      <c r="C19" s="49">
        <v>0</v>
      </c>
      <c r="D19" s="29"/>
      <c r="E19" s="29"/>
      <c r="F19" s="29"/>
      <c r="G19" s="29"/>
      <c r="H19" s="29"/>
      <c r="I19" s="29"/>
      <c r="J19" s="44"/>
      <c r="K19" s="44"/>
      <c r="L19" s="44"/>
      <c r="M19" s="44"/>
      <c r="N19" s="44"/>
      <c r="O19" s="44"/>
      <c r="P19" s="44"/>
      <c r="Q19" s="137"/>
      <c r="R19" s="49"/>
      <c r="S19" s="49"/>
      <c r="T19" s="49"/>
      <c r="U19" s="49"/>
      <c r="V19" s="49"/>
      <c r="W19" s="49"/>
      <c r="X19" s="39"/>
      <c r="Y19" s="49"/>
      <c r="Z19" s="49"/>
      <c r="AA19" s="31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50"/>
      <c r="BI19" s="34"/>
      <c r="BJ19" s="35"/>
      <c r="BK19" s="34"/>
      <c r="BL19" s="41"/>
      <c r="BM19" s="36"/>
      <c r="BN19" s="37"/>
      <c r="BO19" s="34"/>
      <c r="BP19" s="34"/>
      <c r="BQ19" s="34"/>
      <c r="BR19" s="205"/>
      <c r="BS19" s="34"/>
      <c r="BT19" s="37"/>
      <c r="BU19" s="35"/>
      <c r="BV19" s="37"/>
      <c r="BW19" s="37"/>
      <c r="BX19" s="34"/>
      <c r="BY19" s="37"/>
      <c r="BZ19" s="37"/>
      <c r="CA19" s="37"/>
      <c r="CB19" s="37"/>
      <c r="CC19" s="37"/>
      <c r="CD19" s="137"/>
      <c r="CE19" s="37"/>
      <c r="CF19" s="37"/>
      <c r="CG19" s="37"/>
    </row>
    <row r="20" spans="1:86" s="138" customFormat="1" ht="15" customHeight="1">
      <c r="A20" s="137" t="s">
        <v>41</v>
      </c>
      <c r="B20" s="49"/>
      <c r="C20" s="49">
        <v>0</v>
      </c>
      <c r="D20" s="29"/>
      <c r="E20" s="29"/>
      <c r="F20" s="29"/>
      <c r="G20" s="29"/>
      <c r="H20" s="29"/>
      <c r="I20" s="29"/>
      <c r="J20" s="44"/>
      <c r="K20" s="44"/>
      <c r="L20" s="44"/>
      <c r="M20" s="44"/>
      <c r="N20" s="44"/>
      <c r="O20" s="44"/>
      <c r="P20" s="44"/>
      <c r="Q20" s="137"/>
      <c r="R20" s="49"/>
      <c r="S20" s="49"/>
      <c r="T20" s="49"/>
      <c r="U20" s="49"/>
      <c r="V20" s="49"/>
      <c r="W20" s="49"/>
      <c r="X20" s="39"/>
      <c r="Y20" s="49"/>
      <c r="Z20" s="49"/>
      <c r="AA20" s="31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50"/>
      <c r="BI20" s="34"/>
      <c r="BJ20" s="35"/>
      <c r="BK20" s="34"/>
      <c r="BL20" s="41"/>
      <c r="BM20" s="36"/>
      <c r="BN20" s="37"/>
      <c r="BO20" s="34"/>
      <c r="BP20" s="34"/>
      <c r="BQ20" s="34"/>
      <c r="BR20" s="205"/>
      <c r="BS20" s="34"/>
      <c r="BT20" s="37"/>
      <c r="BU20" s="35"/>
      <c r="BV20" s="37"/>
      <c r="BW20" s="37"/>
      <c r="BX20" s="34"/>
      <c r="BY20" s="37"/>
      <c r="BZ20" s="37"/>
      <c r="CA20" s="37"/>
      <c r="CB20" s="37"/>
      <c r="CC20" s="37"/>
      <c r="CD20" s="137"/>
      <c r="CE20" s="37"/>
      <c r="CF20" s="37"/>
      <c r="CG20" s="37"/>
    </row>
    <row r="21" spans="1:86" s="138" customFormat="1" ht="15" customHeight="1">
      <c r="A21" s="137" t="s">
        <v>42</v>
      </c>
      <c r="B21" s="49"/>
      <c r="C21" s="49">
        <v>0</v>
      </c>
      <c r="D21" s="29"/>
      <c r="E21" s="29"/>
      <c r="F21" s="29"/>
      <c r="G21" s="29"/>
      <c r="H21" s="29"/>
      <c r="I21" s="29"/>
      <c r="J21" s="44"/>
      <c r="K21" s="44"/>
      <c r="L21" s="44"/>
      <c r="M21" s="44"/>
      <c r="N21" s="44"/>
      <c r="O21" s="44"/>
      <c r="P21" s="44"/>
      <c r="Q21" s="137"/>
      <c r="R21" s="49"/>
      <c r="S21" s="49"/>
      <c r="T21" s="49"/>
      <c r="U21" s="49"/>
      <c r="V21" s="49"/>
      <c r="W21" s="49"/>
      <c r="X21" s="39"/>
      <c r="Y21" s="49"/>
      <c r="Z21" s="49"/>
      <c r="AA21" s="31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50"/>
      <c r="BI21" s="34"/>
      <c r="BJ21" s="35"/>
      <c r="BK21" s="34"/>
      <c r="BL21" s="41"/>
      <c r="BM21" s="36"/>
      <c r="BN21" s="37"/>
      <c r="BO21" s="34"/>
      <c r="BP21" s="34"/>
      <c r="BQ21" s="34"/>
      <c r="BR21" s="205"/>
      <c r="BS21" s="34"/>
      <c r="BT21" s="37"/>
      <c r="BU21" s="35"/>
      <c r="BV21" s="37"/>
      <c r="BW21" s="37"/>
      <c r="BX21" s="34"/>
      <c r="BY21" s="37"/>
      <c r="BZ21" s="37"/>
      <c r="CA21" s="37"/>
      <c r="CB21" s="37"/>
      <c r="CC21" s="37"/>
      <c r="CD21" s="137"/>
      <c r="CE21" s="37"/>
      <c r="CF21" s="37"/>
      <c r="CG21" s="37"/>
    </row>
    <row r="22" spans="1:86" s="138" customFormat="1" ht="15" customHeight="1">
      <c r="A22" s="137" t="s">
        <v>389</v>
      </c>
      <c r="B22" s="49"/>
      <c r="C22" s="49">
        <v>0</v>
      </c>
      <c r="D22" s="29"/>
      <c r="E22" s="29"/>
      <c r="F22" s="29"/>
      <c r="G22" s="29"/>
      <c r="H22" s="29"/>
      <c r="I22" s="29"/>
      <c r="J22" s="44"/>
      <c r="K22" s="44"/>
      <c r="L22" s="44"/>
      <c r="M22" s="44"/>
      <c r="N22" s="44"/>
      <c r="O22" s="44"/>
      <c r="P22" s="44"/>
      <c r="Q22" s="137"/>
      <c r="R22" s="49"/>
      <c r="S22" s="49"/>
      <c r="T22" s="49"/>
      <c r="U22" s="49"/>
      <c r="V22" s="49"/>
      <c r="W22" s="49"/>
      <c r="X22" s="39"/>
      <c r="Y22" s="49"/>
      <c r="Z22" s="49"/>
      <c r="AA22" s="31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50"/>
      <c r="BI22" s="34"/>
      <c r="BJ22" s="35"/>
      <c r="BK22" s="34"/>
      <c r="BL22" s="41"/>
      <c r="BM22" s="36"/>
      <c r="BN22" s="37"/>
      <c r="BO22" s="34"/>
      <c r="BP22" s="34"/>
      <c r="BQ22" s="34"/>
      <c r="BR22" s="205"/>
      <c r="BS22" s="34"/>
      <c r="BT22" s="37"/>
      <c r="BU22" s="35"/>
      <c r="BV22" s="37"/>
      <c r="BW22" s="37"/>
      <c r="BX22" s="34"/>
      <c r="BY22" s="37"/>
      <c r="BZ22" s="37"/>
      <c r="CA22" s="37"/>
      <c r="CB22" s="37"/>
      <c r="CC22" s="37"/>
      <c r="CD22" s="137"/>
      <c r="CE22" s="37"/>
      <c r="CF22" s="37"/>
      <c r="CG22" s="37"/>
    </row>
    <row r="23" spans="1:86" s="138" customFormat="1" ht="15" customHeight="1">
      <c r="A23" s="137" t="s">
        <v>390</v>
      </c>
      <c r="B23" s="49"/>
      <c r="C23" s="49">
        <v>0</v>
      </c>
      <c r="D23" s="29"/>
      <c r="E23" s="29"/>
      <c r="F23" s="29"/>
      <c r="G23" s="29"/>
      <c r="H23" s="29"/>
      <c r="I23" s="29"/>
      <c r="J23" s="44"/>
      <c r="K23" s="44"/>
      <c r="L23" s="44"/>
      <c r="M23" s="44"/>
      <c r="N23" s="44"/>
      <c r="O23" s="44"/>
      <c r="P23" s="44"/>
      <c r="Q23" s="137"/>
      <c r="R23" s="49"/>
      <c r="S23" s="49"/>
      <c r="T23" s="49"/>
      <c r="U23" s="49"/>
      <c r="V23" s="49"/>
      <c r="W23" s="49"/>
      <c r="X23" s="39"/>
      <c r="Y23" s="49"/>
      <c r="Z23" s="49"/>
      <c r="AA23" s="31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50"/>
      <c r="BI23" s="34"/>
      <c r="BJ23" s="35"/>
      <c r="BK23" s="34"/>
      <c r="BL23" s="41"/>
      <c r="BM23" s="36"/>
      <c r="BN23" s="37"/>
      <c r="BO23" s="34"/>
      <c r="BP23" s="34"/>
      <c r="BQ23" s="34"/>
      <c r="BR23" s="205"/>
      <c r="BS23" s="34"/>
      <c r="BT23" s="37"/>
      <c r="BU23" s="35"/>
      <c r="BV23" s="37"/>
      <c r="BW23" s="37"/>
      <c r="BX23" s="34"/>
      <c r="BY23" s="37"/>
      <c r="BZ23" s="37"/>
      <c r="CA23" s="37"/>
      <c r="CB23" s="37"/>
      <c r="CC23" s="37"/>
      <c r="CD23" s="137"/>
      <c r="CE23" s="37"/>
      <c r="CF23" s="37"/>
      <c r="CG23" s="37"/>
    </row>
    <row r="24" spans="1:86" s="138" customFormat="1" ht="15" customHeight="1">
      <c r="A24" s="43"/>
      <c r="B24" s="45"/>
      <c r="C24" s="139"/>
      <c r="D24" s="29"/>
      <c r="E24" s="29"/>
      <c r="F24" s="29"/>
      <c r="G24" s="29"/>
      <c r="H24" s="29"/>
      <c r="I24" s="29"/>
      <c r="J24" s="44"/>
      <c r="K24" s="44"/>
      <c r="L24" s="44"/>
      <c r="M24" s="44"/>
      <c r="N24" s="44"/>
      <c r="O24" s="44"/>
      <c r="P24" s="44"/>
      <c r="Q24" s="137"/>
      <c r="R24" s="49"/>
      <c r="S24" s="49"/>
      <c r="T24" s="49"/>
      <c r="U24" s="49"/>
      <c r="V24" s="49"/>
      <c r="W24" s="49"/>
      <c r="X24" s="39"/>
      <c r="Y24" s="49"/>
      <c r="Z24" s="49"/>
      <c r="AA24" s="31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50"/>
      <c r="BI24" s="34"/>
      <c r="BJ24" s="35"/>
      <c r="BK24" s="34"/>
      <c r="BL24" s="41"/>
      <c r="BM24" s="36"/>
      <c r="BN24" s="37"/>
      <c r="BO24" s="34"/>
      <c r="BP24" s="34"/>
      <c r="BQ24" s="34"/>
      <c r="BR24" s="205"/>
      <c r="BS24" s="34"/>
      <c r="BT24" s="37"/>
      <c r="BU24" s="35"/>
      <c r="BV24" s="37"/>
      <c r="BW24" s="37"/>
      <c r="BX24" s="34"/>
      <c r="BY24" s="37"/>
      <c r="BZ24" s="37"/>
      <c r="CA24" s="37"/>
      <c r="CB24" s="37"/>
      <c r="CC24" s="37"/>
      <c r="CD24" s="137"/>
      <c r="CE24" s="37"/>
      <c r="CF24" s="37"/>
      <c r="CG24" s="37"/>
    </row>
    <row r="25" spans="1:86" s="138" customFormat="1" ht="15" customHeight="1" thickBot="1">
      <c r="A25" s="29"/>
      <c r="B25" s="29"/>
      <c r="C25" s="31"/>
      <c r="D25" s="29"/>
      <c r="E25" s="29"/>
      <c r="F25" s="29"/>
      <c r="G25" s="29"/>
      <c r="H25" s="29"/>
      <c r="I25" s="29"/>
      <c r="J25" s="44"/>
      <c r="K25" s="44"/>
      <c r="L25" s="44"/>
      <c r="M25" s="44"/>
      <c r="N25" s="44"/>
      <c r="O25" s="44"/>
      <c r="P25" s="44"/>
      <c r="Q25" s="49"/>
      <c r="R25" s="49"/>
      <c r="S25" s="49"/>
      <c r="T25" s="49"/>
      <c r="U25" s="49"/>
      <c r="V25" s="49"/>
      <c r="W25" s="49"/>
      <c r="X25" s="39"/>
      <c r="Y25" s="49"/>
      <c r="Z25" s="49"/>
      <c r="AA25" s="31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3"/>
      <c r="BI25" s="34"/>
      <c r="BJ25" s="35"/>
      <c r="BK25" s="34"/>
      <c r="BL25" s="41"/>
      <c r="BM25" s="36"/>
      <c r="BN25" s="37"/>
      <c r="BO25" s="34"/>
      <c r="BP25" s="34"/>
      <c r="BQ25" s="34"/>
      <c r="BR25" s="205"/>
      <c r="BS25" s="34"/>
      <c r="BT25" s="37"/>
      <c r="BU25" s="35"/>
      <c r="BV25" s="37"/>
      <c r="BW25" s="37"/>
      <c r="BX25" s="34"/>
      <c r="BY25" s="37"/>
      <c r="BZ25" s="37"/>
      <c r="CA25" s="37"/>
      <c r="CB25" s="37"/>
      <c r="CC25" s="37"/>
      <c r="CD25" s="137"/>
      <c r="CE25" s="37"/>
      <c r="CF25" s="37"/>
      <c r="CG25" s="37"/>
    </row>
    <row r="26" spans="1:86" s="138" customFormat="1" ht="30" customHeight="1" thickBot="1">
      <c r="A26" s="146" t="s">
        <v>43</v>
      </c>
      <c r="B26" s="147" t="s">
        <v>44</v>
      </c>
      <c r="C26" s="148" t="s">
        <v>45</v>
      </c>
      <c r="D26" s="149" t="s">
        <v>46</v>
      </c>
      <c r="E26" s="149" t="s">
        <v>47</v>
      </c>
      <c r="F26" s="149" t="s">
        <v>48</v>
      </c>
      <c r="G26" s="149" t="s">
        <v>49</v>
      </c>
      <c r="H26" s="150" t="s">
        <v>50</v>
      </c>
      <c r="I26" s="150" t="s">
        <v>51</v>
      </c>
      <c r="J26" s="151" t="s">
        <v>52</v>
      </c>
      <c r="K26" s="151" t="s">
        <v>53</v>
      </c>
      <c r="L26" s="151" t="s">
        <v>54</v>
      </c>
      <c r="M26" s="151" t="s">
        <v>55</v>
      </c>
      <c r="N26" s="151" t="s">
        <v>56</v>
      </c>
      <c r="O26" s="151" t="s">
        <v>57</v>
      </c>
      <c r="P26" s="150" t="s">
        <v>58</v>
      </c>
      <c r="Q26" s="149" t="s">
        <v>59</v>
      </c>
      <c r="R26" s="152" t="s">
        <v>60</v>
      </c>
      <c r="S26" s="152" t="s">
        <v>61</v>
      </c>
      <c r="T26" s="152" t="s">
        <v>62</v>
      </c>
      <c r="U26" s="152" t="s">
        <v>63</v>
      </c>
      <c r="V26" s="152" t="s">
        <v>64</v>
      </c>
      <c r="W26" s="152" t="s">
        <v>65</v>
      </c>
      <c r="X26" s="153" t="s">
        <v>66</v>
      </c>
      <c r="Y26" s="154" t="s">
        <v>67</v>
      </c>
      <c r="Z26" s="150" t="s">
        <v>68</v>
      </c>
      <c r="AA26" s="150" t="s">
        <v>69</v>
      </c>
      <c r="AB26" s="154" t="s">
        <v>70</v>
      </c>
      <c r="AC26" s="154"/>
      <c r="AD26" s="154" t="s">
        <v>52</v>
      </c>
      <c r="AE26" s="154" t="s">
        <v>71</v>
      </c>
      <c r="AF26" s="154" t="s">
        <v>72</v>
      </c>
      <c r="AG26" s="154" t="s">
        <v>73</v>
      </c>
      <c r="AH26" s="154" t="s">
        <v>74</v>
      </c>
      <c r="AI26" s="154" t="s">
        <v>75</v>
      </c>
      <c r="AJ26" s="155" t="s">
        <v>76</v>
      </c>
      <c r="AK26" s="159" t="s">
        <v>77</v>
      </c>
      <c r="AL26" s="392" t="s">
        <v>391</v>
      </c>
      <c r="AM26" s="159" t="s">
        <v>79</v>
      </c>
      <c r="AN26" s="159" t="s">
        <v>79</v>
      </c>
      <c r="AO26" s="159" t="s">
        <v>80</v>
      </c>
      <c r="AP26" s="159" t="s">
        <v>80</v>
      </c>
      <c r="AQ26" s="159" t="s">
        <v>81</v>
      </c>
      <c r="AR26" s="159" t="s">
        <v>81</v>
      </c>
      <c r="AS26" s="159" t="s">
        <v>82</v>
      </c>
      <c r="AT26" s="159" t="s">
        <v>82</v>
      </c>
      <c r="AU26" s="159" t="s">
        <v>83</v>
      </c>
      <c r="AV26" s="159" t="s">
        <v>83</v>
      </c>
      <c r="AW26" s="159" t="s">
        <v>84</v>
      </c>
      <c r="AX26" s="159" t="s">
        <v>84</v>
      </c>
      <c r="AY26" s="159" t="s">
        <v>85</v>
      </c>
      <c r="AZ26" s="159" t="s">
        <v>85</v>
      </c>
      <c r="BA26" s="159" t="s">
        <v>146</v>
      </c>
      <c r="BB26" s="159" t="s">
        <v>146</v>
      </c>
      <c r="BC26" s="159" t="s">
        <v>147</v>
      </c>
      <c r="BD26" s="159" t="s">
        <v>147</v>
      </c>
      <c r="BE26" s="159" t="s">
        <v>148</v>
      </c>
      <c r="BF26" s="159" t="s">
        <v>148</v>
      </c>
      <c r="BG26" s="159" t="s">
        <v>88</v>
      </c>
      <c r="BH26" s="157" t="s">
        <v>89</v>
      </c>
      <c r="BI26" s="158" t="s">
        <v>90</v>
      </c>
      <c r="BJ26" s="159" t="s">
        <v>91</v>
      </c>
      <c r="BK26" s="160" t="s">
        <v>92</v>
      </c>
      <c r="BL26" s="161" t="s">
        <v>93</v>
      </c>
      <c r="BM26" s="162" t="s">
        <v>94</v>
      </c>
      <c r="BN26" s="163" t="s">
        <v>95</v>
      </c>
      <c r="BO26" s="162" t="s">
        <v>96</v>
      </c>
      <c r="BP26" s="162" t="s">
        <v>97</v>
      </c>
      <c r="BQ26" s="162" t="s">
        <v>98</v>
      </c>
      <c r="BR26" s="206" t="s">
        <v>99</v>
      </c>
      <c r="BS26" s="162" t="s">
        <v>100</v>
      </c>
      <c r="BT26" s="162" t="s">
        <v>8</v>
      </c>
      <c r="BU26" s="154" t="s">
        <v>101</v>
      </c>
      <c r="BV26" s="151" t="s">
        <v>102</v>
      </c>
      <c r="BW26" s="150" t="s">
        <v>103</v>
      </c>
      <c r="BX26" s="162" t="s">
        <v>104</v>
      </c>
      <c r="BY26" s="162" t="s">
        <v>105</v>
      </c>
      <c r="BZ26" s="150" t="s">
        <v>106</v>
      </c>
      <c r="CA26" s="150"/>
      <c r="CB26" s="150"/>
      <c r="CC26" s="154" t="s">
        <v>107</v>
      </c>
      <c r="CD26" s="150" t="s">
        <v>108</v>
      </c>
      <c r="CE26" s="154" t="s">
        <v>109</v>
      </c>
      <c r="CF26" s="164" t="s">
        <v>151</v>
      </c>
      <c r="CG26" s="165"/>
    </row>
    <row r="27" spans="1:86" s="138" customFormat="1" ht="15" customHeight="1">
      <c r="A27" s="48" t="s">
        <v>152</v>
      </c>
      <c r="B27" s="29" t="s">
        <v>111</v>
      </c>
      <c r="C27" s="168">
        <v>45292</v>
      </c>
      <c r="D27" s="48" t="s">
        <v>112</v>
      </c>
      <c r="E27" s="29" t="s">
        <v>113</v>
      </c>
      <c r="F27" s="48" t="s">
        <v>114</v>
      </c>
      <c r="G27" s="48" t="s">
        <v>153</v>
      </c>
      <c r="H27" s="48" t="s">
        <v>116</v>
      </c>
      <c r="I27" s="48" t="s">
        <v>116</v>
      </c>
      <c r="J27" s="170" t="s">
        <v>116</v>
      </c>
      <c r="K27" s="170" t="b">
        <v>0</v>
      </c>
      <c r="L27" s="170" t="s">
        <v>116</v>
      </c>
      <c r="M27" s="170" t="s">
        <v>116</v>
      </c>
      <c r="N27" s="170" t="s">
        <v>116</v>
      </c>
      <c r="O27" s="170" t="s">
        <v>118</v>
      </c>
      <c r="P27" s="48" t="s">
        <v>154</v>
      </c>
      <c r="Q27" s="48" t="s">
        <v>154</v>
      </c>
      <c r="R27" s="170" t="s">
        <v>116</v>
      </c>
      <c r="S27" s="170" t="s">
        <v>116</v>
      </c>
      <c r="T27" s="170" t="s">
        <v>116</v>
      </c>
      <c r="U27" s="170" t="s">
        <v>116</v>
      </c>
      <c r="V27" s="170" t="s">
        <v>116</v>
      </c>
      <c r="W27" s="170" t="s">
        <v>116</v>
      </c>
      <c r="X27" s="173" t="s">
        <v>155</v>
      </c>
      <c r="Y27" s="167">
        <v>139.81</v>
      </c>
      <c r="Z27" s="48" t="s">
        <v>116</v>
      </c>
      <c r="AA27" s="48">
        <v>1</v>
      </c>
      <c r="AB27" s="174">
        <v>0</v>
      </c>
      <c r="AC27" s="174"/>
      <c r="AD27" s="174">
        <v>0</v>
      </c>
      <c r="AE27" s="174">
        <v>0</v>
      </c>
      <c r="AF27" s="174">
        <v>0</v>
      </c>
      <c r="AG27" s="174">
        <v>0</v>
      </c>
      <c r="AH27" s="174">
        <v>0</v>
      </c>
      <c r="AI27" s="174">
        <v>0</v>
      </c>
      <c r="AJ27" s="174">
        <v>1.4</v>
      </c>
      <c r="AK27" s="174">
        <v>0</v>
      </c>
      <c r="AL27" s="174">
        <v>0</v>
      </c>
      <c r="AM27" s="174">
        <v>0</v>
      </c>
      <c r="AN27" s="174">
        <v>0</v>
      </c>
      <c r="AO27" s="174">
        <v>0</v>
      </c>
      <c r="AP27" s="174">
        <v>0</v>
      </c>
      <c r="AQ27" s="174">
        <v>0</v>
      </c>
      <c r="AR27" s="174">
        <v>0</v>
      </c>
      <c r="AS27" s="174">
        <v>0</v>
      </c>
      <c r="AT27" s="174">
        <v>0</v>
      </c>
      <c r="AU27" s="174">
        <v>0</v>
      </c>
      <c r="AV27" s="174">
        <v>0</v>
      </c>
      <c r="AW27" s="174">
        <v>0</v>
      </c>
      <c r="AX27" s="174">
        <v>0</v>
      </c>
      <c r="AY27" s="174">
        <v>0</v>
      </c>
      <c r="AZ27" s="174">
        <v>0</v>
      </c>
      <c r="BA27" s="174">
        <v>0</v>
      </c>
      <c r="BB27" s="174">
        <v>0</v>
      </c>
      <c r="BC27" s="174">
        <v>0</v>
      </c>
      <c r="BD27" s="174">
        <v>0</v>
      </c>
      <c r="BE27" s="174">
        <v>0</v>
      </c>
      <c r="BF27" s="174">
        <v>0</v>
      </c>
      <c r="BG27" s="174"/>
      <c r="BH27" s="175" t="s">
        <v>156</v>
      </c>
      <c r="BI27" s="166">
        <v>46004</v>
      </c>
      <c r="BJ27" s="167">
        <v>10.57</v>
      </c>
      <c r="BK27" s="168"/>
      <c r="BL27" s="56"/>
      <c r="BM27" s="168" t="s">
        <v>154</v>
      </c>
      <c r="BN27" s="169" t="s">
        <v>386</v>
      </c>
      <c r="BO27" s="168"/>
      <c r="BP27" s="168"/>
      <c r="BQ27" s="168"/>
      <c r="BR27" s="207"/>
      <c r="BS27" s="168"/>
      <c r="BT27" s="168"/>
      <c r="BU27" s="167"/>
      <c r="BV27" s="170"/>
      <c r="BW27" s="48"/>
      <c r="BX27" s="168"/>
      <c r="BY27" s="168"/>
      <c r="BZ27" s="48"/>
      <c r="CA27" s="48"/>
      <c r="CB27" s="48"/>
      <c r="CC27" s="167"/>
      <c r="CD27" s="137"/>
      <c r="CE27" s="171"/>
      <c r="CF27" s="172" t="s">
        <v>157</v>
      </c>
      <c r="CG27" s="165"/>
    </row>
    <row r="28" spans="1:86" s="138" customFormat="1" ht="15" customHeight="1">
      <c r="A28" s="48"/>
      <c r="B28" s="29"/>
      <c r="C28" s="168"/>
      <c r="D28" s="48"/>
      <c r="E28" s="29"/>
      <c r="F28" s="48"/>
      <c r="G28" s="48"/>
      <c r="H28" s="48"/>
      <c r="I28" s="48"/>
      <c r="J28" s="170"/>
      <c r="K28" s="170"/>
      <c r="L28" s="170"/>
      <c r="M28" s="170"/>
      <c r="N28" s="170"/>
      <c r="O28" s="170"/>
      <c r="P28" s="48"/>
      <c r="Q28" s="48"/>
      <c r="R28" s="170"/>
      <c r="S28" s="170"/>
      <c r="T28" s="170"/>
      <c r="U28" s="170"/>
      <c r="V28" s="170"/>
      <c r="W28" s="170"/>
      <c r="X28" s="173"/>
      <c r="Y28" s="167"/>
      <c r="Z28" s="48"/>
      <c r="AA28" s="48"/>
      <c r="AB28" s="174"/>
      <c r="AC28" s="174"/>
      <c r="AD28" s="174"/>
      <c r="AE28" s="174"/>
      <c r="AF28" s="174"/>
      <c r="AG28" s="174"/>
      <c r="AH28" s="174"/>
      <c r="AI28" s="174"/>
      <c r="AJ28" s="174"/>
      <c r="AK28" s="174"/>
      <c r="AL28" s="174"/>
      <c r="AM28" s="174"/>
      <c r="AN28" s="174"/>
      <c r="AO28" s="174"/>
      <c r="AP28" s="174"/>
      <c r="AQ28" s="174"/>
      <c r="AR28" s="174"/>
      <c r="AS28" s="174"/>
      <c r="AT28" s="174"/>
      <c r="AU28" s="174"/>
      <c r="AV28" s="174"/>
      <c r="AW28" s="174"/>
      <c r="AX28" s="174"/>
      <c r="AY28" s="174"/>
      <c r="AZ28" s="174"/>
      <c r="BA28" s="174"/>
      <c r="BB28" s="174"/>
      <c r="BC28" s="174"/>
      <c r="BD28" s="174"/>
      <c r="BE28" s="174"/>
      <c r="BF28" s="174"/>
      <c r="BG28" s="174"/>
      <c r="BH28" s="175"/>
      <c r="BI28" s="166"/>
      <c r="BJ28" s="167"/>
      <c r="BK28" s="168"/>
      <c r="BL28" s="56"/>
      <c r="BM28" s="168"/>
      <c r="BN28" s="169"/>
      <c r="BO28" s="168"/>
      <c r="BP28" s="168"/>
      <c r="BQ28" s="168"/>
      <c r="BR28" s="207"/>
      <c r="BS28" s="168"/>
      <c r="BT28" s="168"/>
      <c r="BU28" s="167"/>
      <c r="BV28" s="170"/>
      <c r="BW28" s="48"/>
      <c r="BX28" s="168"/>
      <c r="BY28" s="168"/>
      <c r="BZ28" s="48"/>
      <c r="CA28" s="48"/>
      <c r="CB28" s="48"/>
      <c r="CC28" s="167"/>
      <c r="CD28" s="137"/>
      <c r="CE28" s="171"/>
      <c r="CF28" s="172"/>
      <c r="CG28" s="165"/>
    </row>
    <row r="29" spans="1:86" s="138" customFormat="1" ht="15" customHeight="1">
      <c r="A29" s="29"/>
      <c r="B29" s="29"/>
      <c r="C29" s="31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176"/>
      <c r="R29" s="176"/>
      <c r="S29" s="176"/>
      <c r="T29" s="176"/>
      <c r="U29" s="176"/>
      <c r="V29" s="176"/>
      <c r="W29" s="176"/>
      <c r="X29" s="177" t="s">
        <v>140</v>
      </c>
      <c r="Y29" s="178"/>
      <c r="Z29" s="179"/>
      <c r="AA29" s="179">
        <f t="shared" ref="AA29:AH29" si="0">SUM(AA27:AA27)</f>
        <v>1</v>
      </c>
      <c r="AB29" s="180">
        <f t="shared" si="0"/>
        <v>0</v>
      </c>
      <c r="AC29" s="180">
        <f t="shared" si="0"/>
        <v>0</v>
      </c>
      <c r="AD29" s="180">
        <f t="shared" si="0"/>
        <v>0</v>
      </c>
      <c r="AE29" s="180">
        <f t="shared" si="0"/>
        <v>0</v>
      </c>
      <c r="AF29" s="180">
        <f t="shared" si="0"/>
        <v>0</v>
      </c>
      <c r="AG29" s="180">
        <f t="shared" si="0"/>
        <v>0</v>
      </c>
      <c r="AH29" s="180">
        <f t="shared" si="0"/>
        <v>0</v>
      </c>
      <c r="AI29" s="180">
        <f t="shared" ref="AI29:BG29" si="1">SUM(AI27:AI28)</f>
        <v>0</v>
      </c>
      <c r="AJ29" s="180">
        <f t="shared" si="1"/>
        <v>1.4</v>
      </c>
      <c r="AK29" s="180">
        <f t="shared" si="1"/>
        <v>0</v>
      </c>
      <c r="AL29" s="180">
        <f t="shared" si="1"/>
        <v>0</v>
      </c>
      <c r="AM29" s="180">
        <f t="shared" si="1"/>
        <v>0</v>
      </c>
      <c r="AN29" s="180">
        <f t="shared" si="1"/>
        <v>0</v>
      </c>
      <c r="AO29" s="180">
        <f t="shared" si="1"/>
        <v>0</v>
      </c>
      <c r="AP29" s="180">
        <f t="shared" si="1"/>
        <v>0</v>
      </c>
      <c r="AQ29" s="180">
        <f t="shared" si="1"/>
        <v>0</v>
      </c>
      <c r="AR29" s="180">
        <f t="shared" si="1"/>
        <v>0</v>
      </c>
      <c r="AS29" s="180">
        <f t="shared" si="1"/>
        <v>0</v>
      </c>
      <c r="AT29" s="180">
        <f t="shared" si="1"/>
        <v>0</v>
      </c>
      <c r="AU29" s="180">
        <f t="shared" si="1"/>
        <v>0</v>
      </c>
      <c r="AV29" s="180">
        <f t="shared" si="1"/>
        <v>0</v>
      </c>
      <c r="AW29" s="180">
        <f t="shared" si="1"/>
        <v>0</v>
      </c>
      <c r="AX29" s="180">
        <f t="shared" si="1"/>
        <v>0</v>
      </c>
      <c r="AY29" s="180">
        <f t="shared" si="1"/>
        <v>0</v>
      </c>
      <c r="AZ29" s="180">
        <f t="shared" si="1"/>
        <v>0</v>
      </c>
      <c r="BA29" s="180">
        <f t="shared" si="1"/>
        <v>0</v>
      </c>
      <c r="BB29" s="180">
        <f t="shared" si="1"/>
        <v>0</v>
      </c>
      <c r="BC29" s="180">
        <f t="shared" si="1"/>
        <v>0</v>
      </c>
      <c r="BD29" s="180">
        <f t="shared" si="1"/>
        <v>0</v>
      </c>
      <c r="BE29" s="180">
        <f t="shared" si="1"/>
        <v>0</v>
      </c>
      <c r="BF29" s="180">
        <f t="shared" si="1"/>
        <v>0</v>
      </c>
      <c r="BG29" s="180">
        <f t="shared" si="1"/>
        <v>0</v>
      </c>
      <c r="BH29" s="181"/>
      <c r="BI29" s="31"/>
      <c r="BJ29" s="182"/>
      <c r="BK29" s="31"/>
      <c r="BL29" s="56"/>
      <c r="BM29" s="29"/>
      <c r="BN29" s="183"/>
      <c r="BO29" s="31"/>
      <c r="BP29" s="31"/>
      <c r="BQ29" s="31"/>
      <c r="BR29" s="208"/>
      <c r="BS29" s="31"/>
      <c r="BT29" s="183"/>
      <c r="BU29" s="182"/>
      <c r="BV29" s="183"/>
      <c r="BW29" s="183"/>
      <c r="BX29" s="31"/>
      <c r="BY29" s="183"/>
      <c r="BZ29" s="183"/>
      <c r="CA29" s="183"/>
      <c r="CB29" s="183"/>
      <c r="CC29" s="184"/>
      <c r="CD29" s="137"/>
      <c r="CE29" s="183"/>
      <c r="CF29" s="183"/>
      <c r="CG29" s="183"/>
      <c r="CH29" s="183"/>
    </row>
    <row r="30" spans="1:86" s="138" customFormat="1" ht="15" customHeight="1">
      <c r="A30" s="48"/>
      <c r="B30" s="29"/>
      <c r="C30" s="168"/>
      <c r="D30" s="48"/>
      <c r="E30" s="29"/>
      <c r="F30" s="48"/>
      <c r="G30" s="48"/>
      <c r="H30" s="48"/>
      <c r="I30" s="48"/>
      <c r="J30" s="170"/>
      <c r="K30" s="170"/>
      <c r="L30" s="170"/>
      <c r="M30" s="170"/>
      <c r="N30" s="170"/>
      <c r="O30" s="170"/>
      <c r="P30" s="48"/>
      <c r="Q30" s="48"/>
      <c r="R30" s="170"/>
      <c r="S30" s="170"/>
      <c r="T30" s="170"/>
      <c r="U30" s="170"/>
      <c r="V30" s="170"/>
      <c r="W30" s="170"/>
      <c r="X30" s="173"/>
      <c r="Y30" s="167"/>
      <c r="Z30" s="48"/>
      <c r="AA30" s="48"/>
      <c r="AB30" s="174"/>
      <c r="AC30" s="174"/>
      <c r="AD30" s="174"/>
      <c r="AE30" s="174"/>
      <c r="AF30" s="174"/>
      <c r="AG30" s="174"/>
      <c r="AH30" s="174"/>
      <c r="AI30" s="174"/>
      <c r="AJ30" s="174"/>
      <c r="AK30" s="174"/>
      <c r="AL30" s="174"/>
      <c r="AM30" s="174"/>
      <c r="AN30" s="174"/>
      <c r="AO30" s="174"/>
      <c r="AP30" s="174"/>
      <c r="AQ30" s="174"/>
      <c r="AR30" s="174"/>
      <c r="AS30" s="174"/>
      <c r="AT30" s="174"/>
      <c r="AU30" s="174"/>
      <c r="AV30" s="174"/>
      <c r="AW30" s="174"/>
      <c r="AX30" s="174"/>
      <c r="AY30" s="174"/>
      <c r="AZ30" s="174"/>
      <c r="BA30" s="174"/>
      <c r="BB30" s="174"/>
      <c r="BC30" s="174"/>
      <c r="BD30" s="174"/>
      <c r="BE30" s="174"/>
      <c r="BF30" s="174"/>
      <c r="BG30" s="174"/>
      <c r="BH30" s="175"/>
      <c r="BI30" s="166"/>
      <c r="BJ30" s="167"/>
      <c r="BK30" s="168"/>
      <c r="BL30" s="56"/>
      <c r="BM30" s="168"/>
      <c r="BN30" s="169"/>
      <c r="BO30" s="168"/>
      <c r="BP30" s="168"/>
      <c r="BQ30" s="168"/>
      <c r="BR30" s="207"/>
      <c r="BS30" s="168"/>
      <c r="BT30" s="168"/>
      <c r="BU30" s="167"/>
      <c r="BV30" s="170"/>
      <c r="BW30" s="48"/>
      <c r="BX30" s="168"/>
      <c r="BY30" s="168"/>
      <c r="BZ30" s="48"/>
      <c r="CA30" s="48"/>
      <c r="CB30" s="48"/>
      <c r="CC30" s="167"/>
      <c r="CD30" s="137"/>
      <c r="CE30" s="171"/>
      <c r="CF30" s="172"/>
      <c r="CG30" s="165"/>
    </row>
    <row r="31" spans="1:86" s="138" customFormat="1" ht="15" customHeight="1">
      <c r="A31" s="48"/>
      <c r="B31" s="29"/>
      <c r="C31" s="168"/>
      <c r="D31" s="48"/>
      <c r="E31" s="29"/>
      <c r="F31" s="48"/>
      <c r="G31" s="48"/>
      <c r="H31" s="48"/>
      <c r="I31" s="48"/>
      <c r="J31" s="170"/>
      <c r="K31" s="170"/>
      <c r="L31" s="170"/>
      <c r="M31" s="170"/>
      <c r="N31" s="170"/>
      <c r="O31" s="170"/>
      <c r="P31" s="48"/>
      <c r="Q31" s="48"/>
      <c r="R31" s="170"/>
      <c r="S31" s="170"/>
      <c r="T31" s="170"/>
      <c r="U31" s="170"/>
      <c r="V31" s="170"/>
      <c r="W31" s="170"/>
      <c r="X31" s="173"/>
      <c r="Y31" s="167"/>
      <c r="Z31" s="48"/>
      <c r="AA31" s="48"/>
      <c r="AB31" s="174"/>
      <c r="AC31" s="174"/>
      <c r="AD31" s="174"/>
      <c r="AE31" s="174"/>
      <c r="AF31" s="174"/>
      <c r="AG31" s="174"/>
      <c r="AH31" s="174"/>
      <c r="AI31" s="174"/>
      <c r="AJ31" s="174"/>
      <c r="AK31" s="174"/>
      <c r="AL31" s="174"/>
      <c r="AM31" s="174"/>
      <c r="AN31" s="174"/>
      <c r="AO31" s="174"/>
      <c r="AP31" s="174"/>
      <c r="AQ31" s="174"/>
      <c r="AR31" s="174"/>
      <c r="AS31" s="174"/>
      <c r="AT31" s="174"/>
      <c r="AU31" s="174"/>
      <c r="AV31" s="174"/>
      <c r="AW31" s="174"/>
      <c r="AX31" s="174"/>
      <c r="AY31" s="174"/>
      <c r="AZ31" s="174"/>
      <c r="BA31" s="174"/>
      <c r="BB31" s="174"/>
      <c r="BC31" s="174"/>
      <c r="BD31" s="174"/>
      <c r="BE31" s="174"/>
      <c r="BF31" s="174"/>
      <c r="BG31" s="174"/>
      <c r="BH31" s="175"/>
      <c r="BI31" s="166"/>
      <c r="BJ31" s="167"/>
      <c r="BK31" s="168"/>
      <c r="BL31" s="56"/>
      <c r="BM31" s="168"/>
      <c r="BN31" s="169"/>
      <c r="BO31" s="168"/>
      <c r="BP31" s="168"/>
      <c r="BQ31" s="168"/>
      <c r="BR31" s="207"/>
      <c r="BS31" s="168"/>
      <c r="BT31" s="168"/>
      <c r="BU31" s="167"/>
      <c r="BV31" s="170"/>
      <c r="BW31" s="48"/>
      <c r="BX31" s="168"/>
      <c r="BY31" s="168"/>
      <c r="BZ31" s="48"/>
      <c r="CA31" s="48"/>
      <c r="CB31" s="48"/>
      <c r="CC31" s="167"/>
      <c r="CD31" s="137"/>
      <c r="CE31" s="171"/>
      <c r="CF31" s="172"/>
      <c r="CG31" s="165"/>
    </row>
    <row r="32" spans="1:86" s="138" customFormat="1" ht="15" customHeight="1">
      <c r="A32" s="48"/>
      <c r="B32" s="29"/>
      <c r="C32" s="168"/>
      <c r="D32" s="48"/>
      <c r="E32" s="29"/>
      <c r="F32" s="48"/>
      <c r="G32" s="48"/>
      <c r="H32" s="48"/>
      <c r="I32" s="48"/>
      <c r="J32" s="170"/>
      <c r="K32" s="170"/>
      <c r="L32" s="170"/>
      <c r="M32" s="170"/>
      <c r="N32" s="170"/>
      <c r="O32" s="170"/>
      <c r="P32" s="48"/>
      <c r="Q32" s="48"/>
      <c r="R32" s="170"/>
      <c r="S32" s="170"/>
      <c r="T32" s="170"/>
      <c r="U32" s="170"/>
      <c r="V32" s="170"/>
      <c r="W32" s="170"/>
      <c r="X32" s="173"/>
      <c r="Y32" s="167"/>
      <c r="Z32" s="48"/>
      <c r="AA32" s="48"/>
      <c r="AB32" s="174"/>
      <c r="AC32" s="174"/>
      <c r="AD32" s="174"/>
      <c r="AE32" s="174"/>
      <c r="AF32" s="174"/>
      <c r="AG32" s="174"/>
      <c r="AH32" s="174"/>
      <c r="AI32" s="174"/>
      <c r="AJ32" s="174"/>
      <c r="AK32" s="174"/>
      <c r="AL32" s="174"/>
      <c r="AM32" s="174"/>
      <c r="AN32" s="174"/>
      <c r="AO32" s="174"/>
      <c r="AP32" s="174"/>
      <c r="AQ32" s="174"/>
      <c r="AR32" s="174"/>
      <c r="AS32" s="174"/>
      <c r="AT32" s="174"/>
      <c r="AU32" s="174"/>
      <c r="AV32" s="174"/>
      <c r="AW32" s="174"/>
      <c r="AX32" s="174"/>
      <c r="AY32" s="174"/>
      <c r="AZ32" s="174"/>
      <c r="BA32" s="174"/>
      <c r="BB32" s="174"/>
      <c r="BC32" s="174"/>
      <c r="BD32" s="174"/>
      <c r="BE32" s="174"/>
      <c r="BF32" s="174"/>
      <c r="BG32" s="174"/>
      <c r="BH32" s="175"/>
      <c r="BI32" s="166"/>
      <c r="BJ32" s="167"/>
      <c r="BK32" s="168"/>
      <c r="BL32" s="56"/>
      <c r="BM32" s="168"/>
      <c r="BN32" s="169"/>
      <c r="BO32" s="168"/>
      <c r="BP32" s="168"/>
      <c r="BQ32" s="168"/>
      <c r="BR32" s="207"/>
      <c r="BS32" s="168"/>
      <c r="BT32" s="168"/>
      <c r="BU32" s="167"/>
      <c r="BV32" s="170"/>
      <c r="BW32" s="48"/>
      <c r="BX32" s="168"/>
      <c r="BY32" s="168"/>
      <c r="BZ32" s="48"/>
      <c r="CA32" s="48"/>
      <c r="CB32" s="48"/>
      <c r="CC32" s="167"/>
      <c r="CD32" s="137"/>
      <c r="CE32" s="171"/>
      <c r="CF32" s="172"/>
      <c r="CG32" s="165"/>
    </row>
    <row r="33" spans="1:85" s="138" customFormat="1" ht="15" customHeight="1">
      <c r="A33" s="48"/>
      <c r="B33" s="29"/>
      <c r="C33" s="168"/>
      <c r="D33" s="48"/>
      <c r="E33" s="29"/>
      <c r="F33" s="48"/>
      <c r="G33" s="48"/>
      <c r="H33" s="48"/>
      <c r="I33" s="48"/>
      <c r="J33" s="170"/>
      <c r="K33" s="170"/>
      <c r="L33" s="170"/>
      <c r="M33" s="170"/>
      <c r="N33" s="170"/>
      <c r="O33" s="170"/>
      <c r="P33" s="48"/>
      <c r="Q33" s="48"/>
      <c r="R33" s="170"/>
      <c r="S33" s="170"/>
      <c r="T33" s="170"/>
      <c r="U33" s="170"/>
      <c r="V33" s="170"/>
      <c r="W33" s="170"/>
      <c r="X33" s="173"/>
      <c r="Y33" s="167"/>
      <c r="Z33" s="48"/>
      <c r="AA33" s="48"/>
      <c r="AB33" s="174"/>
      <c r="AC33" s="174"/>
      <c r="AD33" s="174"/>
      <c r="AE33" s="174"/>
      <c r="AF33" s="174"/>
      <c r="AG33" s="174"/>
      <c r="AH33" s="174"/>
      <c r="AI33" s="174"/>
      <c r="AJ33" s="174"/>
      <c r="AK33" s="174"/>
      <c r="AL33" s="174"/>
      <c r="AM33" s="174"/>
      <c r="AN33" s="174"/>
      <c r="AO33" s="174"/>
      <c r="AP33" s="174"/>
      <c r="AQ33" s="174"/>
      <c r="AR33" s="174"/>
      <c r="AS33" s="174"/>
      <c r="AT33" s="174"/>
      <c r="AU33" s="174"/>
      <c r="AV33" s="174"/>
      <c r="AW33" s="174"/>
      <c r="AX33" s="174"/>
      <c r="AY33" s="174"/>
      <c r="AZ33" s="174"/>
      <c r="BA33" s="174"/>
      <c r="BB33" s="174"/>
      <c r="BC33" s="174"/>
      <c r="BD33" s="174"/>
      <c r="BE33" s="174"/>
      <c r="BF33" s="174"/>
      <c r="BG33" s="174"/>
      <c r="BH33" s="175"/>
      <c r="BI33" s="166"/>
      <c r="BJ33" s="167"/>
      <c r="BK33" s="168"/>
      <c r="BL33" s="56"/>
      <c r="BM33" s="168"/>
      <c r="BN33" s="169"/>
      <c r="BO33" s="168"/>
      <c r="BP33" s="168"/>
      <c r="BQ33" s="168"/>
      <c r="BR33" s="207"/>
      <c r="BS33" s="168"/>
      <c r="BT33" s="168"/>
      <c r="BU33" s="167"/>
      <c r="BV33" s="170"/>
      <c r="BW33" s="48"/>
      <c r="BX33" s="168"/>
      <c r="BY33" s="168"/>
      <c r="BZ33" s="48"/>
      <c r="CA33" s="48"/>
      <c r="CB33" s="48"/>
      <c r="CC33" s="167"/>
      <c r="CD33" s="137"/>
      <c r="CE33" s="171"/>
      <c r="CF33" s="172"/>
      <c r="CG33" s="165"/>
    </row>
    <row r="34" spans="1:85" s="138" customFormat="1" ht="15" customHeight="1">
      <c r="A34" s="48"/>
      <c r="B34" s="29"/>
      <c r="C34" s="168"/>
      <c r="D34" s="48"/>
      <c r="E34" s="29"/>
      <c r="F34" s="48"/>
      <c r="G34" s="48"/>
      <c r="H34" s="48"/>
      <c r="I34" s="48"/>
      <c r="J34" s="170"/>
      <c r="K34" s="170"/>
      <c r="L34" s="170"/>
      <c r="M34" s="170"/>
      <c r="N34" s="170"/>
      <c r="O34" s="170"/>
      <c r="P34" s="48"/>
      <c r="Q34" s="48"/>
      <c r="R34" s="170"/>
      <c r="S34" s="170"/>
      <c r="T34" s="170"/>
      <c r="U34" s="170"/>
      <c r="V34" s="170"/>
      <c r="W34" s="170"/>
      <c r="X34" s="173"/>
      <c r="Y34" s="167"/>
      <c r="Z34" s="48"/>
      <c r="AA34" s="48"/>
      <c r="AB34" s="174"/>
      <c r="AC34" s="174"/>
      <c r="AD34" s="174"/>
      <c r="AE34" s="174"/>
      <c r="AF34" s="174"/>
      <c r="AG34" s="174"/>
      <c r="AH34" s="174"/>
      <c r="AI34" s="174"/>
      <c r="AJ34" s="174"/>
      <c r="AK34" s="174"/>
      <c r="AL34" s="174"/>
      <c r="AM34" s="174"/>
      <c r="AN34" s="174"/>
      <c r="AO34" s="174"/>
      <c r="AP34" s="174"/>
      <c r="AQ34" s="174"/>
      <c r="AR34" s="174"/>
      <c r="AS34" s="174"/>
      <c r="AT34" s="174"/>
      <c r="AU34" s="174"/>
      <c r="AV34" s="174"/>
      <c r="AW34" s="174"/>
      <c r="AX34" s="174"/>
      <c r="AY34" s="174"/>
      <c r="AZ34" s="174"/>
      <c r="BA34" s="174"/>
      <c r="BB34" s="174"/>
      <c r="BC34" s="174"/>
      <c r="BD34" s="174"/>
      <c r="BE34" s="174"/>
      <c r="BF34" s="174"/>
      <c r="BG34" s="174"/>
      <c r="BH34" s="175"/>
      <c r="BI34" s="166"/>
      <c r="BJ34" s="167"/>
      <c r="BK34" s="168"/>
      <c r="BL34" s="56"/>
      <c r="BM34" s="168"/>
      <c r="BN34" s="169"/>
      <c r="BO34" s="168"/>
      <c r="BP34" s="168"/>
      <c r="BQ34" s="168"/>
      <c r="BR34" s="207"/>
      <c r="BS34" s="168"/>
      <c r="BT34" s="168"/>
      <c r="BU34" s="167"/>
      <c r="BV34" s="170"/>
      <c r="BW34" s="48"/>
      <c r="BX34" s="168"/>
      <c r="BY34" s="168"/>
      <c r="BZ34" s="48"/>
      <c r="CA34" s="48"/>
      <c r="CB34" s="48"/>
      <c r="CC34" s="167"/>
      <c r="CD34" s="137"/>
      <c r="CE34" s="171"/>
      <c r="CF34" s="172"/>
      <c r="CG34" s="165"/>
    </row>
    <row r="35" spans="1:85" s="138" customFormat="1" ht="15.6">
      <c r="C35" s="185"/>
      <c r="X35" s="186"/>
      <c r="BL35" s="187"/>
    </row>
    <row r="36" spans="1:85" s="138" customFormat="1" ht="15.6">
      <c r="C36" s="185"/>
      <c r="X36" s="186"/>
      <c r="BL36" s="187"/>
    </row>
    <row r="37" spans="1:85" s="138" customFormat="1" ht="15.6">
      <c r="C37" s="185"/>
      <c r="X37" s="186"/>
      <c r="BL37" s="187"/>
    </row>
    <row r="38" spans="1:85" s="138" customFormat="1" ht="15.6">
      <c r="C38" s="185"/>
      <c r="X38" s="186"/>
      <c r="BL38" s="187"/>
    </row>
  </sheetData>
  <autoFilter ref="A26:CH26" xr:uid="{0B3BE0A8-94D9-4943-B51D-CC52050FCF99}"/>
  <printOptions horizontalCentered="1"/>
  <pageMargins left="0.5" right="0.5" top="0.5" bottom="0.5" header="0.3" footer="0.3"/>
  <pageSetup scale="25" fitToHeight="0" orientation="landscape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B8C0B-5B1A-4EFD-B9E1-45CEDA61C5F2}">
  <sheetPr>
    <tabColor theme="2" tint="-0.249977111117893"/>
    <pageSetUpPr fitToPage="1"/>
  </sheetPr>
  <dimension ref="A1:CH38"/>
  <sheetViews>
    <sheetView zoomScale="80" zoomScaleNormal="80" workbookViewId="0">
      <selection activeCell="A27" sqref="A27:XFD27"/>
    </sheetView>
  </sheetViews>
  <sheetFormatPr defaultColWidth="8.85546875" defaultRowHeight="14.45"/>
  <cols>
    <col min="1" max="1" width="29.140625" style="136" customWidth="1"/>
    <col min="2" max="2" width="7.28515625" style="136" hidden="1" customWidth="1"/>
    <col min="3" max="3" width="16.42578125" style="188" bestFit="1" customWidth="1"/>
    <col min="4" max="4" width="6.7109375" style="136" bestFit="1" customWidth="1"/>
    <col min="5" max="5" width="9.28515625" style="136" customWidth="1"/>
    <col min="6" max="6" width="11.28515625" style="136" bestFit="1" customWidth="1"/>
    <col min="7" max="7" width="12.7109375" style="136" bestFit="1" customWidth="1"/>
    <col min="8" max="15" width="0.85546875" style="136" hidden="1" customWidth="1"/>
    <col min="16" max="16" width="3.42578125" style="136" hidden="1" customWidth="1"/>
    <col min="17" max="17" width="22.140625" style="136" customWidth="1"/>
    <col min="18" max="21" width="2.85546875" style="136" hidden="1" customWidth="1"/>
    <col min="22" max="22" width="19.85546875" style="136" hidden="1" customWidth="1"/>
    <col min="23" max="23" width="1.42578125" style="136" hidden="1" customWidth="1"/>
    <col min="24" max="24" width="22.140625" style="189" customWidth="1"/>
    <col min="25" max="25" width="5.140625" style="136" hidden="1" customWidth="1"/>
    <col min="26" max="26" width="19" style="136" hidden="1" customWidth="1"/>
    <col min="27" max="27" width="14.140625" style="136" hidden="1" customWidth="1"/>
    <col min="28" max="28" width="7.42578125" style="136" hidden="1" customWidth="1"/>
    <col min="29" max="29" width="1.7109375" style="136" hidden="1" customWidth="1"/>
    <col min="30" max="30" width="7.42578125" style="136" hidden="1" customWidth="1"/>
    <col min="31" max="34" width="1" style="136" hidden="1" customWidth="1"/>
    <col min="35" max="35" width="9.42578125" style="136" hidden="1" customWidth="1"/>
    <col min="36" max="36" width="10.28515625" style="136" hidden="1" customWidth="1"/>
    <col min="37" max="37" width="18.140625" style="136" customWidth="1"/>
    <col min="38" max="38" width="10.42578125" style="136" hidden="1" customWidth="1"/>
    <col min="39" max="40" width="1.42578125" style="136" hidden="1" customWidth="1"/>
    <col min="41" max="58" width="2.7109375" style="136" hidden="1" customWidth="1"/>
    <col min="59" max="59" width="10.140625" style="136" hidden="1" customWidth="1"/>
    <col min="60" max="60" width="14.7109375" style="136" bestFit="1" customWidth="1"/>
    <col min="61" max="61" width="9.42578125" style="136" bestFit="1" customWidth="1"/>
    <col min="62" max="62" width="12.42578125" style="136" bestFit="1" customWidth="1"/>
    <col min="63" max="63" width="17.140625" style="136" bestFit="1" customWidth="1"/>
    <col min="64" max="64" width="32.28515625" style="190" bestFit="1" customWidth="1"/>
    <col min="65" max="65" width="18" style="136" bestFit="1" customWidth="1"/>
    <col min="66" max="66" width="8.85546875" style="136"/>
    <col min="67" max="67" width="0.5703125" style="136" customWidth="1"/>
    <col min="68" max="68" width="10.7109375" style="136" bestFit="1" customWidth="1"/>
    <col min="69" max="69" width="1" style="136" customWidth="1"/>
    <col min="70" max="70" width="19.5703125" style="136" bestFit="1" customWidth="1"/>
    <col min="71" max="74" width="0.7109375" style="136" customWidth="1"/>
    <col min="75" max="80" width="0.5703125" style="136" customWidth="1"/>
    <col min="81" max="81" width="13.7109375" style="136" bestFit="1" customWidth="1"/>
    <col min="82" max="82" width="14.7109375" style="136" bestFit="1" customWidth="1"/>
    <col min="83" max="83" width="8.85546875" style="136"/>
    <col min="84" max="84" width="17.140625" style="136" bestFit="1" customWidth="1"/>
    <col min="85" max="16384" width="8.85546875" style="136"/>
  </cols>
  <sheetData>
    <row r="1" spans="1:85" ht="25.9">
      <c r="A1" s="132" t="s">
        <v>25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3"/>
      <c r="R1" s="132"/>
      <c r="S1" s="132"/>
      <c r="T1" s="132"/>
      <c r="U1" s="132"/>
      <c r="V1" s="132"/>
      <c r="W1" s="132"/>
      <c r="X1" s="134"/>
      <c r="Y1" s="6"/>
      <c r="Z1" s="6"/>
      <c r="AA1" s="2"/>
      <c r="AB1" s="26"/>
      <c r="AC1" s="26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7"/>
      <c r="BI1" s="3"/>
      <c r="BJ1" s="8"/>
      <c r="BK1" s="3"/>
      <c r="BL1" s="40"/>
      <c r="BM1" s="28"/>
      <c r="BN1" s="5"/>
      <c r="BO1" s="3"/>
      <c r="BP1" s="3"/>
      <c r="BQ1" s="3"/>
      <c r="BR1" s="200"/>
      <c r="BS1" s="3"/>
      <c r="BT1" s="5"/>
      <c r="BU1" s="8"/>
      <c r="BV1" s="5"/>
      <c r="BW1" s="5"/>
      <c r="BX1" s="3"/>
      <c r="BY1" s="5"/>
      <c r="BZ1" s="5"/>
      <c r="CA1" s="5"/>
      <c r="CB1" s="5"/>
      <c r="CC1" s="5"/>
      <c r="CD1" s="135"/>
      <c r="CE1" s="5"/>
      <c r="CF1" s="5"/>
      <c r="CG1" s="5"/>
    </row>
    <row r="2" spans="1:85" s="138" customFormat="1" ht="15" customHeight="1">
      <c r="A2" s="43" t="s">
        <v>26</v>
      </c>
      <c r="B2" s="44"/>
      <c r="C2" s="46" t="s">
        <v>401</v>
      </c>
      <c r="D2" s="44"/>
      <c r="E2" s="44"/>
      <c r="F2" s="44"/>
      <c r="G2" s="29"/>
      <c r="H2" s="29"/>
      <c r="I2" s="29"/>
      <c r="J2" s="29"/>
      <c r="K2" s="29"/>
      <c r="L2" s="29"/>
      <c r="M2" s="29"/>
      <c r="N2" s="29"/>
      <c r="O2" s="29"/>
      <c r="P2" s="29"/>
      <c r="Q2" s="137"/>
      <c r="R2" s="30"/>
      <c r="S2" s="30"/>
      <c r="T2" s="30"/>
      <c r="U2" s="30"/>
      <c r="V2" s="30"/>
      <c r="W2" s="30"/>
      <c r="X2" s="39"/>
      <c r="Y2" s="30"/>
      <c r="Z2" s="30"/>
      <c r="AA2" s="31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3"/>
      <c r="BI2" s="34"/>
      <c r="BJ2" s="35"/>
      <c r="BK2" s="34"/>
      <c r="BL2" s="41"/>
      <c r="BM2" s="36"/>
      <c r="BN2" s="37"/>
      <c r="BO2" s="34"/>
      <c r="BP2" s="34"/>
      <c r="BQ2" s="34"/>
      <c r="BR2" s="205"/>
      <c r="BS2" s="34"/>
      <c r="BT2" s="37"/>
      <c r="BU2" s="35"/>
      <c r="BV2" s="37"/>
      <c r="BW2" s="37"/>
      <c r="BX2" s="34"/>
      <c r="BY2" s="37"/>
      <c r="BZ2" s="37"/>
      <c r="CA2" s="37"/>
      <c r="CB2" s="37"/>
      <c r="CC2" s="37"/>
      <c r="CD2" s="137"/>
      <c r="CE2" s="37"/>
      <c r="CF2" s="37"/>
      <c r="CG2" s="37"/>
    </row>
    <row r="3" spans="1:85" s="138" customFormat="1" ht="15" customHeight="1">
      <c r="A3" s="47" t="s">
        <v>27</v>
      </c>
      <c r="B3" s="29"/>
      <c r="C3" s="46" t="s">
        <v>387</v>
      </c>
      <c r="D3" s="48"/>
      <c r="E3" s="48"/>
      <c r="F3" s="48"/>
      <c r="G3" s="29"/>
      <c r="H3" s="29"/>
      <c r="I3" s="29"/>
      <c r="J3" s="29"/>
      <c r="K3" s="29"/>
      <c r="L3" s="29"/>
      <c r="M3" s="29"/>
      <c r="N3" s="29"/>
      <c r="O3" s="29"/>
      <c r="P3" s="29"/>
      <c r="Q3" s="137"/>
      <c r="R3" s="30"/>
      <c r="S3" s="30"/>
      <c r="T3" s="30"/>
      <c r="U3" s="30"/>
      <c r="V3" s="30"/>
      <c r="W3" s="30"/>
      <c r="X3" s="39"/>
      <c r="Y3" s="30"/>
      <c r="Z3" s="30"/>
      <c r="AA3" s="31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3"/>
      <c r="BI3" s="34"/>
      <c r="BJ3" s="35"/>
      <c r="BK3" s="34"/>
      <c r="BL3" s="41"/>
      <c r="BM3" s="36"/>
      <c r="BN3" s="37"/>
      <c r="BO3" s="34"/>
      <c r="BP3" s="34"/>
      <c r="BQ3" s="34"/>
      <c r="BR3" s="205"/>
      <c r="BS3" s="34"/>
      <c r="BT3" s="37"/>
      <c r="BU3" s="35"/>
      <c r="BV3" s="37"/>
      <c r="BW3" s="37"/>
      <c r="BX3" s="34"/>
      <c r="BY3" s="37"/>
      <c r="BZ3" s="37"/>
      <c r="CA3" s="37"/>
      <c r="CB3" s="37"/>
      <c r="CC3" s="37"/>
      <c r="CD3" s="137"/>
      <c r="CE3" s="37"/>
      <c r="CF3" s="37"/>
      <c r="CG3" s="37"/>
    </row>
    <row r="4" spans="1:85" s="138" customFormat="1" ht="15" customHeight="1">
      <c r="A4" s="43" t="s">
        <v>29</v>
      </c>
      <c r="B4" s="45"/>
      <c r="C4" s="46"/>
      <c r="D4" s="29"/>
      <c r="E4" s="29"/>
      <c r="F4" s="29"/>
      <c r="G4" s="29"/>
      <c r="H4" s="29"/>
      <c r="I4" s="29"/>
      <c r="J4" s="44"/>
      <c r="K4" s="44"/>
      <c r="L4" s="44"/>
      <c r="M4" s="44"/>
      <c r="N4" s="44"/>
      <c r="O4" s="44"/>
      <c r="P4" s="44"/>
      <c r="Q4" s="137"/>
      <c r="R4" s="49"/>
      <c r="S4" s="49"/>
      <c r="T4" s="49"/>
      <c r="U4" s="49"/>
      <c r="V4" s="49"/>
      <c r="W4" s="49"/>
      <c r="X4" s="39"/>
      <c r="Y4" s="49"/>
      <c r="Z4" s="49"/>
      <c r="AA4" s="31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50"/>
      <c r="BI4" s="34"/>
      <c r="BJ4" s="35"/>
      <c r="BK4" s="34"/>
      <c r="BL4" s="41"/>
      <c r="BM4" s="36"/>
      <c r="BN4" s="37"/>
      <c r="BO4" s="34"/>
      <c r="BP4" s="34"/>
      <c r="BQ4" s="34"/>
      <c r="BR4" s="205"/>
      <c r="BS4" s="34"/>
      <c r="BT4" s="37"/>
      <c r="BU4" s="35"/>
      <c r="BV4" s="37"/>
      <c r="BW4" s="37"/>
      <c r="BX4" s="34"/>
      <c r="BY4" s="37"/>
      <c r="BZ4" s="37"/>
      <c r="CA4" s="37"/>
      <c r="CB4" s="37"/>
      <c r="CC4" s="37"/>
      <c r="CD4" s="137"/>
      <c r="CE4" s="37"/>
      <c r="CF4" s="37"/>
      <c r="CG4" s="37"/>
    </row>
    <row r="5" spans="1:85" s="138" customFormat="1" ht="15" customHeight="1">
      <c r="A5" s="43" t="s">
        <v>30</v>
      </c>
      <c r="B5" s="45"/>
      <c r="C5" s="139">
        <v>1</v>
      </c>
      <c r="D5" s="29"/>
      <c r="E5" s="29"/>
      <c r="F5" s="29"/>
      <c r="G5" s="29"/>
      <c r="H5" s="29"/>
      <c r="I5" s="29"/>
      <c r="J5" s="44"/>
      <c r="K5" s="44"/>
      <c r="L5" s="44"/>
      <c r="M5" s="44"/>
      <c r="N5" s="44"/>
      <c r="O5" s="44"/>
      <c r="P5" s="44"/>
      <c r="Q5" s="137"/>
      <c r="R5" s="49"/>
      <c r="S5" s="49"/>
      <c r="T5" s="49"/>
      <c r="U5" s="49"/>
      <c r="V5" s="49"/>
      <c r="W5" s="49"/>
      <c r="X5" s="39"/>
      <c r="Y5" s="49"/>
      <c r="Z5" s="49"/>
      <c r="AA5" s="31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50"/>
      <c r="BI5" s="34"/>
      <c r="BJ5" s="35"/>
      <c r="BK5" s="34"/>
      <c r="BL5" s="41"/>
      <c r="BM5" s="36"/>
      <c r="BN5" s="37"/>
      <c r="BO5" s="34"/>
      <c r="BP5" s="34"/>
      <c r="BQ5" s="34"/>
      <c r="BR5" s="205"/>
      <c r="BS5" s="34"/>
      <c r="BT5" s="37"/>
      <c r="BU5" s="35"/>
      <c r="BV5" s="37"/>
      <c r="BW5" s="37"/>
      <c r="BX5" s="34"/>
      <c r="BY5" s="37"/>
      <c r="BZ5" s="37"/>
      <c r="CA5" s="37"/>
      <c r="CB5" s="37"/>
      <c r="CC5" s="37"/>
      <c r="CD5" s="137"/>
      <c r="CE5" s="37"/>
      <c r="CF5" s="37"/>
      <c r="CG5" s="37"/>
    </row>
    <row r="6" spans="1:85" s="138" customFormat="1" ht="15" customHeight="1">
      <c r="A6" s="43"/>
      <c r="B6" s="45"/>
      <c r="C6" s="139"/>
      <c r="D6" s="29"/>
      <c r="E6" s="29"/>
      <c r="F6" s="29"/>
      <c r="G6" s="29"/>
      <c r="H6" s="29"/>
      <c r="I6" s="29"/>
      <c r="J6" s="44"/>
      <c r="K6" s="44"/>
      <c r="L6" s="44"/>
      <c r="M6" s="44"/>
      <c r="N6" s="44"/>
      <c r="O6" s="44"/>
      <c r="P6" s="44"/>
      <c r="Q6" s="137"/>
      <c r="R6" s="49"/>
      <c r="S6" s="49"/>
      <c r="T6" s="49"/>
      <c r="U6" s="49"/>
      <c r="V6" s="49"/>
      <c r="W6" s="49"/>
      <c r="X6" s="39"/>
      <c r="Y6" s="49"/>
      <c r="Z6" s="49"/>
      <c r="AA6" s="31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50"/>
      <c r="BI6" s="34"/>
      <c r="BJ6" s="35"/>
      <c r="BK6" s="34"/>
      <c r="BL6" s="41"/>
      <c r="BM6" s="36"/>
      <c r="BN6" s="37"/>
      <c r="BO6" s="34"/>
      <c r="BP6" s="34"/>
      <c r="BQ6" s="34"/>
      <c r="BR6" s="205"/>
      <c r="BS6" s="34"/>
      <c r="BT6" s="37"/>
      <c r="BU6" s="35"/>
      <c r="BV6" s="37"/>
      <c r="BW6" s="37"/>
      <c r="BX6" s="34"/>
      <c r="BY6" s="37"/>
      <c r="BZ6" s="37"/>
      <c r="CA6" s="37"/>
      <c r="CB6" s="37"/>
      <c r="CC6" s="37"/>
      <c r="CD6" s="137"/>
      <c r="CE6" s="37"/>
      <c r="CF6" s="37"/>
      <c r="CG6" s="37"/>
    </row>
    <row r="7" spans="1:85" s="138" customFormat="1" ht="15" customHeight="1" thickBot="1">
      <c r="A7" s="43"/>
      <c r="B7" s="45"/>
      <c r="C7" s="139"/>
      <c r="D7" s="29"/>
      <c r="E7" s="29"/>
      <c r="F7" s="29"/>
      <c r="G7" s="29"/>
      <c r="H7" s="29"/>
      <c r="I7" s="29"/>
      <c r="J7" s="44"/>
      <c r="K7" s="44"/>
      <c r="L7" s="44"/>
      <c r="M7" s="44"/>
      <c r="N7" s="44"/>
      <c r="O7" s="44"/>
      <c r="P7" s="44"/>
      <c r="Q7" s="137"/>
      <c r="R7" s="49"/>
      <c r="S7" s="49"/>
      <c r="T7" s="49"/>
      <c r="U7" s="49"/>
      <c r="V7" s="49"/>
      <c r="W7" s="49"/>
      <c r="X7" s="39"/>
      <c r="Y7" s="49"/>
      <c r="Z7" s="49"/>
      <c r="AA7" s="31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50"/>
      <c r="BI7" s="34"/>
      <c r="BJ7" s="35"/>
      <c r="BK7" s="34"/>
      <c r="BL7" s="41"/>
      <c r="BM7" s="36"/>
      <c r="BN7" s="37"/>
      <c r="BO7" s="34"/>
      <c r="BP7" s="34"/>
      <c r="BQ7" s="34"/>
      <c r="BR7" s="205"/>
      <c r="BS7" s="34"/>
      <c r="BT7" s="37"/>
      <c r="BU7" s="35"/>
      <c r="BV7" s="37"/>
      <c r="BW7" s="37"/>
      <c r="BX7" s="34"/>
      <c r="BY7" s="37"/>
      <c r="BZ7" s="37"/>
      <c r="CA7" s="37"/>
      <c r="CB7" s="37"/>
      <c r="CC7" s="37"/>
      <c r="CD7" s="137"/>
      <c r="CE7" s="37"/>
      <c r="CF7" s="37"/>
      <c r="CG7" s="37"/>
    </row>
    <row r="8" spans="1:85" s="138" customFormat="1" ht="15" customHeight="1" thickBot="1">
      <c r="A8" s="140" t="s">
        <v>31</v>
      </c>
      <c r="B8" s="141"/>
      <c r="C8" s="142">
        <v>27.52</v>
      </c>
      <c r="D8" s="29"/>
      <c r="E8" s="29"/>
      <c r="F8" s="29"/>
      <c r="G8" s="29"/>
      <c r="H8" s="29"/>
      <c r="I8" s="29"/>
      <c r="J8" s="44"/>
      <c r="K8" s="44"/>
      <c r="L8" s="44"/>
      <c r="M8" s="44"/>
      <c r="N8" s="44"/>
      <c r="O8" s="44"/>
      <c r="P8" s="44"/>
      <c r="Q8" s="137"/>
      <c r="R8" s="49"/>
      <c r="S8" s="49"/>
      <c r="T8" s="49"/>
      <c r="U8" s="49"/>
      <c r="V8" s="49"/>
      <c r="W8" s="49"/>
      <c r="X8" s="39"/>
      <c r="Y8" s="49"/>
      <c r="Z8" s="49"/>
      <c r="AA8" s="31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50"/>
      <c r="BI8" s="34"/>
      <c r="BJ8" s="35"/>
      <c r="BK8" s="34"/>
      <c r="BL8" s="41"/>
      <c r="BM8" s="36"/>
      <c r="BN8" s="37"/>
      <c r="BO8" s="34"/>
      <c r="BP8" s="34"/>
      <c r="BQ8" s="34"/>
      <c r="BR8" s="205"/>
      <c r="BS8" s="34"/>
      <c r="BT8" s="37"/>
      <c r="BU8" s="35"/>
      <c r="BV8" s="37"/>
      <c r="BW8" s="37"/>
      <c r="BX8" s="34"/>
      <c r="BY8" s="37"/>
      <c r="BZ8" s="37"/>
      <c r="CA8" s="37"/>
      <c r="CB8" s="37"/>
      <c r="CC8" s="37"/>
      <c r="CD8" s="137"/>
      <c r="CE8" s="37"/>
      <c r="CF8" s="37"/>
      <c r="CG8" s="37"/>
    </row>
    <row r="9" spans="1:85" s="138" customFormat="1" ht="15" customHeight="1">
      <c r="A9" s="137"/>
      <c r="B9" s="45"/>
      <c r="C9" s="49"/>
      <c r="D9" s="29"/>
      <c r="E9" s="29"/>
      <c r="F9" s="29"/>
      <c r="G9" s="29"/>
      <c r="H9" s="29"/>
      <c r="I9" s="29"/>
      <c r="J9" s="44"/>
      <c r="K9" s="44"/>
      <c r="L9" s="44"/>
      <c r="M9" s="44"/>
      <c r="N9" s="44"/>
      <c r="O9" s="44"/>
      <c r="P9" s="44"/>
      <c r="Q9" s="137"/>
      <c r="R9" s="143"/>
      <c r="S9" s="143"/>
      <c r="T9" s="143"/>
      <c r="U9" s="143"/>
      <c r="V9" s="143"/>
      <c r="W9" s="143"/>
      <c r="X9" s="144"/>
      <c r="Y9" s="49"/>
      <c r="Z9" s="49"/>
      <c r="AA9" s="31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50"/>
      <c r="BI9" s="34"/>
      <c r="BJ9" s="35"/>
      <c r="BK9" s="34"/>
      <c r="BL9" s="41"/>
      <c r="BM9" s="36"/>
      <c r="BN9" s="37"/>
      <c r="BO9" s="34"/>
      <c r="BP9" s="34"/>
      <c r="BQ9" s="34"/>
      <c r="BR9" s="205"/>
      <c r="BS9" s="34"/>
      <c r="BT9" s="37"/>
      <c r="BU9" s="35"/>
      <c r="BV9" s="37"/>
      <c r="BW9" s="37"/>
      <c r="BX9" s="34"/>
      <c r="BY9" s="37"/>
      <c r="BZ9" s="37"/>
      <c r="CA9" s="37"/>
      <c r="CB9" s="37"/>
      <c r="CC9" s="37"/>
      <c r="CD9" s="137"/>
      <c r="CE9" s="37"/>
      <c r="CF9" s="37"/>
      <c r="CG9" s="37"/>
    </row>
    <row r="10" spans="1:85" s="138" customFormat="1" ht="15" customHeight="1">
      <c r="A10" s="137" t="s">
        <v>388</v>
      </c>
      <c r="B10" s="45"/>
      <c r="C10" s="49">
        <v>0</v>
      </c>
      <c r="D10" s="29"/>
      <c r="E10" s="29"/>
      <c r="F10" s="29"/>
      <c r="G10" s="29"/>
      <c r="H10" s="29"/>
      <c r="I10" s="29"/>
      <c r="J10" s="44"/>
      <c r="K10" s="44"/>
      <c r="L10" s="44"/>
      <c r="M10" s="44"/>
      <c r="N10" s="44"/>
      <c r="O10" s="44"/>
      <c r="P10" s="44"/>
      <c r="Q10" s="137"/>
      <c r="R10" s="143"/>
      <c r="S10" s="143"/>
      <c r="T10" s="143"/>
      <c r="U10" s="143"/>
      <c r="V10" s="143"/>
      <c r="W10" s="143"/>
      <c r="X10" s="144"/>
      <c r="Y10" s="49"/>
      <c r="Z10" s="49"/>
      <c r="AA10" s="31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50"/>
      <c r="BI10" s="34"/>
      <c r="BJ10" s="35"/>
      <c r="BK10" s="34"/>
      <c r="BL10" s="41"/>
      <c r="BM10" s="36"/>
      <c r="BN10" s="37"/>
      <c r="BO10" s="34"/>
      <c r="BP10" s="34"/>
      <c r="BQ10" s="34"/>
      <c r="BR10" s="205"/>
      <c r="BS10" s="34"/>
      <c r="BT10" s="37"/>
      <c r="BU10" s="35"/>
      <c r="BV10" s="37"/>
      <c r="BW10" s="37"/>
      <c r="BX10" s="34"/>
      <c r="BY10" s="37"/>
      <c r="BZ10" s="37"/>
      <c r="CA10" s="37"/>
      <c r="CB10" s="37"/>
      <c r="CC10" s="37"/>
      <c r="CD10" s="137"/>
      <c r="CE10" s="37"/>
      <c r="CF10" s="37"/>
      <c r="CG10" s="37"/>
    </row>
    <row r="11" spans="1:85" s="138" customFormat="1" ht="15" customHeight="1">
      <c r="A11" s="137" t="s">
        <v>32</v>
      </c>
      <c r="B11" s="45"/>
      <c r="C11" s="49">
        <v>0</v>
      </c>
      <c r="D11" s="29"/>
      <c r="E11" s="29"/>
      <c r="F11" s="29"/>
      <c r="G11" s="29"/>
      <c r="H11" s="29"/>
      <c r="I11" s="29"/>
      <c r="J11" s="44"/>
      <c r="K11" s="44"/>
      <c r="L11" s="44"/>
      <c r="M11" s="44"/>
      <c r="N11" s="44"/>
      <c r="O11" s="44"/>
      <c r="P11" s="44"/>
      <c r="Q11" s="137"/>
      <c r="R11" s="145"/>
      <c r="S11" s="145"/>
      <c r="T11" s="145"/>
      <c r="U11" s="145"/>
      <c r="V11" s="145"/>
      <c r="W11" s="145"/>
      <c r="X11" s="144"/>
      <c r="Y11" s="49"/>
      <c r="Z11" s="49"/>
      <c r="AA11" s="31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50"/>
      <c r="BI11" s="34"/>
      <c r="BJ11" s="35"/>
      <c r="BK11" s="34"/>
      <c r="BL11" s="41"/>
      <c r="BM11" s="36"/>
      <c r="BN11" s="37"/>
      <c r="BO11" s="34"/>
      <c r="BP11" s="34"/>
      <c r="BQ11" s="34"/>
      <c r="BR11" s="205"/>
      <c r="BS11" s="34"/>
      <c r="BT11" s="37"/>
      <c r="BU11" s="35"/>
      <c r="BV11" s="37"/>
      <c r="BW11" s="37"/>
      <c r="BX11" s="34"/>
      <c r="BY11" s="37"/>
      <c r="BZ11" s="37"/>
      <c r="CA11" s="37"/>
      <c r="CB11" s="37"/>
      <c r="CC11" s="37"/>
      <c r="CD11" s="137"/>
      <c r="CE11" s="37"/>
      <c r="CF11" s="37"/>
      <c r="CG11" s="37"/>
    </row>
    <row r="12" spans="1:85" s="138" customFormat="1" ht="15" customHeight="1">
      <c r="A12" s="137" t="s">
        <v>33</v>
      </c>
      <c r="B12" s="45"/>
      <c r="C12" s="49">
        <v>0</v>
      </c>
      <c r="D12" s="29"/>
      <c r="E12" s="29"/>
      <c r="F12" s="29"/>
      <c r="G12" s="29"/>
      <c r="H12" s="29"/>
      <c r="I12" s="29"/>
      <c r="J12" s="44"/>
      <c r="K12" s="44"/>
      <c r="L12" s="44"/>
      <c r="M12" s="44"/>
      <c r="N12" s="44"/>
      <c r="O12" s="44"/>
      <c r="P12" s="44"/>
      <c r="Q12" s="137"/>
      <c r="R12" s="145"/>
      <c r="S12" s="145"/>
      <c r="T12" s="145"/>
      <c r="U12" s="145"/>
      <c r="V12" s="145"/>
      <c r="W12" s="145"/>
      <c r="X12" s="144"/>
      <c r="Y12" s="49"/>
      <c r="Z12" s="49"/>
      <c r="AA12" s="31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50"/>
      <c r="BI12" s="34"/>
      <c r="BJ12" s="35"/>
      <c r="BK12" s="34"/>
      <c r="BL12" s="41"/>
      <c r="BM12" s="36"/>
      <c r="BN12" s="37"/>
      <c r="BO12" s="34"/>
      <c r="BP12" s="34"/>
      <c r="BQ12" s="34"/>
      <c r="BR12" s="205"/>
      <c r="BS12" s="34"/>
      <c r="BT12" s="37"/>
      <c r="BU12" s="35"/>
      <c r="BV12" s="37"/>
      <c r="BW12" s="37"/>
      <c r="BX12" s="34"/>
      <c r="BY12" s="37"/>
      <c r="BZ12" s="37"/>
      <c r="CA12" s="37"/>
      <c r="CB12" s="37"/>
      <c r="CC12" s="37"/>
      <c r="CD12" s="137"/>
      <c r="CE12" s="37"/>
      <c r="CF12" s="37"/>
      <c r="CG12" s="37"/>
    </row>
    <row r="13" spans="1:85" s="138" customFormat="1" ht="15" customHeight="1">
      <c r="A13" s="137" t="s">
        <v>34</v>
      </c>
      <c r="B13" s="45"/>
      <c r="C13" s="49">
        <v>27.52</v>
      </c>
      <c r="D13" s="29"/>
      <c r="E13" s="29"/>
      <c r="F13" s="29"/>
      <c r="G13" s="29"/>
      <c r="H13" s="29"/>
      <c r="I13" s="29"/>
      <c r="J13" s="44"/>
      <c r="K13" s="44"/>
      <c r="L13" s="44"/>
      <c r="M13" s="44"/>
      <c r="N13" s="44"/>
      <c r="O13" s="44"/>
      <c r="P13" s="44"/>
      <c r="Q13" s="137"/>
      <c r="R13" s="143"/>
      <c r="S13" s="143"/>
      <c r="T13" s="143"/>
      <c r="U13" s="143"/>
      <c r="V13" s="143"/>
      <c r="W13" s="143"/>
      <c r="X13" s="144"/>
      <c r="Y13" s="49"/>
      <c r="Z13" s="49"/>
      <c r="AA13" s="31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50"/>
      <c r="BI13" s="34"/>
      <c r="BJ13" s="35"/>
      <c r="BK13" s="34"/>
      <c r="BL13" s="41"/>
      <c r="BM13" s="36"/>
      <c r="BN13" s="37"/>
      <c r="BO13" s="34"/>
      <c r="BP13" s="34"/>
      <c r="BQ13" s="34"/>
      <c r="BR13" s="205"/>
      <c r="BS13" s="34"/>
      <c r="BT13" s="37"/>
      <c r="BU13" s="35"/>
      <c r="BV13" s="37"/>
      <c r="BW13" s="37"/>
      <c r="BX13" s="34"/>
      <c r="BY13" s="37"/>
      <c r="BZ13" s="37"/>
      <c r="CA13" s="37"/>
      <c r="CB13" s="37"/>
      <c r="CC13" s="37"/>
      <c r="CD13" s="137"/>
      <c r="CE13" s="37"/>
      <c r="CF13" s="37"/>
      <c r="CG13" s="37"/>
    </row>
    <row r="14" spans="1:85" s="138" customFormat="1" ht="15" customHeight="1">
      <c r="A14" s="137" t="s">
        <v>35</v>
      </c>
      <c r="B14" s="45"/>
      <c r="C14" s="49">
        <v>0</v>
      </c>
      <c r="D14" s="29"/>
      <c r="E14" s="29"/>
      <c r="F14" s="29"/>
      <c r="G14" s="29"/>
      <c r="H14" s="29"/>
      <c r="I14" s="29"/>
      <c r="J14" s="44"/>
      <c r="K14" s="44"/>
      <c r="L14" s="44"/>
      <c r="M14" s="44"/>
      <c r="N14" s="44"/>
      <c r="O14" s="44"/>
      <c r="P14" s="44"/>
      <c r="Q14" s="137"/>
      <c r="R14" s="49"/>
      <c r="S14" s="49"/>
      <c r="T14" s="49"/>
      <c r="U14" s="49"/>
      <c r="V14" s="49"/>
      <c r="W14" s="49"/>
      <c r="X14" s="39"/>
      <c r="Y14" s="49"/>
      <c r="Z14" s="49"/>
      <c r="AA14" s="31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50"/>
      <c r="BI14" s="34"/>
      <c r="BJ14" s="35"/>
      <c r="BK14" s="34"/>
      <c r="BL14" s="41"/>
      <c r="BM14" s="36"/>
      <c r="BN14" s="37"/>
      <c r="BO14" s="34"/>
      <c r="BP14" s="34"/>
      <c r="BQ14" s="34"/>
      <c r="BR14" s="205"/>
      <c r="BS14" s="34"/>
      <c r="BT14" s="37"/>
      <c r="BU14" s="35"/>
      <c r="BV14" s="37"/>
      <c r="BW14" s="37"/>
      <c r="BX14" s="34"/>
      <c r="BY14" s="37"/>
      <c r="BZ14" s="37"/>
      <c r="CA14" s="37"/>
      <c r="CB14" s="37"/>
      <c r="CC14" s="37"/>
      <c r="CD14" s="137"/>
      <c r="CE14" s="37"/>
      <c r="CF14" s="37"/>
      <c r="CG14" s="37"/>
    </row>
    <row r="15" spans="1:85" s="138" customFormat="1" ht="15" customHeight="1">
      <c r="A15" s="137" t="s">
        <v>36</v>
      </c>
      <c r="B15" s="49"/>
      <c r="C15" s="49">
        <v>0</v>
      </c>
      <c r="D15" s="29"/>
      <c r="E15" s="29"/>
      <c r="F15" s="29"/>
      <c r="G15" s="29"/>
      <c r="H15" s="29"/>
      <c r="I15" s="29"/>
      <c r="J15" s="44"/>
      <c r="K15" s="44"/>
      <c r="L15" s="44"/>
      <c r="M15" s="44"/>
      <c r="N15" s="44"/>
      <c r="O15" s="44"/>
      <c r="P15" s="44"/>
      <c r="Q15" s="137"/>
      <c r="R15" s="49"/>
      <c r="S15" s="49"/>
      <c r="T15" s="49"/>
      <c r="U15" s="49"/>
      <c r="V15" s="49"/>
      <c r="W15" s="49"/>
      <c r="X15" s="39"/>
      <c r="Y15" s="49"/>
      <c r="Z15" s="49"/>
      <c r="AA15" s="31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50"/>
      <c r="BI15" s="34"/>
      <c r="BJ15" s="35"/>
      <c r="BK15" s="34"/>
      <c r="BL15" s="41"/>
      <c r="BM15" s="36"/>
      <c r="BN15" s="37"/>
      <c r="BO15" s="34"/>
      <c r="BP15" s="34"/>
      <c r="BQ15" s="34"/>
      <c r="BR15" s="205"/>
      <c r="BS15" s="34"/>
      <c r="BT15" s="37"/>
      <c r="BU15" s="35"/>
      <c r="BV15" s="37"/>
      <c r="BW15" s="37"/>
      <c r="BX15" s="34"/>
      <c r="BY15" s="37"/>
      <c r="BZ15" s="37"/>
      <c r="CA15" s="37"/>
      <c r="CB15" s="37"/>
      <c r="CC15" s="37"/>
      <c r="CD15" s="137"/>
      <c r="CE15" s="37"/>
      <c r="CF15" s="37"/>
      <c r="CG15" s="37"/>
    </row>
    <row r="16" spans="1:85" s="138" customFormat="1" ht="15" customHeight="1">
      <c r="A16" s="137" t="s">
        <v>37</v>
      </c>
      <c r="B16" s="49"/>
      <c r="C16" s="49">
        <v>0</v>
      </c>
      <c r="D16" s="29"/>
      <c r="E16" s="29"/>
      <c r="F16" s="29"/>
      <c r="G16" s="29"/>
      <c r="H16" s="29"/>
      <c r="I16" s="29"/>
      <c r="J16" s="44"/>
      <c r="K16" s="44"/>
      <c r="L16" s="44"/>
      <c r="M16" s="44"/>
      <c r="N16" s="44"/>
      <c r="O16" s="44"/>
      <c r="P16" s="44"/>
      <c r="Q16" s="137"/>
      <c r="R16" s="49"/>
      <c r="S16" s="49"/>
      <c r="T16" s="49"/>
      <c r="U16" s="49"/>
      <c r="V16" s="49"/>
      <c r="W16" s="49"/>
      <c r="X16" s="39"/>
      <c r="Y16" s="49"/>
      <c r="Z16" s="49"/>
      <c r="AA16" s="31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50"/>
      <c r="BI16" s="34"/>
      <c r="BJ16" s="35"/>
      <c r="BK16" s="34"/>
      <c r="BL16" s="41"/>
      <c r="BM16" s="36"/>
      <c r="BN16" s="37"/>
      <c r="BO16" s="34"/>
      <c r="BP16" s="34"/>
      <c r="BQ16" s="34"/>
      <c r="BR16" s="205"/>
      <c r="BS16" s="34"/>
      <c r="BT16" s="37"/>
      <c r="BU16" s="35"/>
      <c r="BV16" s="37"/>
      <c r="BW16" s="37"/>
      <c r="BX16" s="34"/>
      <c r="BY16" s="37"/>
      <c r="BZ16" s="37"/>
      <c r="CA16" s="37"/>
      <c r="CB16" s="37"/>
      <c r="CC16" s="37"/>
      <c r="CD16" s="137"/>
      <c r="CE16" s="37"/>
      <c r="CF16" s="37"/>
      <c r="CG16" s="37"/>
    </row>
    <row r="17" spans="1:86" s="138" customFormat="1" ht="15" customHeight="1">
      <c r="A17" s="137" t="s">
        <v>38</v>
      </c>
      <c r="B17" s="49"/>
      <c r="C17" s="49">
        <v>0</v>
      </c>
      <c r="D17" s="29"/>
      <c r="E17" s="29"/>
      <c r="F17" s="29"/>
      <c r="G17" s="29"/>
      <c r="H17" s="29"/>
      <c r="I17" s="29"/>
      <c r="J17" s="44"/>
      <c r="K17" s="44"/>
      <c r="L17" s="44"/>
      <c r="M17" s="44"/>
      <c r="N17" s="44"/>
      <c r="O17" s="44"/>
      <c r="P17" s="44"/>
      <c r="Q17" s="137"/>
      <c r="R17" s="49"/>
      <c r="S17" s="49"/>
      <c r="T17" s="49"/>
      <c r="U17" s="49"/>
      <c r="V17" s="49"/>
      <c r="W17" s="49"/>
      <c r="X17" s="39"/>
      <c r="Y17" s="49"/>
      <c r="Z17" s="49"/>
      <c r="AA17" s="31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50"/>
      <c r="BI17" s="34"/>
      <c r="BJ17" s="35"/>
      <c r="BK17" s="34"/>
      <c r="BL17" s="41"/>
      <c r="BM17" s="36"/>
      <c r="BN17" s="37"/>
      <c r="BO17" s="34"/>
      <c r="BP17" s="34"/>
      <c r="BQ17" s="34"/>
      <c r="BR17" s="205"/>
      <c r="BS17" s="34"/>
      <c r="BT17" s="37"/>
      <c r="BU17" s="35"/>
      <c r="BV17" s="37"/>
      <c r="BW17" s="37"/>
      <c r="BX17" s="34"/>
      <c r="BY17" s="37"/>
      <c r="BZ17" s="37"/>
      <c r="CA17" s="37"/>
      <c r="CB17" s="37"/>
      <c r="CC17" s="37"/>
      <c r="CD17" s="137"/>
      <c r="CE17" s="37"/>
      <c r="CF17" s="37"/>
      <c r="CG17" s="37"/>
    </row>
    <row r="18" spans="1:86" s="138" customFormat="1" ht="15" customHeight="1">
      <c r="A18" s="137" t="s">
        <v>39</v>
      </c>
      <c r="B18" s="49"/>
      <c r="C18" s="49">
        <v>0</v>
      </c>
      <c r="D18" s="29"/>
      <c r="E18" s="29"/>
      <c r="F18" s="29"/>
      <c r="G18" s="29"/>
      <c r="H18" s="29"/>
      <c r="I18" s="29"/>
      <c r="J18" s="44"/>
      <c r="K18" s="44"/>
      <c r="L18" s="44"/>
      <c r="M18" s="44"/>
      <c r="N18" s="44"/>
      <c r="O18" s="44"/>
      <c r="P18" s="44"/>
      <c r="Q18" s="137"/>
      <c r="R18" s="49"/>
      <c r="S18" s="49"/>
      <c r="T18" s="49"/>
      <c r="U18" s="49"/>
      <c r="V18" s="49"/>
      <c r="W18" s="49"/>
      <c r="X18" s="39"/>
      <c r="Y18" s="49"/>
      <c r="Z18" s="49"/>
      <c r="AA18" s="31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50"/>
      <c r="BI18" s="34"/>
      <c r="BJ18" s="35"/>
      <c r="BK18" s="34"/>
      <c r="BL18" s="41"/>
      <c r="BM18" s="36"/>
      <c r="BN18" s="37"/>
      <c r="BO18" s="34"/>
      <c r="BP18" s="34"/>
      <c r="BQ18" s="34"/>
      <c r="BR18" s="205"/>
      <c r="BS18" s="34"/>
      <c r="BT18" s="37"/>
      <c r="BU18" s="35"/>
      <c r="BV18" s="37"/>
      <c r="BW18" s="37"/>
      <c r="BX18" s="34"/>
      <c r="BY18" s="37"/>
      <c r="BZ18" s="37"/>
      <c r="CA18" s="37"/>
      <c r="CB18" s="37"/>
      <c r="CC18" s="37"/>
      <c r="CD18" s="137"/>
      <c r="CE18" s="37"/>
      <c r="CF18" s="37"/>
      <c r="CG18" s="37"/>
    </row>
    <row r="19" spans="1:86" s="138" customFormat="1" ht="15" customHeight="1">
      <c r="A19" s="137" t="s">
        <v>40</v>
      </c>
      <c r="B19" s="49"/>
      <c r="C19" s="49">
        <v>0</v>
      </c>
      <c r="D19" s="29"/>
      <c r="E19" s="29"/>
      <c r="F19" s="29"/>
      <c r="G19" s="29"/>
      <c r="H19" s="29"/>
      <c r="I19" s="29"/>
      <c r="J19" s="44"/>
      <c r="K19" s="44"/>
      <c r="L19" s="44"/>
      <c r="M19" s="44"/>
      <c r="N19" s="44"/>
      <c r="O19" s="44"/>
      <c r="P19" s="44"/>
      <c r="Q19" s="137"/>
      <c r="R19" s="49"/>
      <c r="S19" s="49"/>
      <c r="T19" s="49"/>
      <c r="U19" s="49"/>
      <c r="V19" s="49"/>
      <c r="W19" s="49"/>
      <c r="X19" s="39"/>
      <c r="Y19" s="49"/>
      <c r="Z19" s="49"/>
      <c r="AA19" s="31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50"/>
      <c r="BI19" s="34"/>
      <c r="BJ19" s="35"/>
      <c r="BK19" s="34"/>
      <c r="BL19" s="41"/>
      <c r="BM19" s="36"/>
      <c r="BN19" s="37"/>
      <c r="BO19" s="34"/>
      <c r="BP19" s="34"/>
      <c r="BQ19" s="34"/>
      <c r="BR19" s="205"/>
      <c r="BS19" s="34"/>
      <c r="BT19" s="37"/>
      <c r="BU19" s="35"/>
      <c r="BV19" s="37"/>
      <c r="BW19" s="37"/>
      <c r="BX19" s="34"/>
      <c r="BY19" s="37"/>
      <c r="BZ19" s="37"/>
      <c r="CA19" s="37"/>
      <c r="CB19" s="37"/>
      <c r="CC19" s="37"/>
      <c r="CD19" s="137"/>
      <c r="CE19" s="37"/>
      <c r="CF19" s="37"/>
      <c r="CG19" s="37"/>
    </row>
    <row r="20" spans="1:86" s="138" customFormat="1" ht="15" customHeight="1">
      <c r="A20" s="137" t="s">
        <v>41</v>
      </c>
      <c r="B20" s="49"/>
      <c r="C20" s="49">
        <v>0</v>
      </c>
      <c r="D20" s="29"/>
      <c r="E20" s="29"/>
      <c r="F20" s="29"/>
      <c r="G20" s="29"/>
      <c r="H20" s="29"/>
      <c r="I20" s="29"/>
      <c r="J20" s="44"/>
      <c r="K20" s="44"/>
      <c r="L20" s="44"/>
      <c r="M20" s="44"/>
      <c r="N20" s="44"/>
      <c r="O20" s="44"/>
      <c r="P20" s="44"/>
      <c r="Q20" s="137"/>
      <c r="R20" s="49"/>
      <c r="S20" s="49"/>
      <c r="T20" s="49"/>
      <c r="U20" s="49"/>
      <c r="V20" s="49"/>
      <c r="W20" s="49"/>
      <c r="X20" s="39"/>
      <c r="Y20" s="49"/>
      <c r="Z20" s="49"/>
      <c r="AA20" s="31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50"/>
      <c r="BI20" s="34"/>
      <c r="BJ20" s="35"/>
      <c r="BK20" s="34"/>
      <c r="BL20" s="41"/>
      <c r="BM20" s="36"/>
      <c r="BN20" s="37"/>
      <c r="BO20" s="34"/>
      <c r="BP20" s="34"/>
      <c r="BQ20" s="34"/>
      <c r="BR20" s="205"/>
      <c r="BS20" s="34"/>
      <c r="BT20" s="37"/>
      <c r="BU20" s="35"/>
      <c r="BV20" s="37"/>
      <c r="BW20" s="37"/>
      <c r="BX20" s="34"/>
      <c r="BY20" s="37"/>
      <c r="BZ20" s="37"/>
      <c r="CA20" s="37"/>
      <c r="CB20" s="37"/>
      <c r="CC20" s="37"/>
      <c r="CD20" s="137"/>
      <c r="CE20" s="37"/>
      <c r="CF20" s="37"/>
      <c r="CG20" s="37"/>
    </row>
    <row r="21" spans="1:86" s="138" customFormat="1" ht="15" customHeight="1">
      <c r="A21" s="137" t="s">
        <v>42</v>
      </c>
      <c r="B21" s="49"/>
      <c r="C21" s="49">
        <v>0</v>
      </c>
      <c r="D21" s="29"/>
      <c r="E21" s="29"/>
      <c r="F21" s="29"/>
      <c r="G21" s="29"/>
      <c r="H21" s="29"/>
      <c r="I21" s="29"/>
      <c r="J21" s="44"/>
      <c r="K21" s="44"/>
      <c r="L21" s="44"/>
      <c r="M21" s="44"/>
      <c r="N21" s="44"/>
      <c r="O21" s="44"/>
      <c r="P21" s="44"/>
      <c r="Q21" s="137"/>
      <c r="R21" s="49"/>
      <c r="S21" s="49"/>
      <c r="T21" s="49"/>
      <c r="U21" s="49"/>
      <c r="V21" s="49"/>
      <c r="W21" s="49"/>
      <c r="X21" s="39"/>
      <c r="Y21" s="49"/>
      <c r="Z21" s="49"/>
      <c r="AA21" s="31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50"/>
      <c r="BI21" s="34"/>
      <c r="BJ21" s="35"/>
      <c r="BK21" s="34"/>
      <c r="BL21" s="41"/>
      <c r="BM21" s="36"/>
      <c r="BN21" s="37"/>
      <c r="BO21" s="34"/>
      <c r="BP21" s="34"/>
      <c r="BQ21" s="34"/>
      <c r="BR21" s="205"/>
      <c r="BS21" s="34"/>
      <c r="BT21" s="37"/>
      <c r="BU21" s="35"/>
      <c r="BV21" s="37"/>
      <c r="BW21" s="37"/>
      <c r="BX21" s="34"/>
      <c r="BY21" s="37"/>
      <c r="BZ21" s="37"/>
      <c r="CA21" s="37"/>
      <c r="CB21" s="37"/>
      <c r="CC21" s="37"/>
      <c r="CD21" s="137"/>
      <c r="CE21" s="37"/>
      <c r="CF21" s="37"/>
      <c r="CG21" s="37"/>
    </row>
    <row r="22" spans="1:86" s="138" customFormat="1" ht="15" customHeight="1">
      <c r="A22" s="137" t="s">
        <v>389</v>
      </c>
      <c r="B22" s="49"/>
      <c r="C22" s="49">
        <v>0</v>
      </c>
      <c r="D22" s="29"/>
      <c r="E22" s="29"/>
      <c r="F22" s="29"/>
      <c r="G22" s="29"/>
      <c r="H22" s="29"/>
      <c r="I22" s="29"/>
      <c r="J22" s="44"/>
      <c r="K22" s="44"/>
      <c r="L22" s="44"/>
      <c r="M22" s="44"/>
      <c r="N22" s="44"/>
      <c r="O22" s="44"/>
      <c r="P22" s="44"/>
      <c r="Q22" s="137"/>
      <c r="R22" s="49"/>
      <c r="S22" s="49"/>
      <c r="T22" s="49"/>
      <c r="U22" s="49"/>
      <c r="V22" s="49"/>
      <c r="W22" s="49"/>
      <c r="X22" s="39"/>
      <c r="Y22" s="49"/>
      <c r="Z22" s="49"/>
      <c r="AA22" s="31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50"/>
      <c r="BI22" s="34"/>
      <c r="BJ22" s="35"/>
      <c r="BK22" s="34"/>
      <c r="BL22" s="41"/>
      <c r="BM22" s="36"/>
      <c r="BN22" s="37"/>
      <c r="BO22" s="34"/>
      <c r="BP22" s="34"/>
      <c r="BQ22" s="34"/>
      <c r="BR22" s="205"/>
      <c r="BS22" s="34"/>
      <c r="BT22" s="37"/>
      <c r="BU22" s="35"/>
      <c r="BV22" s="37"/>
      <c r="BW22" s="37"/>
      <c r="BX22" s="34"/>
      <c r="BY22" s="37"/>
      <c r="BZ22" s="37"/>
      <c r="CA22" s="37"/>
      <c r="CB22" s="37"/>
      <c r="CC22" s="37"/>
      <c r="CD22" s="137"/>
      <c r="CE22" s="37"/>
      <c r="CF22" s="37"/>
      <c r="CG22" s="37"/>
    </row>
    <row r="23" spans="1:86" s="138" customFormat="1" ht="15" customHeight="1">
      <c r="A23" s="137" t="s">
        <v>390</v>
      </c>
      <c r="B23" s="49"/>
      <c r="C23" s="49">
        <v>0</v>
      </c>
      <c r="D23" s="29"/>
      <c r="E23" s="29"/>
      <c r="F23" s="29"/>
      <c r="G23" s="29"/>
      <c r="H23" s="29"/>
      <c r="I23" s="29"/>
      <c r="J23" s="44"/>
      <c r="K23" s="44"/>
      <c r="L23" s="44"/>
      <c r="M23" s="44"/>
      <c r="N23" s="44"/>
      <c r="O23" s="44"/>
      <c r="P23" s="44"/>
      <c r="Q23" s="137"/>
      <c r="R23" s="49"/>
      <c r="S23" s="49"/>
      <c r="T23" s="49"/>
      <c r="U23" s="49"/>
      <c r="V23" s="49"/>
      <c r="W23" s="49"/>
      <c r="X23" s="39"/>
      <c r="Y23" s="49"/>
      <c r="Z23" s="49"/>
      <c r="AA23" s="31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50"/>
      <c r="BI23" s="34"/>
      <c r="BJ23" s="35"/>
      <c r="BK23" s="34"/>
      <c r="BL23" s="41"/>
      <c r="BM23" s="36"/>
      <c r="BN23" s="37"/>
      <c r="BO23" s="34"/>
      <c r="BP23" s="34"/>
      <c r="BQ23" s="34"/>
      <c r="BR23" s="205"/>
      <c r="BS23" s="34"/>
      <c r="BT23" s="37"/>
      <c r="BU23" s="35"/>
      <c r="BV23" s="37"/>
      <c r="BW23" s="37"/>
      <c r="BX23" s="34"/>
      <c r="BY23" s="37"/>
      <c r="BZ23" s="37"/>
      <c r="CA23" s="37"/>
      <c r="CB23" s="37"/>
      <c r="CC23" s="37"/>
      <c r="CD23" s="137"/>
      <c r="CE23" s="37"/>
      <c r="CF23" s="37"/>
      <c r="CG23" s="37"/>
    </row>
    <row r="24" spans="1:86" s="138" customFormat="1" ht="15" customHeight="1">
      <c r="A24" s="43"/>
      <c r="B24" s="45"/>
      <c r="C24" s="139"/>
      <c r="D24" s="29"/>
      <c r="E24" s="29"/>
      <c r="F24" s="29"/>
      <c r="G24" s="29"/>
      <c r="H24" s="29"/>
      <c r="I24" s="29"/>
      <c r="J24" s="44"/>
      <c r="K24" s="44"/>
      <c r="L24" s="44"/>
      <c r="M24" s="44"/>
      <c r="N24" s="44"/>
      <c r="O24" s="44"/>
      <c r="P24" s="44"/>
      <c r="Q24" s="137"/>
      <c r="R24" s="49"/>
      <c r="S24" s="49"/>
      <c r="T24" s="49"/>
      <c r="U24" s="49"/>
      <c r="V24" s="49"/>
      <c r="W24" s="49"/>
      <c r="X24" s="39"/>
      <c r="Y24" s="49"/>
      <c r="Z24" s="49"/>
      <c r="AA24" s="31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50"/>
      <c r="BI24" s="34"/>
      <c r="BJ24" s="35"/>
      <c r="BK24" s="34"/>
      <c r="BL24" s="41"/>
      <c r="BM24" s="36"/>
      <c r="BN24" s="37"/>
      <c r="BO24" s="34"/>
      <c r="BP24" s="34"/>
      <c r="BQ24" s="34"/>
      <c r="BR24" s="205"/>
      <c r="BS24" s="34"/>
      <c r="BT24" s="37"/>
      <c r="BU24" s="35"/>
      <c r="BV24" s="37"/>
      <c r="BW24" s="37"/>
      <c r="BX24" s="34"/>
      <c r="BY24" s="37"/>
      <c r="BZ24" s="37"/>
      <c r="CA24" s="37"/>
      <c r="CB24" s="37"/>
      <c r="CC24" s="37"/>
      <c r="CD24" s="137"/>
      <c r="CE24" s="37"/>
      <c r="CF24" s="37"/>
      <c r="CG24" s="37"/>
    </row>
    <row r="25" spans="1:86" s="138" customFormat="1" ht="15" customHeight="1" thickBot="1">
      <c r="A25" s="29"/>
      <c r="B25" s="29"/>
      <c r="C25" s="31"/>
      <c r="D25" s="29"/>
      <c r="E25" s="29"/>
      <c r="F25" s="29"/>
      <c r="G25" s="29"/>
      <c r="H25" s="29"/>
      <c r="I25" s="29"/>
      <c r="J25" s="44"/>
      <c r="K25" s="44"/>
      <c r="L25" s="44"/>
      <c r="M25" s="44"/>
      <c r="N25" s="44"/>
      <c r="O25" s="44"/>
      <c r="P25" s="44"/>
      <c r="Q25" s="49"/>
      <c r="R25" s="49"/>
      <c r="S25" s="49"/>
      <c r="T25" s="49"/>
      <c r="U25" s="49"/>
      <c r="V25" s="49"/>
      <c r="W25" s="49"/>
      <c r="X25" s="39"/>
      <c r="Y25" s="49"/>
      <c r="Z25" s="49"/>
      <c r="AA25" s="31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3"/>
      <c r="BI25" s="34"/>
      <c r="BJ25" s="35"/>
      <c r="BK25" s="34"/>
      <c r="BL25" s="41"/>
      <c r="BM25" s="36"/>
      <c r="BN25" s="37"/>
      <c r="BO25" s="34"/>
      <c r="BP25" s="34"/>
      <c r="BQ25" s="34"/>
      <c r="BR25" s="205"/>
      <c r="BS25" s="34"/>
      <c r="BT25" s="37"/>
      <c r="BU25" s="35"/>
      <c r="BV25" s="37"/>
      <c r="BW25" s="37"/>
      <c r="BX25" s="34"/>
      <c r="BY25" s="37"/>
      <c r="BZ25" s="37"/>
      <c r="CA25" s="37"/>
      <c r="CB25" s="37"/>
      <c r="CC25" s="37"/>
      <c r="CD25" s="137"/>
      <c r="CE25" s="37"/>
      <c r="CF25" s="37"/>
      <c r="CG25" s="37"/>
    </row>
    <row r="26" spans="1:86" s="138" customFormat="1" ht="30" customHeight="1" thickBot="1">
      <c r="A26" s="146" t="s">
        <v>43</v>
      </c>
      <c r="B26" s="147" t="s">
        <v>44</v>
      </c>
      <c r="C26" s="148" t="s">
        <v>45</v>
      </c>
      <c r="D26" s="149" t="s">
        <v>46</v>
      </c>
      <c r="E26" s="149" t="s">
        <v>47</v>
      </c>
      <c r="F26" s="149" t="s">
        <v>48</v>
      </c>
      <c r="G26" s="149" t="s">
        <v>49</v>
      </c>
      <c r="H26" s="150" t="s">
        <v>50</v>
      </c>
      <c r="I26" s="150" t="s">
        <v>51</v>
      </c>
      <c r="J26" s="151" t="s">
        <v>52</v>
      </c>
      <c r="K26" s="151" t="s">
        <v>53</v>
      </c>
      <c r="L26" s="151" t="s">
        <v>54</v>
      </c>
      <c r="M26" s="151" t="s">
        <v>55</v>
      </c>
      <c r="N26" s="151" t="s">
        <v>56</v>
      </c>
      <c r="O26" s="151" t="s">
        <v>57</v>
      </c>
      <c r="P26" s="150" t="s">
        <v>58</v>
      </c>
      <c r="Q26" s="149" t="s">
        <v>59</v>
      </c>
      <c r="R26" s="152" t="s">
        <v>60</v>
      </c>
      <c r="S26" s="152" t="s">
        <v>61</v>
      </c>
      <c r="T26" s="152" t="s">
        <v>62</v>
      </c>
      <c r="U26" s="152" t="s">
        <v>63</v>
      </c>
      <c r="V26" s="152" t="s">
        <v>64</v>
      </c>
      <c r="W26" s="152" t="s">
        <v>65</v>
      </c>
      <c r="X26" s="153" t="s">
        <v>66</v>
      </c>
      <c r="Y26" s="154" t="s">
        <v>67</v>
      </c>
      <c r="Z26" s="150" t="s">
        <v>68</v>
      </c>
      <c r="AA26" s="150" t="s">
        <v>69</v>
      </c>
      <c r="AB26" s="154" t="s">
        <v>70</v>
      </c>
      <c r="AC26" s="154"/>
      <c r="AD26" s="154" t="s">
        <v>52</v>
      </c>
      <c r="AE26" s="154" t="s">
        <v>71</v>
      </c>
      <c r="AF26" s="154" t="s">
        <v>72</v>
      </c>
      <c r="AG26" s="154" t="s">
        <v>73</v>
      </c>
      <c r="AH26" s="154" t="s">
        <v>74</v>
      </c>
      <c r="AI26" s="154" t="s">
        <v>75</v>
      </c>
      <c r="AJ26" s="154" t="s">
        <v>76</v>
      </c>
      <c r="AK26" s="156" t="s">
        <v>77</v>
      </c>
      <c r="AL26" s="392" t="s">
        <v>391</v>
      </c>
      <c r="AM26" s="159" t="s">
        <v>79</v>
      </c>
      <c r="AN26" s="159" t="s">
        <v>79</v>
      </c>
      <c r="AO26" s="159" t="s">
        <v>80</v>
      </c>
      <c r="AP26" s="159" t="s">
        <v>80</v>
      </c>
      <c r="AQ26" s="159" t="s">
        <v>81</v>
      </c>
      <c r="AR26" s="159" t="s">
        <v>81</v>
      </c>
      <c r="AS26" s="159" t="s">
        <v>82</v>
      </c>
      <c r="AT26" s="159" t="s">
        <v>82</v>
      </c>
      <c r="AU26" s="159" t="s">
        <v>83</v>
      </c>
      <c r="AV26" s="159" t="s">
        <v>83</v>
      </c>
      <c r="AW26" s="159" t="s">
        <v>84</v>
      </c>
      <c r="AX26" s="159" t="s">
        <v>84</v>
      </c>
      <c r="AY26" s="159" t="s">
        <v>85</v>
      </c>
      <c r="AZ26" s="159" t="s">
        <v>85</v>
      </c>
      <c r="BA26" s="159" t="s">
        <v>146</v>
      </c>
      <c r="BB26" s="159" t="s">
        <v>146</v>
      </c>
      <c r="BC26" s="159" t="s">
        <v>147</v>
      </c>
      <c r="BD26" s="159" t="s">
        <v>147</v>
      </c>
      <c r="BE26" s="159" t="s">
        <v>148</v>
      </c>
      <c r="BF26" s="159" t="s">
        <v>148</v>
      </c>
      <c r="BG26" s="159" t="s">
        <v>88</v>
      </c>
      <c r="BH26" s="157" t="s">
        <v>89</v>
      </c>
      <c r="BI26" s="158" t="s">
        <v>90</v>
      </c>
      <c r="BJ26" s="159" t="s">
        <v>91</v>
      </c>
      <c r="BK26" s="160" t="s">
        <v>92</v>
      </c>
      <c r="BL26" s="161" t="s">
        <v>93</v>
      </c>
      <c r="BM26" s="162" t="s">
        <v>94</v>
      </c>
      <c r="BN26" s="163" t="s">
        <v>95</v>
      </c>
      <c r="BO26" s="162" t="s">
        <v>96</v>
      </c>
      <c r="BP26" s="162" t="s">
        <v>97</v>
      </c>
      <c r="BQ26" s="162" t="s">
        <v>98</v>
      </c>
      <c r="BR26" s="206" t="s">
        <v>99</v>
      </c>
      <c r="BS26" s="162" t="s">
        <v>100</v>
      </c>
      <c r="BT26" s="162" t="s">
        <v>8</v>
      </c>
      <c r="BU26" s="154" t="s">
        <v>101</v>
      </c>
      <c r="BV26" s="151" t="s">
        <v>102</v>
      </c>
      <c r="BW26" s="150" t="s">
        <v>103</v>
      </c>
      <c r="BX26" s="162" t="s">
        <v>104</v>
      </c>
      <c r="BY26" s="162" t="s">
        <v>105</v>
      </c>
      <c r="BZ26" s="150" t="s">
        <v>106</v>
      </c>
      <c r="CA26" s="150"/>
      <c r="CB26" s="150"/>
      <c r="CC26" s="154" t="s">
        <v>107</v>
      </c>
      <c r="CD26" s="150" t="s">
        <v>108</v>
      </c>
      <c r="CE26" s="154" t="s">
        <v>109</v>
      </c>
      <c r="CF26" s="164" t="s">
        <v>151</v>
      </c>
      <c r="CG26" s="165"/>
    </row>
    <row r="27" spans="1:86" s="138" customFormat="1" ht="15" customHeight="1">
      <c r="A27" s="48" t="s">
        <v>358</v>
      </c>
      <c r="B27" s="29" t="s">
        <v>111</v>
      </c>
      <c r="C27" s="168">
        <v>45839</v>
      </c>
      <c r="D27" s="48" t="s">
        <v>179</v>
      </c>
      <c r="E27" s="29" t="s">
        <v>113</v>
      </c>
      <c r="F27" s="48" t="s">
        <v>114</v>
      </c>
      <c r="G27" s="48" t="s">
        <v>153</v>
      </c>
      <c r="H27" s="48" t="s">
        <v>116</v>
      </c>
      <c r="I27" s="48" t="s">
        <v>116</v>
      </c>
      <c r="J27" s="170" t="s">
        <v>116</v>
      </c>
      <c r="K27" s="170" t="b">
        <v>0</v>
      </c>
      <c r="L27" s="170" t="s">
        <v>116</v>
      </c>
      <c r="M27" s="170" t="s">
        <v>116</v>
      </c>
      <c r="N27" s="170" t="s">
        <v>116</v>
      </c>
      <c r="O27" s="170" t="s">
        <v>118</v>
      </c>
      <c r="P27" s="48" t="s">
        <v>256</v>
      </c>
      <c r="Q27" s="48" t="s">
        <v>359</v>
      </c>
      <c r="R27" s="170" t="s">
        <v>116</v>
      </c>
      <c r="S27" s="170" t="s">
        <v>116</v>
      </c>
      <c r="T27" s="170" t="s">
        <v>116</v>
      </c>
      <c r="U27" s="170" t="s">
        <v>116</v>
      </c>
      <c r="V27" s="170" t="s">
        <v>116</v>
      </c>
      <c r="W27" s="170" t="s">
        <v>116</v>
      </c>
      <c r="X27" s="173" t="s">
        <v>360</v>
      </c>
      <c r="Y27" s="167">
        <v>114.65</v>
      </c>
      <c r="Z27" s="48" t="s">
        <v>116</v>
      </c>
      <c r="AA27" s="48">
        <v>1</v>
      </c>
      <c r="AB27" s="174">
        <v>0</v>
      </c>
      <c r="AC27" s="174"/>
      <c r="AD27" s="174">
        <v>0</v>
      </c>
      <c r="AE27" s="174">
        <v>0</v>
      </c>
      <c r="AF27" s="174">
        <v>0</v>
      </c>
      <c r="AG27" s="174">
        <v>0</v>
      </c>
      <c r="AH27" s="174">
        <v>0</v>
      </c>
      <c r="AI27" s="174">
        <v>0</v>
      </c>
      <c r="AJ27" s="174">
        <v>0</v>
      </c>
      <c r="AK27" s="174">
        <v>27.52</v>
      </c>
      <c r="AL27" s="174">
        <v>0</v>
      </c>
      <c r="AM27" s="174">
        <v>0</v>
      </c>
      <c r="AN27" s="174">
        <v>0</v>
      </c>
      <c r="AO27" s="174">
        <v>0</v>
      </c>
      <c r="AP27" s="174">
        <v>0</v>
      </c>
      <c r="AQ27" s="174">
        <v>0</v>
      </c>
      <c r="AR27" s="174">
        <v>0</v>
      </c>
      <c r="AS27" s="174">
        <v>0</v>
      </c>
      <c r="AT27" s="174">
        <v>0</v>
      </c>
      <c r="AU27" s="174">
        <v>0</v>
      </c>
      <c r="AV27" s="174">
        <v>0</v>
      </c>
      <c r="AW27" s="174">
        <v>0</v>
      </c>
      <c r="AX27" s="174">
        <v>0</v>
      </c>
      <c r="AY27" s="174">
        <v>0</v>
      </c>
      <c r="AZ27" s="174">
        <v>0</v>
      </c>
      <c r="BA27" s="174">
        <v>0</v>
      </c>
      <c r="BB27" s="174">
        <v>0</v>
      </c>
      <c r="BC27" s="174">
        <v>0</v>
      </c>
      <c r="BD27" s="174">
        <v>0</v>
      </c>
      <c r="BE27" s="174">
        <v>0</v>
      </c>
      <c r="BF27" s="174">
        <v>0</v>
      </c>
      <c r="BG27" s="174"/>
      <c r="BH27" s="175" t="s">
        <v>402</v>
      </c>
      <c r="BI27" s="166">
        <v>46011</v>
      </c>
      <c r="BJ27" s="167">
        <v>504.9</v>
      </c>
      <c r="BK27" s="168"/>
      <c r="BL27" s="56"/>
      <c r="BM27" s="168" t="s">
        <v>359</v>
      </c>
      <c r="BN27" s="169" t="s">
        <v>386</v>
      </c>
      <c r="BO27" s="168"/>
      <c r="BP27" s="168"/>
      <c r="BQ27" s="168"/>
      <c r="BR27" s="207"/>
      <c r="BS27" s="168"/>
      <c r="BT27" s="168"/>
      <c r="BU27" s="167"/>
      <c r="BV27" s="170"/>
      <c r="BW27" s="48"/>
      <c r="BX27" s="168"/>
      <c r="BY27" s="168"/>
      <c r="BZ27" s="48"/>
      <c r="CA27" s="48"/>
      <c r="CB27" s="48"/>
      <c r="CC27" s="167"/>
      <c r="CD27" s="137"/>
      <c r="CE27" s="171"/>
      <c r="CF27" s="172" t="s">
        <v>166</v>
      </c>
      <c r="CG27" s="165"/>
    </row>
    <row r="28" spans="1:86" s="138" customFormat="1" ht="15" customHeight="1">
      <c r="A28" s="48"/>
      <c r="B28" s="29"/>
      <c r="C28" s="168"/>
      <c r="D28" s="48"/>
      <c r="E28" s="29"/>
      <c r="F28" s="48"/>
      <c r="G28" s="48"/>
      <c r="H28" s="48"/>
      <c r="I28" s="48"/>
      <c r="J28" s="170"/>
      <c r="K28" s="170"/>
      <c r="L28" s="170"/>
      <c r="M28" s="170"/>
      <c r="N28" s="170"/>
      <c r="O28" s="170"/>
      <c r="P28" s="48"/>
      <c r="Q28" s="48"/>
      <c r="R28" s="170"/>
      <c r="S28" s="170"/>
      <c r="T28" s="170"/>
      <c r="U28" s="170"/>
      <c r="V28" s="170"/>
      <c r="W28" s="170"/>
      <c r="X28" s="173"/>
      <c r="Y28" s="167"/>
      <c r="Z28" s="48"/>
      <c r="AA28" s="48"/>
      <c r="AB28" s="174"/>
      <c r="AC28" s="174"/>
      <c r="AD28" s="174"/>
      <c r="AE28" s="174"/>
      <c r="AF28" s="174"/>
      <c r="AG28" s="174"/>
      <c r="AH28" s="174"/>
      <c r="AI28" s="174"/>
      <c r="AJ28" s="174"/>
      <c r="AK28" s="174"/>
      <c r="AL28" s="174"/>
      <c r="AM28" s="174"/>
      <c r="AN28" s="174"/>
      <c r="AO28" s="174"/>
      <c r="AP28" s="174"/>
      <c r="AQ28" s="174"/>
      <c r="AR28" s="174"/>
      <c r="AS28" s="174"/>
      <c r="AT28" s="174"/>
      <c r="AU28" s="174"/>
      <c r="AV28" s="174"/>
      <c r="AW28" s="174"/>
      <c r="AX28" s="174"/>
      <c r="AY28" s="174"/>
      <c r="AZ28" s="174"/>
      <c r="BA28" s="174"/>
      <c r="BB28" s="174"/>
      <c r="BC28" s="174"/>
      <c r="BD28" s="174"/>
      <c r="BE28" s="174"/>
      <c r="BF28" s="174"/>
      <c r="BG28" s="174"/>
      <c r="BH28" s="175"/>
      <c r="BI28" s="166"/>
      <c r="BJ28" s="167"/>
      <c r="BK28" s="168"/>
      <c r="BL28" s="56"/>
      <c r="BM28" s="168"/>
      <c r="BN28" s="169"/>
      <c r="BO28" s="168"/>
      <c r="BP28" s="168"/>
      <c r="BQ28" s="168"/>
      <c r="BR28" s="207"/>
      <c r="BS28" s="168"/>
      <c r="BT28" s="168"/>
      <c r="BU28" s="167"/>
      <c r="BV28" s="170"/>
      <c r="BW28" s="48"/>
      <c r="BX28" s="168"/>
      <c r="BY28" s="168"/>
      <c r="BZ28" s="48"/>
      <c r="CA28" s="48"/>
      <c r="CB28" s="48"/>
      <c r="CC28" s="167"/>
      <c r="CD28" s="137"/>
      <c r="CE28" s="171"/>
      <c r="CF28" s="172"/>
      <c r="CG28" s="165"/>
    </row>
    <row r="29" spans="1:86" s="138" customFormat="1" ht="15" customHeight="1">
      <c r="A29" s="29"/>
      <c r="B29" s="29"/>
      <c r="C29" s="31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176"/>
      <c r="R29" s="176"/>
      <c r="S29" s="176"/>
      <c r="T29" s="176"/>
      <c r="U29" s="176"/>
      <c r="V29" s="176"/>
      <c r="W29" s="176"/>
      <c r="X29" s="177" t="s">
        <v>140</v>
      </c>
      <c r="Y29" s="178"/>
      <c r="Z29" s="179"/>
      <c r="AA29" s="179">
        <f t="shared" ref="AA29:AH29" si="0">SUM(AA27:AA27)</f>
        <v>1</v>
      </c>
      <c r="AB29" s="180">
        <f t="shared" si="0"/>
        <v>0</v>
      </c>
      <c r="AC29" s="180">
        <f t="shared" si="0"/>
        <v>0</v>
      </c>
      <c r="AD29" s="180">
        <f t="shared" si="0"/>
        <v>0</v>
      </c>
      <c r="AE29" s="180">
        <f t="shared" si="0"/>
        <v>0</v>
      </c>
      <c r="AF29" s="180">
        <f t="shared" si="0"/>
        <v>0</v>
      </c>
      <c r="AG29" s="180">
        <f t="shared" si="0"/>
        <v>0</v>
      </c>
      <c r="AH29" s="180">
        <f t="shared" si="0"/>
        <v>0</v>
      </c>
      <c r="AI29" s="180">
        <f t="shared" ref="AI29:BG29" si="1">SUM(AI27:AI28)</f>
        <v>0</v>
      </c>
      <c r="AJ29" s="180">
        <f t="shared" si="1"/>
        <v>0</v>
      </c>
      <c r="AK29" s="180">
        <f t="shared" si="1"/>
        <v>27.52</v>
      </c>
      <c r="AL29" s="180">
        <f t="shared" si="1"/>
        <v>0</v>
      </c>
      <c r="AM29" s="180">
        <f t="shared" si="1"/>
        <v>0</v>
      </c>
      <c r="AN29" s="180">
        <f t="shared" si="1"/>
        <v>0</v>
      </c>
      <c r="AO29" s="180">
        <f t="shared" si="1"/>
        <v>0</v>
      </c>
      <c r="AP29" s="180">
        <f t="shared" si="1"/>
        <v>0</v>
      </c>
      <c r="AQ29" s="180">
        <f t="shared" si="1"/>
        <v>0</v>
      </c>
      <c r="AR29" s="180">
        <f t="shared" si="1"/>
        <v>0</v>
      </c>
      <c r="AS29" s="180">
        <f t="shared" si="1"/>
        <v>0</v>
      </c>
      <c r="AT29" s="180">
        <f t="shared" si="1"/>
        <v>0</v>
      </c>
      <c r="AU29" s="180">
        <f t="shared" si="1"/>
        <v>0</v>
      </c>
      <c r="AV29" s="180">
        <f t="shared" si="1"/>
        <v>0</v>
      </c>
      <c r="AW29" s="180">
        <f t="shared" si="1"/>
        <v>0</v>
      </c>
      <c r="AX29" s="180">
        <f t="shared" si="1"/>
        <v>0</v>
      </c>
      <c r="AY29" s="180">
        <f t="shared" si="1"/>
        <v>0</v>
      </c>
      <c r="AZ29" s="180">
        <f t="shared" si="1"/>
        <v>0</v>
      </c>
      <c r="BA29" s="180">
        <f t="shared" si="1"/>
        <v>0</v>
      </c>
      <c r="BB29" s="180">
        <f t="shared" si="1"/>
        <v>0</v>
      </c>
      <c r="BC29" s="180">
        <f t="shared" si="1"/>
        <v>0</v>
      </c>
      <c r="BD29" s="180">
        <f t="shared" si="1"/>
        <v>0</v>
      </c>
      <c r="BE29" s="180">
        <f t="shared" si="1"/>
        <v>0</v>
      </c>
      <c r="BF29" s="180">
        <f t="shared" si="1"/>
        <v>0</v>
      </c>
      <c r="BG29" s="180">
        <f t="shared" si="1"/>
        <v>0</v>
      </c>
      <c r="BH29" s="181"/>
      <c r="BI29" s="31"/>
      <c r="BJ29" s="182"/>
      <c r="BK29" s="31"/>
      <c r="BL29" s="56"/>
      <c r="BM29" s="29"/>
      <c r="BN29" s="183"/>
      <c r="BO29" s="31"/>
      <c r="BP29" s="31"/>
      <c r="BQ29" s="31"/>
      <c r="BR29" s="208"/>
      <c r="BS29" s="31"/>
      <c r="BT29" s="183"/>
      <c r="BU29" s="182"/>
      <c r="BV29" s="183"/>
      <c r="BW29" s="183"/>
      <c r="BX29" s="31"/>
      <c r="BY29" s="183"/>
      <c r="BZ29" s="183"/>
      <c r="CA29" s="183"/>
      <c r="CB29" s="183"/>
      <c r="CC29" s="184"/>
      <c r="CD29" s="137"/>
      <c r="CE29" s="183"/>
      <c r="CF29" s="183"/>
      <c r="CG29" s="183"/>
      <c r="CH29" s="183"/>
    </row>
    <row r="30" spans="1:86" s="138" customFormat="1" ht="15" customHeight="1">
      <c r="A30" s="48"/>
      <c r="B30" s="29"/>
      <c r="C30" s="168"/>
      <c r="D30" s="48"/>
      <c r="E30" s="29"/>
      <c r="F30" s="48"/>
      <c r="G30" s="48"/>
      <c r="H30" s="48"/>
      <c r="I30" s="48"/>
      <c r="J30" s="170"/>
      <c r="K30" s="170"/>
      <c r="L30" s="170"/>
      <c r="M30" s="170"/>
      <c r="N30" s="170"/>
      <c r="O30" s="170"/>
      <c r="P30" s="48"/>
      <c r="Q30" s="48"/>
      <c r="R30" s="170"/>
      <c r="S30" s="170"/>
      <c r="T30" s="170"/>
      <c r="U30" s="170"/>
      <c r="V30" s="170"/>
      <c r="W30" s="170"/>
      <c r="X30" s="173"/>
      <c r="Y30" s="167"/>
      <c r="Z30" s="48"/>
      <c r="AA30" s="48"/>
      <c r="AB30" s="174"/>
      <c r="AC30" s="174"/>
      <c r="AD30" s="174"/>
      <c r="AE30" s="174"/>
      <c r="AF30" s="174"/>
      <c r="AG30" s="174"/>
      <c r="AH30" s="174"/>
      <c r="AI30" s="174"/>
      <c r="AJ30" s="174"/>
      <c r="AK30" s="174"/>
      <c r="AL30" s="174"/>
      <c r="AM30" s="174"/>
      <c r="AN30" s="174"/>
      <c r="AO30" s="174"/>
      <c r="AP30" s="174"/>
      <c r="AQ30" s="174"/>
      <c r="AR30" s="174"/>
      <c r="AS30" s="174"/>
      <c r="AT30" s="174"/>
      <c r="AU30" s="174"/>
      <c r="AV30" s="174"/>
      <c r="AW30" s="174"/>
      <c r="AX30" s="174"/>
      <c r="AY30" s="174"/>
      <c r="AZ30" s="174"/>
      <c r="BA30" s="174"/>
      <c r="BB30" s="174"/>
      <c r="BC30" s="174"/>
      <c r="BD30" s="174"/>
      <c r="BE30" s="174"/>
      <c r="BF30" s="174"/>
      <c r="BG30" s="174"/>
      <c r="BH30" s="175"/>
      <c r="BI30" s="166"/>
      <c r="BJ30" s="167"/>
      <c r="BK30" s="168"/>
      <c r="BL30" s="56"/>
      <c r="BM30" s="168"/>
      <c r="BN30" s="169"/>
      <c r="BO30" s="168"/>
      <c r="BP30" s="168"/>
      <c r="BQ30" s="168"/>
      <c r="BR30" s="207"/>
      <c r="BS30" s="168"/>
      <c r="BT30" s="168"/>
      <c r="BU30" s="167"/>
      <c r="BV30" s="170"/>
      <c r="BW30" s="48"/>
      <c r="BX30" s="168"/>
      <c r="BY30" s="168"/>
      <c r="BZ30" s="48"/>
      <c r="CA30" s="48"/>
      <c r="CB30" s="48"/>
      <c r="CC30" s="167"/>
      <c r="CD30" s="137"/>
      <c r="CE30" s="171"/>
      <c r="CF30" s="172"/>
      <c r="CG30" s="165"/>
    </row>
    <row r="31" spans="1:86" s="138" customFormat="1" ht="15" customHeight="1">
      <c r="A31" s="48"/>
      <c r="B31" s="29"/>
      <c r="C31" s="168"/>
      <c r="D31" s="48"/>
      <c r="E31" s="29"/>
      <c r="F31" s="48"/>
      <c r="G31" s="48"/>
      <c r="H31" s="48"/>
      <c r="I31" s="48"/>
      <c r="J31" s="170"/>
      <c r="K31" s="170"/>
      <c r="L31" s="170"/>
      <c r="M31" s="170"/>
      <c r="N31" s="170"/>
      <c r="O31" s="170"/>
      <c r="P31" s="48"/>
      <c r="Q31" s="48"/>
      <c r="R31" s="170"/>
      <c r="S31" s="170"/>
      <c r="T31" s="170"/>
      <c r="U31" s="170"/>
      <c r="V31" s="170"/>
      <c r="W31" s="170"/>
      <c r="X31" s="173"/>
      <c r="Y31" s="167"/>
      <c r="Z31" s="48"/>
      <c r="AA31" s="48"/>
      <c r="AB31" s="174"/>
      <c r="AC31" s="174"/>
      <c r="AD31" s="174"/>
      <c r="AE31" s="174"/>
      <c r="AF31" s="174"/>
      <c r="AG31" s="174"/>
      <c r="AH31" s="174"/>
      <c r="AI31" s="174"/>
      <c r="AJ31" s="174"/>
      <c r="AK31" s="174"/>
      <c r="AL31" s="174"/>
      <c r="AM31" s="174"/>
      <c r="AN31" s="174"/>
      <c r="AO31" s="174"/>
      <c r="AP31" s="174"/>
      <c r="AQ31" s="174"/>
      <c r="AR31" s="174"/>
      <c r="AS31" s="174"/>
      <c r="AT31" s="174"/>
      <c r="AU31" s="174"/>
      <c r="AV31" s="174"/>
      <c r="AW31" s="174"/>
      <c r="AX31" s="174"/>
      <c r="AY31" s="174"/>
      <c r="AZ31" s="174"/>
      <c r="BA31" s="174"/>
      <c r="BB31" s="174"/>
      <c r="BC31" s="174"/>
      <c r="BD31" s="174"/>
      <c r="BE31" s="174"/>
      <c r="BF31" s="174"/>
      <c r="BG31" s="174"/>
      <c r="BH31" s="175"/>
      <c r="BI31" s="166"/>
      <c r="BJ31" s="167"/>
      <c r="BK31" s="168"/>
      <c r="BL31" s="56"/>
      <c r="BM31" s="168"/>
      <c r="BN31" s="169"/>
      <c r="BO31" s="168"/>
      <c r="BP31" s="168"/>
      <c r="BQ31" s="168"/>
      <c r="BR31" s="207"/>
      <c r="BS31" s="168"/>
      <c r="BT31" s="168"/>
      <c r="BU31" s="167"/>
      <c r="BV31" s="170"/>
      <c r="BW31" s="48"/>
      <c r="BX31" s="168"/>
      <c r="BY31" s="168"/>
      <c r="BZ31" s="48"/>
      <c r="CA31" s="48"/>
      <c r="CB31" s="48"/>
      <c r="CC31" s="167"/>
      <c r="CD31" s="137"/>
      <c r="CE31" s="171"/>
      <c r="CF31" s="172"/>
      <c r="CG31" s="165"/>
    </row>
    <row r="32" spans="1:86" s="138" customFormat="1" ht="15" customHeight="1">
      <c r="A32" s="48"/>
      <c r="B32" s="29"/>
      <c r="C32" s="168"/>
      <c r="D32" s="48"/>
      <c r="E32" s="29"/>
      <c r="F32" s="48"/>
      <c r="G32" s="48"/>
      <c r="H32" s="48"/>
      <c r="I32" s="48"/>
      <c r="J32" s="170"/>
      <c r="K32" s="170"/>
      <c r="L32" s="170"/>
      <c r="M32" s="170"/>
      <c r="N32" s="170"/>
      <c r="O32" s="170"/>
      <c r="P32" s="48"/>
      <c r="Q32" s="48"/>
      <c r="R32" s="170"/>
      <c r="S32" s="170"/>
      <c r="T32" s="170"/>
      <c r="U32" s="170"/>
      <c r="V32" s="170"/>
      <c r="W32" s="170"/>
      <c r="X32" s="173"/>
      <c r="Y32" s="167"/>
      <c r="Z32" s="48"/>
      <c r="AA32" s="48"/>
      <c r="AB32" s="174"/>
      <c r="AC32" s="174"/>
      <c r="AD32" s="174"/>
      <c r="AE32" s="174"/>
      <c r="AF32" s="174"/>
      <c r="AG32" s="174"/>
      <c r="AH32" s="174"/>
      <c r="AI32" s="174"/>
      <c r="AJ32" s="174"/>
      <c r="AK32" s="174"/>
      <c r="AL32" s="174"/>
      <c r="AM32" s="174"/>
      <c r="AN32" s="174"/>
      <c r="AO32" s="174"/>
      <c r="AP32" s="174"/>
      <c r="AQ32" s="174"/>
      <c r="AR32" s="174"/>
      <c r="AS32" s="174"/>
      <c r="AT32" s="174"/>
      <c r="AU32" s="174"/>
      <c r="AV32" s="174"/>
      <c r="AW32" s="174"/>
      <c r="AX32" s="174"/>
      <c r="AY32" s="174"/>
      <c r="AZ32" s="174"/>
      <c r="BA32" s="174"/>
      <c r="BB32" s="174"/>
      <c r="BC32" s="174"/>
      <c r="BD32" s="174"/>
      <c r="BE32" s="174"/>
      <c r="BF32" s="174"/>
      <c r="BG32" s="174"/>
      <c r="BH32" s="175"/>
      <c r="BI32" s="166"/>
      <c r="BJ32" s="167"/>
      <c r="BK32" s="168"/>
      <c r="BL32" s="56"/>
      <c r="BM32" s="168"/>
      <c r="BN32" s="169"/>
      <c r="BO32" s="168"/>
      <c r="BP32" s="168"/>
      <c r="BQ32" s="168"/>
      <c r="BR32" s="207"/>
      <c r="BS32" s="168"/>
      <c r="BT32" s="168"/>
      <c r="BU32" s="167"/>
      <c r="BV32" s="170"/>
      <c r="BW32" s="48"/>
      <c r="BX32" s="168"/>
      <c r="BY32" s="168"/>
      <c r="BZ32" s="48"/>
      <c r="CA32" s="48"/>
      <c r="CB32" s="48"/>
      <c r="CC32" s="167"/>
      <c r="CD32" s="137"/>
      <c r="CE32" s="171"/>
      <c r="CF32" s="172"/>
      <c r="CG32" s="165"/>
    </row>
    <row r="33" spans="1:85" s="138" customFormat="1" ht="15" customHeight="1">
      <c r="A33" s="48"/>
      <c r="B33" s="29"/>
      <c r="C33" s="168"/>
      <c r="D33" s="48"/>
      <c r="E33" s="29"/>
      <c r="F33" s="48"/>
      <c r="G33" s="48"/>
      <c r="H33" s="48"/>
      <c r="I33" s="48"/>
      <c r="J33" s="170"/>
      <c r="K33" s="170"/>
      <c r="L33" s="170"/>
      <c r="M33" s="170"/>
      <c r="N33" s="170"/>
      <c r="O33" s="170"/>
      <c r="P33" s="48"/>
      <c r="Q33" s="48"/>
      <c r="R33" s="170"/>
      <c r="S33" s="170"/>
      <c r="T33" s="170"/>
      <c r="U33" s="170"/>
      <c r="V33" s="170"/>
      <c r="W33" s="170"/>
      <c r="X33" s="173"/>
      <c r="Y33" s="167"/>
      <c r="Z33" s="48"/>
      <c r="AA33" s="48"/>
      <c r="AB33" s="174"/>
      <c r="AC33" s="174"/>
      <c r="AD33" s="174"/>
      <c r="AE33" s="174"/>
      <c r="AF33" s="174"/>
      <c r="AG33" s="174"/>
      <c r="AH33" s="174"/>
      <c r="AI33" s="174"/>
      <c r="AJ33" s="174"/>
      <c r="AK33" s="174"/>
      <c r="AL33" s="174"/>
      <c r="AM33" s="174"/>
      <c r="AN33" s="174"/>
      <c r="AO33" s="174"/>
      <c r="AP33" s="174"/>
      <c r="AQ33" s="174"/>
      <c r="AR33" s="174"/>
      <c r="AS33" s="174"/>
      <c r="AT33" s="174"/>
      <c r="AU33" s="174"/>
      <c r="AV33" s="174"/>
      <c r="AW33" s="174"/>
      <c r="AX33" s="174"/>
      <c r="AY33" s="174"/>
      <c r="AZ33" s="174"/>
      <c r="BA33" s="174"/>
      <c r="BB33" s="174"/>
      <c r="BC33" s="174"/>
      <c r="BD33" s="174"/>
      <c r="BE33" s="174"/>
      <c r="BF33" s="174"/>
      <c r="BG33" s="174"/>
      <c r="BH33" s="175"/>
      <c r="BI33" s="166"/>
      <c r="BJ33" s="167"/>
      <c r="BK33" s="168"/>
      <c r="BL33" s="56"/>
      <c r="BM33" s="168"/>
      <c r="BN33" s="169"/>
      <c r="BO33" s="168"/>
      <c r="BP33" s="168"/>
      <c r="BQ33" s="168"/>
      <c r="BR33" s="207"/>
      <c r="BS33" s="168"/>
      <c r="BT33" s="168"/>
      <c r="BU33" s="167"/>
      <c r="BV33" s="170"/>
      <c r="BW33" s="48"/>
      <c r="BX33" s="168"/>
      <c r="BY33" s="168"/>
      <c r="BZ33" s="48"/>
      <c r="CA33" s="48"/>
      <c r="CB33" s="48"/>
      <c r="CC33" s="167"/>
      <c r="CD33" s="137"/>
      <c r="CE33" s="171"/>
      <c r="CF33" s="172"/>
      <c r="CG33" s="165"/>
    </row>
    <row r="34" spans="1:85" s="138" customFormat="1" ht="15" customHeight="1">
      <c r="A34" s="48"/>
      <c r="B34" s="29"/>
      <c r="C34" s="168"/>
      <c r="D34" s="48"/>
      <c r="E34" s="29"/>
      <c r="F34" s="48"/>
      <c r="G34" s="48"/>
      <c r="H34" s="48"/>
      <c r="I34" s="48"/>
      <c r="J34" s="170"/>
      <c r="K34" s="170"/>
      <c r="L34" s="170"/>
      <c r="M34" s="170"/>
      <c r="N34" s="170"/>
      <c r="O34" s="170"/>
      <c r="P34" s="48"/>
      <c r="Q34" s="48"/>
      <c r="R34" s="170"/>
      <c r="S34" s="170"/>
      <c r="T34" s="170"/>
      <c r="U34" s="170"/>
      <c r="V34" s="170"/>
      <c r="W34" s="170"/>
      <c r="X34" s="173"/>
      <c r="Y34" s="167"/>
      <c r="Z34" s="48"/>
      <c r="AA34" s="48"/>
      <c r="AB34" s="174"/>
      <c r="AC34" s="174"/>
      <c r="AD34" s="174"/>
      <c r="AE34" s="174"/>
      <c r="AF34" s="174"/>
      <c r="AG34" s="174"/>
      <c r="AH34" s="174"/>
      <c r="AI34" s="174"/>
      <c r="AJ34" s="174"/>
      <c r="AK34" s="174"/>
      <c r="AL34" s="174"/>
      <c r="AM34" s="174"/>
      <c r="AN34" s="174"/>
      <c r="AO34" s="174"/>
      <c r="AP34" s="174"/>
      <c r="AQ34" s="174"/>
      <c r="AR34" s="174"/>
      <c r="AS34" s="174"/>
      <c r="AT34" s="174"/>
      <c r="AU34" s="174"/>
      <c r="AV34" s="174"/>
      <c r="AW34" s="174"/>
      <c r="AX34" s="174"/>
      <c r="AY34" s="174"/>
      <c r="AZ34" s="174"/>
      <c r="BA34" s="174"/>
      <c r="BB34" s="174"/>
      <c r="BC34" s="174"/>
      <c r="BD34" s="174"/>
      <c r="BE34" s="174"/>
      <c r="BF34" s="174"/>
      <c r="BG34" s="174"/>
      <c r="BH34" s="175"/>
      <c r="BI34" s="166"/>
      <c r="BJ34" s="167"/>
      <c r="BK34" s="168"/>
      <c r="BL34" s="56"/>
      <c r="BM34" s="168"/>
      <c r="BN34" s="169"/>
      <c r="BO34" s="168"/>
      <c r="BP34" s="168"/>
      <c r="BQ34" s="168"/>
      <c r="BR34" s="207"/>
      <c r="BS34" s="168"/>
      <c r="BT34" s="168"/>
      <c r="BU34" s="167"/>
      <c r="BV34" s="170"/>
      <c r="BW34" s="48"/>
      <c r="BX34" s="168"/>
      <c r="BY34" s="168"/>
      <c r="BZ34" s="48"/>
      <c r="CA34" s="48"/>
      <c r="CB34" s="48"/>
      <c r="CC34" s="167"/>
      <c r="CD34" s="137"/>
      <c r="CE34" s="171"/>
      <c r="CF34" s="172"/>
      <c r="CG34" s="165"/>
    </row>
    <row r="35" spans="1:85" s="138" customFormat="1" ht="15.6">
      <c r="C35" s="185"/>
      <c r="X35" s="186"/>
      <c r="BL35" s="187"/>
    </row>
    <row r="36" spans="1:85" s="138" customFormat="1" ht="15.6">
      <c r="C36" s="185"/>
      <c r="X36" s="186"/>
      <c r="BL36" s="187"/>
    </row>
    <row r="37" spans="1:85" s="138" customFormat="1" ht="15.6">
      <c r="C37" s="185"/>
      <c r="X37" s="186"/>
      <c r="BL37" s="187"/>
    </row>
    <row r="38" spans="1:85" s="138" customFormat="1" ht="15.6">
      <c r="C38" s="185"/>
      <c r="X38" s="186"/>
      <c r="BL38" s="187"/>
    </row>
  </sheetData>
  <autoFilter ref="A26:CH26" xr:uid="{0B3BE0A8-94D9-4943-B51D-CC52050FCF99}"/>
  <printOptions horizontalCentered="1"/>
  <pageMargins left="0.5" right="0.5" top="0.5" bottom="0.5" header="0.3" footer="0.3"/>
  <pageSetup scale="25" fitToHeight="0" orientation="landscape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6306C-BA40-44F8-B722-5893E69B1410}">
  <sheetPr>
    <tabColor theme="2" tint="-0.249977111117893"/>
    <pageSetUpPr fitToPage="1"/>
  </sheetPr>
  <dimension ref="A1:CH38"/>
  <sheetViews>
    <sheetView zoomScale="80" zoomScaleNormal="80" workbookViewId="0">
      <selection activeCell="A27" sqref="A27:XFD27"/>
    </sheetView>
  </sheetViews>
  <sheetFormatPr defaultColWidth="8.85546875" defaultRowHeight="14.45"/>
  <cols>
    <col min="1" max="1" width="29.140625" style="136" customWidth="1"/>
    <col min="2" max="2" width="7.28515625" style="136" hidden="1" customWidth="1"/>
    <col min="3" max="3" width="16.42578125" style="188" bestFit="1" customWidth="1"/>
    <col min="4" max="4" width="6.7109375" style="136" bestFit="1" customWidth="1"/>
    <col min="5" max="5" width="9.28515625" style="136" customWidth="1"/>
    <col min="6" max="6" width="11.28515625" style="136" bestFit="1" customWidth="1"/>
    <col min="7" max="7" width="12.7109375" style="136" bestFit="1" customWidth="1"/>
    <col min="8" max="15" width="0.85546875" style="136" hidden="1" customWidth="1"/>
    <col min="16" max="16" width="3.42578125" style="136" hidden="1" customWidth="1"/>
    <col min="17" max="17" width="22.140625" style="136" customWidth="1"/>
    <col min="18" max="21" width="2.85546875" style="136" hidden="1" customWidth="1"/>
    <col min="22" max="22" width="19.85546875" style="136" hidden="1" customWidth="1"/>
    <col min="23" max="23" width="1.42578125" style="136" hidden="1" customWidth="1"/>
    <col min="24" max="24" width="22.140625" style="189" customWidth="1"/>
    <col min="25" max="25" width="5.140625" style="136" hidden="1" customWidth="1"/>
    <col min="26" max="26" width="19" style="136" hidden="1" customWidth="1"/>
    <col min="27" max="27" width="14.140625" style="136" hidden="1" customWidth="1"/>
    <col min="28" max="28" width="7.42578125" style="136" hidden="1" customWidth="1"/>
    <col min="29" max="29" width="1.7109375" style="136" hidden="1" customWidth="1"/>
    <col min="30" max="30" width="7.42578125" style="136" hidden="1" customWidth="1"/>
    <col min="31" max="34" width="1" style="136" hidden="1" customWidth="1"/>
    <col min="35" max="35" width="9.42578125" style="136" hidden="1" customWidth="1"/>
    <col min="36" max="36" width="10.28515625" style="136" hidden="1" customWidth="1"/>
    <col min="37" max="37" width="18.140625" style="136" customWidth="1"/>
    <col min="38" max="38" width="10.42578125" style="136" hidden="1" customWidth="1"/>
    <col min="39" max="40" width="1.42578125" style="136" hidden="1" customWidth="1"/>
    <col min="41" max="58" width="2.7109375" style="136" hidden="1" customWidth="1"/>
    <col min="59" max="59" width="10.140625" style="136" hidden="1" customWidth="1"/>
    <col min="60" max="60" width="8.85546875" style="136"/>
    <col min="61" max="61" width="9.42578125" style="136" bestFit="1" customWidth="1"/>
    <col min="62" max="62" width="12.42578125" style="136" bestFit="1" customWidth="1"/>
    <col min="63" max="63" width="17.140625" style="136" bestFit="1" customWidth="1"/>
    <col min="64" max="64" width="32.28515625" style="190" bestFit="1" customWidth="1"/>
    <col min="65" max="65" width="18" style="136" bestFit="1" customWidth="1"/>
    <col min="66" max="66" width="8.85546875" style="136"/>
    <col min="67" max="67" width="0.5703125" style="136" customWidth="1"/>
    <col min="68" max="68" width="10.7109375" style="136" bestFit="1" customWidth="1"/>
    <col min="69" max="69" width="1" style="136" customWidth="1"/>
    <col min="70" max="70" width="19.5703125" style="136" bestFit="1" customWidth="1"/>
    <col min="71" max="74" width="0.7109375" style="136" customWidth="1"/>
    <col min="75" max="80" width="0.5703125" style="136" customWidth="1"/>
    <col min="81" max="81" width="13.7109375" style="136" bestFit="1" customWidth="1"/>
    <col min="82" max="82" width="14.7109375" style="136" bestFit="1" customWidth="1"/>
    <col min="83" max="83" width="8.85546875" style="136"/>
    <col min="84" max="84" width="17.140625" style="136" bestFit="1" customWidth="1"/>
    <col min="85" max="16384" width="8.85546875" style="136"/>
  </cols>
  <sheetData>
    <row r="1" spans="1:85" ht="25.9">
      <c r="A1" s="132" t="s">
        <v>25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3"/>
      <c r="R1" s="132"/>
      <c r="S1" s="132"/>
      <c r="T1" s="132"/>
      <c r="U1" s="132"/>
      <c r="V1" s="132"/>
      <c r="W1" s="132"/>
      <c r="X1" s="134"/>
      <c r="Y1" s="6"/>
      <c r="Z1" s="6"/>
      <c r="AA1" s="2"/>
      <c r="AB1" s="26"/>
      <c r="AC1" s="26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7"/>
      <c r="BI1" s="3"/>
      <c r="BJ1" s="8"/>
      <c r="BK1" s="3"/>
      <c r="BL1" s="40"/>
      <c r="BM1" s="28"/>
      <c r="BN1" s="5"/>
      <c r="BO1" s="3"/>
      <c r="BP1" s="3"/>
      <c r="BQ1" s="3"/>
      <c r="BR1" s="200"/>
      <c r="BS1" s="3"/>
      <c r="BT1" s="5"/>
      <c r="BU1" s="8"/>
      <c r="BV1" s="5"/>
      <c r="BW1" s="5"/>
      <c r="BX1" s="3"/>
      <c r="BY1" s="5"/>
      <c r="BZ1" s="5"/>
      <c r="CA1" s="5"/>
      <c r="CB1" s="5"/>
      <c r="CC1" s="5"/>
      <c r="CD1" s="135"/>
      <c r="CE1" s="5"/>
      <c r="CF1" s="5"/>
      <c r="CG1" s="5"/>
    </row>
    <row r="2" spans="1:85" s="138" customFormat="1" ht="15" customHeight="1">
      <c r="A2" s="43" t="s">
        <v>26</v>
      </c>
      <c r="B2" s="44"/>
      <c r="C2" s="46" t="s">
        <v>403</v>
      </c>
      <c r="D2" s="44"/>
      <c r="E2" s="44"/>
      <c r="F2" s="44"/>
      <c r="G2" s="29"/>
      <c r="H2" s="29"/>
      <c r="I2" s="29"/>
      <c r="J2" s="29"/>
      <c r="K2" s="29"/>
      <c r="L2" s="29"/>
      <c r="M2" s="29"/>
      <c r="N2" s="29"/>
      <c r="O2" s="29"/>
      <c r="P2" s="29"/>
      <c r="Q2" s="137"/>
      <c r="R2" s="30"/>
      <c r="S2" s="30"/>
      <c r="T2" s="30"/>
      <c r="U2" s="30"/>
      <c r="V2" s="30"/>
      <c r="W2" s="30"/>
      <c r="X2" s="39"/>
      <c r="Y2" s="30"/>
      <c r="Z2" s="30"/>
      <c r="AA2" s="31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3"/>
      <c r="BI2" s="34"/>
      <c r="BJ2" s="35"/>
      <c r="BK2" s="34"/>
      <c r="BL2" s="41"/>
      <c r="BM2" s="36"/>
      <c r="BN2" s="37"/>
      <c r="BO2" s="34"/>
      <c r="BP2" s="34"/>
      <c r="BQ2" s="34"/>
      <c r="BR2" s="205"/>
      <c r="BS2" s="34"/>
      <c r="BT2" s="37"/>
      <c r="BU2" s="35"/>
      <c r="BV2" s="37"/>
      <c r="BW2" s="37"/>
      <c r="BX2" s="34"/>
      <c r="BY2" s="37"/>
      <c r="BZ2" s="37"/>
      <c r="CA2" s="37"/>
      <c r="CB2" s="37"/>
      <c r="CC2" s="37"/>
      <c r="CD2" s="137"/>
      <c r="CE2" s="37"/>
      <c r="CF2" s="37"/>
      <c r="CG2" s="37"/>
    </row>
    <row r="3" spans="1:85" s="138" customFormat="1" ht="15" customHeight="1">
      <c r="A3" s="47" t="s">
        <v>27</v>
      </c>
      <c r="B3" s="29"/>
      <c r="C3" s="46" t="s">
        <v>387</v>
      </c>
      <c r="D3" s="48"/>
      <c r="E3" s="48"/>
      <c r="F3" s="48"/>
      <c r="G3" s="29"/>
      <c r="H3" s="29"/>
      <c r="I3" s="29"/>
      <c r="J3" s="29"/>
      <c r="K3" s="29"/>
      <c r="L3" s="29"/>
      <c r="M3" s="29"/>
      <c r="N3" s="29"/>
      <c r="O3" s="29"/>
      <c r="P3" s="29"/>
      <c r="Q3" s="137"/>
      <c r="R3" s="30"/>
      <c r="S3" s="30"/>
      <c r="T3" s="30"/>
      <c r="U3" s="30"/>
      <c r="V3" s="30"/>
      <c r="W3" s="30"/>
      <c r="X3" s="39"/>
      <c r="Y3" s="30"/>
      <c r="Z3" s="30"/>
      <c r="AA3" s="31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3"/>
      <c r="BI3" s="34"/>
      <c r="BJ3" s="35"/>
      <c r="BK3" s="34"/>
      <c r="BL3" s="41"/>
      <c r="BM3" s="36"/>
      <c r="BN3" s="37"/>
      <c r="BO3" s="34"/>
      <c r="BP3" s="34"/>
      <c r="BQ3" s="34"/>
      <c r="BR3" s="205"/>
      <c r="BS3" s="34"/>
      <c r="BT3" s="37"/>
      <c r="BU3" s="35"/>
      <c r="BV3" s="37"/>
      <c r="BW3" s="37"/>
      <c r="BX3" s="34"/>
      <c r="BY3" s="37"/>
      <c r="BZ3" s="37"/>
      <c r="CA3" s="37"/>
      <c r="CB3" s="37"/>
      <c r="CC3" s="37"/>
      <c r="CD3" s="137"/>
      <c r="CE3" s="37"/>
      <c r="CF3" s="37"/>
      <c r="CG3" s="37"/>
    </row>
    <row r="4" spans="1:85" s="138" customFormat="1" ht="15" customHeight="1">
      <c r="A4" s="43" t="s">
        <v>29</v>
      </c>
      <c r="B4" s="45"/>
      <c r="C4" s="46"/>
      <c r="D4" s="29"/>
      <c r="E4" s="29"/>
      <c r="F4" s="29"/>
      <c r="G4" s="29"/>
      <c r="H4" s="29"/>
      <c r="I4" s="29"/>
      <c r="J4" s="44"/>
      <c r="K4" s="44"/>
      <c r="L4" s="44"/>
      <c r="M4" s="44"/>
      <c r="N4" s="44"/>
      <c r="O4" s="44"/>
      <c r="P4" s="44"/>
      <c r="Q4" s="137"/>
      <c r="R4" s="49"/>
      <c r="S4" s="49"/>
      <c r="T4" s="49"/>
      <c r="U4" s="49"/>
      <c r="V4" s="49"/>
      <c r="W4" s="49"/>
      <c r="X4" s="39"/>
      <c r="Y4" s="49"/>
      <c r="Z4" s="49"/>
      <c r="AA4" s="31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50"/>
      <c r="BI4" s="34"/>
      <c r="BJ4" s="35"/>
      <c r="BK4" s="34"/>
      <c r="BL4" s="41"/>
      <c r="BM4" s="36"/>
      <c r="BN4" s="37"/>
      <c r="BO4" s="34"/>
      <c r="BP4" s="34"/>
      <c r="BQ4" s="34"/>
      <c r="BR4" s="205"/>
      <c r="BS4" s="34"/>
      <c r="BT4" s="37"/>
      <c r="BU4" s="35"/>
      <c r="BV4" s="37"/>
      <c r="BW4" s="37"/>
      <c r="BX4" s="34"/>
      <c r="BY4" s="37"/>
      <c r="BZ4" s="37"/>
      <c r="CA4" s="37"/>
      <c r="CB4" s="37"/>
      <c r="CC4" s="37"/>
      <c r="CD4" s="137"/>
      <c r="CE4" s="37"/>
      <c r="CF4" s="37"/>
      <c r="CG4" s="37"/>
    </row>
    <row r="5" spans="1:85" s="138" customFormat="1" ht="15" customHeight="1">
      <c r="A5" s="43" t="s">
        <v>30</v>
      </c>
      <c r="B5" s="45"/>
      <c r="C5" s="139">
        <v>1</v>
      </c>
      <c r="D5" s="29"/>
      <c r="E5" s="29"/>
      <c r="F5" s="29"/>
      <c r="G5" s="29"/>
      <c r="H5" s="29"/>
      <c r="I5" s="29"/>
      <c r="J5" s="44"/>
      <c r="K5" s="44"/>
      <c r="L5" s="44"/>
      <c r="M5" s="44"/>
      <c r="N5" s="44"/>
      <c r="O5" s="44"/>
      <c r="P5" s="44"/>
      <c r="Q5" s="137"/>
      <c r="R5" s="49"/>
      <c r="S5" s="49"/>
      <c r="T5" s="49"/>
      <c r="U5" s="49"/>
      <c r="V5" s="49"/>
      <c r="W5" s="49"/>
      <c r="X5" s="39"/>
      <c r="Y5" s="49"/>
      <c r="Z5" s="49"/>
      <c r="AA5" s="31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50"/>
      <c r="BI5" s="34"/>
      <c r="BJ5" s="35"/>
      <c r="BK5" s="34"/>
      <c r="BL5" s="41"/>
      <c r="BM5" s="36"/>
      <c r="BN5" s="37"/>
      <c r="BO5" s="34"/>
      <c r="BP5" s="34"/>
      <c r="BQ5" s="34"/>
      <c r="BR5" s="205"/>
      <c r="BS5" s="34"/>
      <c r="BT5" s="37"/>
      <c r="BU5" s="35"/>
      <c r="BV5" s="37"/>
      <c r="BW5" s="37"/>
      <c r="BX5" s="34"/>
      <c r="BY5" s="37"/>
      <c r="BZ5" s="37"/>
      <c r="CA5" s="37"/>
      <c r="CB5" s="37"/>
      <c r="CC5" s="37"/>
      <c r="CD5" s="137"/>
      <c r="CE5" s="37"/>
      <c r="CF5" s="37"/>
      <c r="CG5" s="37"/>
    </row>
    <row r="6" spans="1:85" s="138" customFormat="1" ht="15" customHeight="1">
      <c r="A6" s="43"/>
      <c r="B6" s="45"/>
      <c r="C6" s="139"/>
      <c r="D6" s="29"/>
      <c r="E6" s="29"/>
      <c r="F6" s="29"/>
      <c r="G6" s="29"/>
      <c r="H6" s="29"/>
      <c r="I6" s="29"/>
      <c r="J6" s="44"/>
      <c r="K6" s="44"/>
      <c r="L6" s="44"/>
      <c r="M6" s="44"/>
      <c r="N6" s="44"/>
      <c r="O6" s="44"/>
      <c r="P6" s="44"/>
      <c r="Q6" s="137"/>
      <c r="R6" s="49"/>
      <c r="S6" s="49"/>
      <c r="T6" s="49"/>
      <c r="U6" s="49"/>
      <c r="V6" s="49"/>
      <c r="W6" s="49"/>
      <c r="X6" s="39"/>
      <c r="Y6" s="49"/>
      <c r="Z6" s="49"/>
      <c r="AA6" s="31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50"/>
      <c r="BI6" s="34"/>
      <c r="BJ6" s="35"/>
      <c r="BK6" s="34"/>
      <c r="BL6" s="41"/>
      <c r="BM6" s="36"/>
      <c r="BN6" s="37"/>
      <c r="BO6" s="34"/>
      <c r="BP6" s="34"/>
      <c r="BQ6" s="34"/>
      <c r="BR6" s="205"/>
      <c r="BS6" s="34"/>
      <c r="BT6" s="37"/>
      <c r="BU6" s="35"/>
      <c r="BV6" s="37"/>
      <c r="BW6" s="37"/>
      <c r="BX6" s="34"/>
      <c r="BY6" s="37"/>
      <c r="BZ6" s="37"/>
      <c r="CA6" s="37"/>
      <c r="CB6" s="37"/>
      <c r="CC6" s="37"/>
      <c r="CD6" s="137"/>
      <c r="CE6" s="37"/>
      <c r="CF6" s="37"/>
      <c r="CG6" s="37"/>
    </row>
    <row r="7" spans="1:85" s="138" customFormat="1" ht="15" customHeight="1" thickBot="1">
      <c r="A7" s="43"/>
      <c r="B7" s="45"/>
      <c r="C7" s="139"/>
      <c r="D7" s="29"/>
      <c r="E7" s="29"/>
      <c r="F7" s="29"/>
      <c r="G7" s="29"/>
      <c r="H7" s="29"/>
      <c r="I7" s="29"/>
      <c r="J7" s="44"/>
      <c r="K7" s="44"/>
      <c r="L7" s="44"/>
      <c r="M7" s="44"/>
      <c r="N7" s="44"/>
      <c r="O7" s="44"/>
      <c r="P7" s="44"/>
      <c r="Q7" s="137"/>
      <c r="R7" s="49"/>
      <c r="S7" s="49"/>
      <c r="T7" s="49"/>
      <c r="U7" s="49"/>
      <c r="V7" s="49"/>
      <c r="W7" s="49"/>
      <c r="X7" s="39"/>
      <c r="Y7" s="49"/>
      <c r="Z7" s="49"/>
      <c r="AA7" s="31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50"/>
      <c r="BI7" s="34"/>
      <c r="BJ7" s="35"/>
      <c r="BK7" s="34"/>
      <c r="BL7" s="41"/>
      <c r="BM7" s="36"/>
      <c r="BN7" s="37"/>
      <c r="BO7" s="34"/>
      <c r="BP7" s="34"/>
      <c r="BQ7" s="34"/>
      <c r="BR7" s="205"/>
      <c r="BS7" s="34"/>
      <c r="BT7" s="37"/>
      <c r="BU7" s="35"/>
      <c r="BV7" s="37"/>
      <c r="BW7" s="37"/>
      <c r="BX7" s="34"/>
      <c r="BY7" s="37"/>
      <c r="BZ7" s="37"/>
      <c r="CA7" s="37"/>
      <c r="CB7" s="37"/>
      <c r="CC7" s="37"/>
      <c r="CD7" s="137"/>
      <c r="CE7" s="37"/>
      <c r="CF7" s="37"/>
      <c r="CG7" s="37"/>
    </row>
    <row r="8" spans="1:85" s="138" customFormat="1" ht="15" customHeight="1" thickBot="1">
      <c r="A8" s="140" t="s">
        <v>31</v>
      </c>
      <c r="B8" s="141"/>
      <c r="C8" s="142">
        <v>51.19</v>
      </c>
      <c r="D8" s="29"/>
      <c r="E8" s="29"/>
      <c r="F8" s="29"/>
      <c r="G8" s="29"/>
      <c r="H8" s="29"/>
      <c r="I8" s="29"/>
      <c r="J8" s="44"/>
      <c r="K8" s="44"/>
      <c r="L8" s="44"/>
      <c r="M8" s="44"/>
      <c r="N8" s="44"/>
      <c r="O8" s="44"/>
      <c r="P8" s="44"/>
      <c r="Q8" s="137"/>
      <c r="R8" s="49"/>
      <c r="S8" s="49"/>
      <c r="T8" s="49"/>
      <c r="U8" s="49"/>
      <c r="V8" s="49"/>
      <c r="W8" s="49"/>
      <c r="X8" s="39"/>
      <c r="Y8" s="49"/>
      <c r="Z8" s="49"/>
      <c r="AA8" s="31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50"/>
      <c r="BI8" s="34"/>
      <c r="BJ8" s="35"/>
      <c r="BK8" s="34"/>
      <c r="BL8" s="41"/>
      <c r="BM8" s="36"/>
      <c r="BN8" s="37"/>
      <c r="BO8" s="34"/>
      <c r="BP8" s="34"/>
      <c r="BQ8" s="34"/>
      <c r="BR8" s="205"/>
      <c r="BS8" s="34"/>
      <c r="BT8" s="37"/>
      <c r="BU8" s="35"/>
      <c r="BV8" s="37"/>
      <c r="BW8" s="37"/>
      <c r="BX8" s="34"/>
      <c r="BY8" s="37"/>
      <c r="BZ8" s="37"/>
      <c r="CA8" s="37"/>
      <c r="CB8" s="37"/>
      <c r="CC8" s="37"/>
      <c r="CD8" s="137"/>
      <c r="CE8" s="37"/>
      <c r="CF8" s="37"/>
      <c r="CG8" s="37"/>
    </row>
    <row r="9" spans="1:85" s="138" customFormat="1" ht="15" customHeight="1">
      <c r="A9" s="137"/>
      <c r="B9" s="45"/>
      <c r="C9" s="49"/>
      <c r="D9" s="29"/>
      <c r="E9" s="29"/>
      <c r="F9" s="29"/>
      <c r="G9" s="29"/>
      <c r="H9" s="29"/>
      <c r="I9" s="29"/>
      <c r="J9" s="44"/>
      <c r="K9" s="44"/>
      <c r="L9" s="44"/>
      <c r="M9" s="44"/>
      <c r="N9" s="44"/>
      <c r="O9" s="44"/>
      <c r="P9" s="44"/>
      <c r="Q9" s="137"/>
      <c r="R9" s="143"/>
      <c r="S9" s="143"/>
      <c r="T9" s="143"/>
      <c r="U9" s="143"/>
      <c r="V9" s="143"/>
      <c r="W9" s="143"/>
      <c r="X9" s="144"/>
      <c r="Y9" s="49"/>
      <c r="Z9" s="49"/>
      <c r="AA9" s="31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50"/>
      <c r="BI9" s="34"/>
      <c r="BJ9" s="35"/>
      <c r="BK9" s="34"/>
      <c r="BL9" s="41"/>
      <c r="BM9" s="36"/>
      <c r="BN9" s="37"/>
      <c r="BO9" s="34"/>
      <c r="BP9" s="34"/>
      <c r="BQ9" s="34"/>
      <c r="BR9" s="205"/>
      <c r="BS9" s="34"/>
      <c r="BT9" s="37"/>
      <c r="BU9" s="35"/>
      <c r="BV9" s="37"/>
      <c r="BW9" s="37"/>
      <c r="BX9" s="34"/>
      <c r="BY9" s="37"/>
      <c r="BZ9" s="37"/>
      <c r="CA9" s="37"/>
      <c r="CB9" s="37"/>
      <c r="CC9" s="37"/>
      <c r="CD9" s="137"/>
      <c r="CE9" s="37"/>
      <c r="CF9" s="37"/>
      <c r="CG9" s="37"/>
    </row>
    <row r="10" spans="1:85" s="138" customFormat="1" ht="15" customHeight="1">
      <c r="A10" s="137" t="s">
        <v>388</v>
      </c>
      <c r="B10" s="45"/>
      <c r="C10" s="49">
        <v>0</v>
      </c>
      <c r="D10" s="29"/>
      <c r="E10" s="29"/>
      <c r="F10" s="29"/>
      <c r="G10" s="29"/>
      <c r="H10" s="29"/>
      <c r="I10" s="29"/>
      <c r="J10" s="44"/>
      <c r="K10" s="44"/>
      <c r="L10" s="44"/>
      <c r="M10" s="44"/>
      <c r="N10" s="44"/>
      <c r="O10" s="44"/>
      <c r="P10" s="44"/>
      <c r="Q10" s="137"/>
      <c r="R10" s="143"/>
      <c r="S10" s="143"/>
      <c r="T10" s="143"/>
      <c r="U10" s="143"/>
      <c r="V10" s="143"/>
      <c r="W10" s="143"/>
      <c r="X10" s="144"/>
      <c r="Y10" s="49"/>
      <c r="Z10" s="49"/>
      <c r="AA10" s="31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50"/>
      <c r="BI10" s="34"/>
      <c r="BJ10" s="35"/>
      <c r="BK10" s="34"/>
      <c r="BL10" s="41"/>
      <c r="BM10" s="36"/>
      <c r="BN10" s="37"/>
      <c r="BO10" s="34"/>
      <c r="BP10" s="34"/>
      <c r="BQ10" s="34"/>
      <c r="BR10" s="205"/>
      <c r="BS10" s="34"/>
      <c r="BT10" s="37"/>
      <c r="BU10" s="35"/>
      <c r="BV10" s="37"/>
      <c r="BW10" s="37"/>
      <c r="BX10" s="34"/>
      <c r="BY10" s="37"/>
      <c r="BZ10" s="37"/>
      <c r="CA10" s="37"/>
      <c r="CB10" s="37"/>
      <c r="CC10" s="37"/>
      <c r="CD10" s="137"/>
      <c r="CE10" s="37"/>
      <c r="CF10" s="37"/>
      <c r="CG10" s="37"/>
    </row>
    <row r="11" spans="1:85" s="138" customFormat="1" ht="15" customHeight="1">
      <c r="A11" s="137" t="s">
        <v>32</v>
      </c>
      <c r="B11" s="45"/>
      <c r="C11" s="49">
        <v>0</v>
      </c>
      <c r="D11" s="29"/>
      <c r="E11" s="29"/>
      <c r="F11" s="29"/>
      <c r="G11" s="29"/>
      <c r="H11" s="29"/>
      <c r="I11" s="29"/>
      <c r="J11" s="44"/>
      <c r="K11" s="44"/>
      <c r="L11" s="44"/>
      <c r="M11" s="44"/>
      <c r="N11" s="44"/>
      <c r="O11" s="44"/>
      <c r="P11" s="44"/>
      <c r="Q11" s="137"/>
      <c r="R11" s="145"/>
      <c r="S11" s="145"/>
      <c r="T11" s="145"/>
      <c r="U11" s="145"/>
      <c r="V11" s="145"/>
      <c r="W11" s="145"/>
      <c r="X11" s="144"/>
      <c r="Y11" s="49"/>
      <c r="Z11" s="49"/>
      <c r="AA11" s="31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50"/>
      <c r="BI11" s="34"/>
      <c r="BJ11" s="35"/>
      <c r="BK11" s="34"/>
      <c r="BL11" s="41"/>
      <c r="BM11" s="36"/>
      <c r="BN11" s="37"/>
      <c r="BO11" s="34"/>
      <c r="BP11" s="34"/>
      <c r="BQ11" s="34"/>
      <c r="BR11" s="205"/>
      <c r="BS11" s="34"/>
      <c r="BT11" s="37"/>
      <c r="BU11" s="35"/>
      <c r="BV11" s="37"/>
      <c r="BW11" s="37"/>
      <c r="BX11" s="34"/>
      <c r="BY11" s="37"/>
      <c r="BZ11" s="37"/>
      <c r="CA11" s="37"/>
      <c r="CB11" s="37"/>
      <c r="CC11" s="37"/>
      <c r="CD11" s="137"/>
      <c r="CE11" s="37"/>
      <c r="CF11" s="37"/>
      <c r="CG11" s="37"/>
    </row>
    <row r="12" spans="1:85" s="138" customFormat="1" ht="15" customHeight="1">
      <c r="A12" s="137" t="s">
        <v>33</v>
      </c>
      <c r="B12" s="45"/>
      <c r="C12" s="49">
        <v>0</v>
      </c>
      <c r="D12" s="29"/>
      <c r="E12" s="29"/>
      <c r="F12" s="29"/>
      <c r="G12" s="29"/>
      <c r="H12" s="29"/>
      <c r="I12" s="29"/>
      <c r="J12" s="44"/>
      <c r="K12" s="44"/>
      <c r="L12" s="44"/>
      <c r="M12" s="44"/>
      <c r="N12" s="44"/>
      <c r="O12" s="44"/>
      <c r="P12" s="44"/>
      <c r="Q12" s="137"/>
      <c r="R12" s="145"/>
      <c r="S12" s="145"/>
      <c r="T12" s="145"/>
      <c r="U12" s="145"/>
      <c r="V12" s="145"/>
      <c r="W12" s="145"/>
      <c r="X12" s="144"/>
      <c r="Y12" s="49"/>
      <c r="Z12" s="49"/>
      <c r="AA12" s="31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50"/>
      <c r="BI12" s="34"/>
      <c r="BJ12" s="35"/>
      <c r="BK12" s="34"/>
      <c r="BL12" s="41"/>
      <c r="BM12" s="36"/>
      <c r="BN12" s="37"/>
      <c r="BO12" s="34"/>
      <c r="BP12" s="34"/>
      <c r="BQ12" s="34"/>
      <c r="BR12" s="205"/>
      <c r="BS12" s="34"/>
      <c r="BT12" s="37"/>
      <c r="BU12" s="35"/>
      <c r="BV12" s="37"/>
      <c r="BW12" s="37"/>
      <c r="BX12" s="34"/>
      <c r="BY12" s="37"/>
      <c r="BZ12" s="37"/>
      <c r="CA12" s="37"/>
      <c r="CB12" s="37"/>
      <c r="CC12" s="37"/>
      <c r="CD12" s="137"/>
      <c r="CE12" s="37"/>
      <c r="CF12" s="37"/>
      <c r="CG12" s="37"/>
    </row>
    <row r="13" spans="1:85" s="138" customFormat="1" ht="15" customHeight="1">
      <c r="A13" s="137" t="s">
        <v>34</v>
      </c>
      <c r="B13" s="45"/>
      <c r="C13" s="49">
        <v>51.19</v>
      </c>
      <c r="D13" s="29"/>
      <c r="E13" s="29"/>
      <c r="F13" s="29"/>
      <c r="G13" s="29"/>
      <c r="H13" s="29"/>
      <c r="I13" s="29"/>
      <c r="J13" s="44"/>
      <c r="K13" s="44"/>
      <c r="L13" s="44"/>
      <c r="M13" s="44"/>
      <c r="N13" s="44"/>
      <c r="O13" s="44"/>
      <c r="P13" s="44"/>
      <c r="Q13" s="137"/>
      <c r="R13" s="143"/>
      <c r="S13" s="143"/>
      <c r="T13" s="143"/>
      <c r="U13" s="143"/>
      <c r="V13" s="143"/>
      <c r="W13" s="143"/>
      <c r="X13" s="144"/>
      <c r="Y13" s="49"/>
      <c r="Z13" s="49"/>
      <c r="AA13" s="31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50"/>
      <c r="BI13" s="34"/>
      <c r="BJ13" s="35"/>
      <c r="BK13" s="34"/>
      <c r="BL13" s="41"/>
      <c r="BM13" s="36"/>
      <c r="BN13" s="37"/>
      <c r="BO13" s="34"/>
      <c r="BP13" s="34"/>
      <c r="BQ13" s="34"/>
      <c r="BR13" s="205"/>
      <c r="BS13" s="34"/>
      <c r="BT13" s="37"/>
      <c r="BU13" s="35"/>
      <c r="BV13" s="37"/>
      <c r="BW13" s="37"/>
      <c r="BX13" s="34"/>
      <c r="BY13" s="37"/>
      <c r="BZ13" s="37"/>
      <c r="CA13" s="37"/>
      <c r="CB13" s="37"/>
      <c r="CC13" s="37"/>
      <c r="CD13" s="137"/>
      <c r="CE13" s="37"/>
      <c r="CF13" s="37"/>
      <c r="CG13" s="37"/>
    </row>
    <row r="14" spans="1:85" s="138" customFormat="1" ht="15" customHeight="1">
      <c r="A14" s="137" t="s">
        <v>35</v>
      </c>
      <c r="B14" s="45"/>
      <c r="C14" s="49">
        <v>0</v>
      </c>
      <c r="D14" s="29"/>
      <c r="E14" s="29"/>
      <c r="F14" s="29"/>
      <c r="G14" s="29"/>
      <c r="H14" s="29"/>
      <c r="I14" s="29"/>
      <c r="J14" s="44"/>
      <c r="K14" s="44"/>
      <c r="L14" s="44"/>
      <c r="M14" s="44"/>
      <c r="N14" s="44"/>
      <c r="O14" s="44"/>
      <c r="P14" s="44"/>
      <c r="Q14" s="137"/>
      <c r="R14" s="49"/>
      <c r="S14" s="49"/>
      <c r="T14" s="49"/>
      <c r="U14" s="49"/>
      <c r="V14" s="49"/>
      <c r="W14" s="49"/>
      <c r="X14" s="39"/>
      <c r="Y14" s="49"/>
      <c r="Z14" s="49"/>
      <c r="AA14" s="31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50"/>
      <c r="BI14" s="34"/>
      <c r="BJ14" s="35"/>
      <c r="BK14" s="34"/>
      <c r="BL14" s="41"/>
      <c r="BM14" s="36"/>
      <c r="BN14" s="37"/>
      <c r="BO14" s="34"/>
      <c r="BP14" s="34"/>
      <c r="BQ14" s="34"/>
      <c r="BR14" s="205"/>
      <c r="BS14" s="34"/>
      <c r="BT14" s="37"/>
      <c r="BU14" s="35"/>
      <c r="BV14" s="37"/>
      <c r="BW14" s="37"/>
      <c r="BX14" s="34"/>
      <c r="BY14" s="37"/>
      <c r="BZ14" s="37"/>
      <c r="CA14" s="37"/>
      <c r="CB14" s="37"/>
      <c r="CC14" s="37"/>
      <c r="CD14" s="137"/>
      <c r="CE14" s="37"/>
      <c r="CF14" s="37"/>
      <c r="CG14" s="37"/>
    </row>
    <row r="15" spans="1:85" s="138" customFormat="1" ht="15" customHeight="1">
      <c r="A15" s="137" t="s">
        <v>36</v>
      </c>
      <c r="B15" s="49"/>
      <c r="C15" s="49">
        <v>0</v>
      </c>
      <c r="D15" s="29"/>
      <c r="E15" s="29"/>
      <c r="F15" s="29"/>
      <c r="G15" s="29"/>
      <c r="H15" s="29"/>
      <c r="I15" s="29"/>
      <c r="J15" s="44"/>
      <c r="K15" s="44"/>
      <c r="L15" s="44"/>
      <c r="M15" s="44"/>
      <c r="N15" s="44"/>
      <c r="O15" s="44"/>
      <c r="P15" s="44"/>
      <c r="Q15" s="137"/>
      <c r="R15" s="49"/>
      <c r="S15" s="49"/>
      <c r="T15" s="49"/>
      <c r="U15" s="49"/>
      <c r="V15" s="49"/>
      <c r="W15" s="49"/>
      <c r="X15" s="39"/>
      <c r="Y15" s="49"/>
      <c r="Z15" s="49"/>
      <c r="AA15" s="31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50"/>
      <c r="BI15" s="34"/>
      <c r="BJ15" s="35"/>
      <c r="BK15" s="34"/>
      <c r="BL15" s="41"/>
      <c r="BM15" s="36"/>
      <c r="BN15" s="37"/>
      <c r="BO15" s="34"/>
      <c r="BP15" s="34"/>
      <c r="BQ15" s="34"/>
      <c r="BR15" s="205"/>
      <c r="BS15" s="34"/>
      <c r="BT15" s="37"/>
      <c r="BU15" s="35"/>
      <c r="BV15" s="37"/>
      <c r="BW15" s="37"/>
      <c r="BX15" s="34"/>
      <c r="BY15" s="37"/>
      <c r="BZ15" s="37"/>
      <c r="CA15" s="37"/>
      <c r="CB15" s="37"/>
      <c r="CC15" s="37"/>
      <c r="CD15" s="137"/>
      <c r="CE15" s="37"/>
      <c r="CF15" s="37"/>
      <c r="CG15" s="37"/>
    </row>
    <row r="16" spans="1:85" s="138" customFormat="1" ht="15" customHeight="1">
      <c r="A16" s="137" t="s">
        <v>37</v>
      </c>
      <c r="B16" s="49"/>
      <c r="C16" s="49">
        <v>0</v>
      </c>
      <c r="D16" s="29"/>
      <c r="E16" s="29"/>
      <c r="F16" s="29"/>
      <c r="G16" s="29"/>
      <c r="H16" s="29"/>
      <c r="I16" s="29"/>
      <c r="J16" s="44"/>
      <c r="K16" s="44"/>
      <c r="L16" s="44"/>
      <c r="M16" s="44"/>
      <c r="N16" s="44"/>
      <c r="O16" s="44"/>
      <c r="P16" s="44"/>
      <c r="Q16" s="137"/>
      <c r="R16" s="49"/>
      <c r="S16" s="49"/>
      <c r="T16" s="49"/>
      <c r="U16" s="49"/>
      <c r="V16" s="49"/>
      <c r="W16" s="49"/>
      <c r="X16" s="39"/>
      <c r="Y16" s="49"/>
      <c r="Z16" s="49"/>
      <c r="AA16" s="31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50"/>
      <c r="BI16" s="34"/>
      <c r="BJ16" s="35"/>
      <c r="BK16" s="34"/>
      <c r="BL16" s="41"/>
      <c r="BM16" s="36"/>
      <c r="BN16" s="37"/>
      <c r="BO16" s="34"/>
      <c r="BP16" s="34"/>
      <c r="BQ16" s="34"/>
      <c r="BR16" s="205"/>
      <c r="BS16" s="34"/>
      <c r="BT16" s="37"/>
      <c r="BU16" s="35"/>
      <c r="BV16" s="37"/>
      <c r="BW16" s="37"/>
      <c r="BX16" s="34"/>
      <c r="BY16" s="37"/>
      <c r="BZ16" s="37"/>
      <c r="CA16" s="37"/>
      <c r="CB16" s="37"/>
      <c r="CC16" s="37"/>
      <c r="CD16" s="137"/>
      <c r="CE16" s="37"/>
      <c r="CF16" s="37"/>
      <c r="CG16" s="37"/>
    </row>
    <row r="17" spans="1:86" s="138" customFormat="1" ht="15" customHeight="1">
      <c r="A17" s="137" t="s">
        <v>38</v>
      </c>
      <c r="B17" s="49"/>
      <c r="C17" s="49">
        <v>0</v>
      </c>
      <c r="D17" s="29"/>
      <c r="E17" s="29"/>
      <c r="F17" s="29"/>
      <c r="G17" s="29"/>
      <c r="H17" s="29"/>
      <c r="I17" s="29"/>
      <c r="J17" s="44"/>
      <c r="K17" s="44"/>
      <c r="L17" s="44"/>
      <c r="M17" s="44"/>
      <c r="N17" s="44"/>
      <c r="O17" s="44"/>
      <c r="P17" s="44"/>
      <c r="Q17" s="137"/>
      <c r="R17" s="49"/>
      <c r="S17" s="49"/>
      <c r="T17" s="49"/>
      <c r="U17" s="49"/>
      <c r="V17" s="49"/>
      <c r="W17" s="49"/>
      <c r="X17" s="39"/>
      <c r="Y17" s="49"/>
      <c r="Z17" s="49"/>
      <c r="AA17" s="31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50"/>
      <c r="BI17" s="34"/>
      <c r="BJ17" s="35"/>
      <c r="BK17" s="34"/>
      <c r="BL17" s="41"/>
      <c r="BM17" s="36"/>
      <c r="BN17" s="37"/>
      <c r="BO17" s="34"/>
      <c r="BP17" s="34"/>
      <c r="BQ17" s="34"/>
      <c r="BR17" s="205"/>
      <c r="BS17" s="34"/>
      <c r="BT17" s="37"/>
      <c r="BU17" s="35"/>
      <c r="BV17" s="37"/>
      <c r="BW17" s="37"/>
      <c r="BX17" s="34"/>
      <c r="BY17" s="37"/>
      <c r="BZ17" s="37"/>
      <c r="CA17" s="37"/>
      <c r="CB17" s="37"/>
      <c r="CC17" s="37"/>
      <c r="CD17" s="137"/>
      <c r="CE17" s="37"/>
      <c r="CF17" s="37"/>
      <c r="CG17" s="37"/>
    </row>
    <row r="18" spans="1:86" s="138" customFormat="1" ht="15" customHeight="1">
      <c r="A18" s="137" t="s">
        <v>39</v>
      </c>
      <c r="B18" s="49"/>
      <c r="C18" s="49">
        <v>0</v>
      </c>
      <c r="D18" s="29"/>
      <c r="E18" s="29"/>
      <c r="F18" s="29"/>
      <c r="G18" s="29"/>
      <c r="H18" s="29"/>
      <c r="I18" s="29"/>
      <c r="J18" s="44"/>
      <c r="K18" s="44"/>
      <c r="L18" s="44"/>
      <c r="M18" s="44"/>
      <c r="N18" s="44"/>
      <c r="O18" s="44"/>
      <c r="P18" s="44"/>
      <c r="Q18" s="137"/>
      <c r="R18" s="49"/>
      <c r="S18" s="49"/>
      <c r="T18" s="49"/>
      <c r="U18" s="49"/>
      <c r="V18" s="49"/>
      <c r="W18" s="49"/>
      <c r="X18" s="39"/>
      <c r="Y18" s="49"/>
      <c r="Z18" s="49"/>
      <c r="AA18" s="31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50"/>
      <c r="BI18" s="34"/>
      <c r="BJ18" s="35"/>
      <c r="BK18" s="34"/>
      <c r="BL18" s="41"/>
      <c r="BM18" s="36"/>
      <c r="BN18" s="37"/>
      <c r="BO18" s="34"/>
      <c r="BP18" s="34"/>
      <c r="BQ18" s="34"/>
      <c r="BR18" s="205"/>
      <c r="BS18" s="34"/>
      <c r="BT18" s="37"/>
      <c r="BU18" s="35"/>
      <c r="BV18" s="37"/>
      <c r="BW18" s="37"/>
      <c r="BX18" s="34"/>
      <c r="BY18" s="37"/>
      <c r="BZ18" s="37"/>
      <c r="CA18" s="37"/>
      <c r="CB18" s="37"/>
      <c r="CC18" s="37"/>
      <c r="CD18" s="137"/>
      <c r="CE18" s="37"/>
      <c r="CF18" s="37"/>
      <c r="CG18" s="37"/>
    </row>
    <row r="19" spans="1:86" s="138" customFormat="1" ht="15" customHeight="1">
      <c r="A19" s="137" t="s">
        <v>40</v>
      </c>
      <c r="B19" s="49"/>
      <c r="C19" s="49">
        <v>0</v>
      </c>
      <c r="D19" s="29"/>
      <c r="E19" s="29"/>
      <c r="F19" s="29"/>
      <c r="G19" s="29"/>
      <c r="H19" s="29"/>
      <c r="I19" s="29"/>
      <c r="J19" s="44"/>
      <c r="K19" s="44"/>
      <c r="L19" s="44"/>
      <c r="M19" s="44"/>
      <c r="N19" s="44"/>
      <c r="O19" s="44"/>
      <c r="P19" s="44"/>
      <c r="Q19" s="137"/>
      <c r="R19" s="49"/>
      <c r="S19" s="49"/>
      <c r="T19" s="49"/>
      <c r="U19" s="49"/>
      <c r="V19" s="49"/>
      <c r="W19" s="49"/>
      <c r="X19" s="39"/>
      <c r="Y19" s="49"/>
      <c r="Z19" s="49"/>
      <c r="AA19" s="31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50"/>
      <c r="BI19" s="34"/>
      <c r="BJ19" s="35"/>
      <c r="BK19" s="34"/>
      <c r="BL19" s="41"/>
      <c r="BM19" s="36"/>
      <c r="BN19" s="37"/>
      <c r="BO19" s="34"/>
      <c r="BP19" s="34"/>
      <c r="BQ19" s="34"/>
      <c r="BR19" s="205"/>
      <c r="BS19" s="34"/>
      <c r="BT19" s="37"/>
      <c r="BU19" s="35"/>
      <c r="BV19" s="37"/>
      <c r="BW19" s="37"/>
      <c r="BX19" s="34"/>
      <c r="BY19" s="37"/>
      <c r="BZ19" s="37"/>
      <c r="CA19" s="37"/>
      <c r="CB19" s="37"/>
      <c r="CC19" s="37"/>
      <c r="CD19" s="137"/>
      <c r="CE19" s="37"/>
      <c r="CF19" s="37"/>
      <c r="CG19" s="37"/>
    </row>
    <row r="20" spans="1:86" s="138" customFormat="1" ht="15" customHeight="1">
      <c r="A20" s="137" t="s">
        <v>41</v>
      </c>
      <c r="B20" s="49"/>
      <c r="C20" s="49">
        <v>0</v>
      </c>
      <c r="D20" s="29"/>
      <c r="E20" s="29"/>
      <c r="F20" s="29"/>
      <c r="G20" s="29"/>
      <c r="H20" s="29"/>
      <c r="I20" s="29"/>
      <c r="J20" s="44"/>
      <c r="K20" s="44"/>
      <c r="L20" s="44"/>
      <c r="M20" s="44"/>
      <c r="N20" s="44"/>
      <c r="O20" s="44"/>
      <c r="P20" s="44"/>
      <c r="Q20" s="137"/>
      <c r="R20" s="49"/>
      <c r="S20" s="49"/>
      <c r="T20" s="49"/>
      <c r="U20" s="49"/>
      <c r="V20" s="49"/>
      <c r="W20" s="49"/>
      <c r="X20" s="39"/>
      <c r="Y20" s="49"/>
      <c r="Z20" s="49"/>
      <c r="AA20" s="31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50"/>
      <c r="BI20" s="34"/>
      <c r="BJ20" s="35"/>
      <c r="BK20" s="34"/>
      <c r="BL20" s="41"/>
      <c r="BM20" s="36"/>
      <c r="BN20" s="37"/>
      <c r="BO20" s="34"/>
      <c r="BP20" s="34"/>
      <c r="BQ20" s="34"/>
      <c r="BR20" s="205"/>
      <c r="BS20" s="34"/>
      <c r="BT20" s="37"/>
      <c r="BU20" s="35"/>
      <c r="BV20" s="37"/>
      <c r="BW20" s="37"/>
      <c r="BX20" s="34"/>
      <c r="BY20" s="37"/>
      <c r="BZ20" s="37"/>
      <c r="CA20" s="37"/>
      <c r="CB20" s="37"/>
      <c r="CC20" s="37"/>
      <c r="CD20" s="137"/>
      <c r="CE20" s="37"/>
      <c r="CF20" s="37"/>
      <c r="CG20" s="37"/>
    </row>
    <row r="21" spans="1:86" s="138" customFormat="1" ht="15" customHeight="1">
      <c r="A21" s="137" t="s">
        <v>42</v>
      </c>
      <c r="B21" s="49"/>
      <c r="C21" s="49">
        <v>0</v>
      </c>
      <c r="D21" s="29"/>
      <c r="E21" s="29"/>
      <c r="F21" s="29"/>
      <c r="G21" s="29"/>
      <c r="H21" s="29"/>
      <c r="I21" s="29"/>
      <c r="J21" s="44"/>
      <c r="K21" s="44"/>
      <c r="L21" s="44"/>
      <c r="M21" s="44"/>
      <c r="N21" s="44"/>
      <c r="O21" s="44"/>
      <c r="P21" s="44"/>
      <c r="Q21" s="137"/>
      <c r="R21" s="49"/>
      <c r="S21" s="49"/>
      <c r="T21" s="49"/>
      <c r="U21" s="49"/>
      <c r="V21" s="49"/>
      <c r="W21" s="49"/>
      <c r="X21" s="39"/>
      <c r="Y21" s="49"/>
      <c r="Z21" s="49"/>
      <c r="AA21" s="31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50"/>
      <c r="BI21" s="34"/>
      <c r="BJ21" s="35"/>
      <c r="BK21" s="34"/>
      <c r="BL21" s="41"/>
      <c r="BM21" s="36"/>
      <c r="BN21" s="37"/>
      <c r="BO21" s="34"/>
      <c r="BP21" s="34"/>
      <c r="BQ21" s="34"/>
      <c r="BR21" s="205"/>
      <c r="BS21" s="34"/>
      <c r="BT21" s="37"/>
      <c r="BU21" s="35"/>
      <c r="BV21" s="37"/>
      <c r="BW21" s="37"/>
      <c r="BX21" s="34"/>
      <c r="BY21" s="37"/>
      <c r="BZ21" s="37"/>
      <c r="CA21" s="37"/>
      <c r="CB21" s="37"/>
      <c r="CC21" s="37"/>
      <c r="CD21" s="137"/>
      <c r="CE21" s="37"/>
      <c r="CF21" s="37"/>
      <c r="CG21" s="37"/>
    </row>
    <row r="22" spans="1:86" s="138" customFormat="1" ht="15" customHeight="1">
      <c r="A22" s="137" t="s">
        <v>389</v>
      </c>
      <c r="B22" s="49"/>
      <c r="C22" s="49">
        <v>0</v>
      </c>
      <c r="D22" s="29"/>
      <c r="E22" s="29"/>
      <c r="F22" s="29"/>
      <c r="G22" s="29"/>
      <c r="H22" s="29"/>
      <c r="I22" s="29"/>
      <c r="J22" s="44"/>
      <c r="K22" s="44"/>
      <c r="L22" s="44"/>
      <c r="M22" s="44"/>
      <c r="N22" s="44"/>
      <c r="O22" s="44"/>
      <c r="P22" s="44"/>
      <c r="Q22" s="137"/>
      <c r="R22" s="49"/>
      <c r="S22" s="49"/>
      <c r="T22" s="49"/>
      <c r="U22" s="49"/>
      <c r="V22" s="49"/>
      <c r="W22" s="49"/>
      <c r="X22" s="39"/>
      <c r="Y22" s="49"/>
      <c r="Z22" s="49"/>
      <c r="AA22" s="31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50"/>
      <c r="BI22" s="34"/>
      <c r="BJ22" s="35"/>
      <c r="BK22" s="34"/>
      <c r="BL22" s="41"/>
      <c r="BM22" s="36"/>
      <c r="BN22" s="37"/>
      <c r="BO22" s="34"/>
      <c r="BP22" s="34"/>
      <c r="BQ22" s="34"/>
      <c r="BR22" s="205"/>
      <c r="BS22" s="34"/>
      <c r="BT22" s="37"/>
      <c r="BU22" s="35"/>
      <c r="BV22" s="37"/>
      <c r="BW22" s="37"/>
      <c r="BX22" s="34"/>
      <c r="BY22" s="37"/>
      <c r="BZ22" s="37"/>
      <c r="CA22" s="37"/>
      <c r="CB22" s="37"/>
      <c r="CC22" s="37"/>
      <c r="CD22" s="137"/>
      <c r="CE22" s="37"/>
      <c r="CF22" s="37"/>
      <c r="CG22" s="37"/>
    </row>
    <row r="23" spans="1:86" s="138" customFormat="1" ht="15" customHeight="1">
      <c r="A23" s="137" t="s">
        <v>390</v>
      </c>
      <c r="B23" s="49"/>
      <c r="C23" s="49">
        <v>0</v>
      </c>
      <c r="D23" s="29"/>
      <c r="E23" s="29"/>
      <c r="F23" s="29"/>
      <c r="G23" s="29"/>
      <c r="H23" s="29"/>
      <c r="I23" s="29"/>
      <c r="J23" s="44"/>
      <c r="K23" s="44"/>
      <c r="L23" s="44"/>
      <c r="M23" s="44"/>
      <c r="N23" s="44"/>
      <c r="O23" s="44"/>
      <c r="P23" s="44"/>
      <c r="Q23" s="137"/>
      <c r="R23" s="49"/>
      <c r="S23" s="49"/>
      <c r="T23" s="49"/>
      <c r="U23" s="49"/>
      <c r="V23" s="49"/>
      <c r="W23" s="49"/>
      <c r="X23" s="39"/>
      <c r="Y23" s="49"/>
      <c r="Z23" s="49"/>
      <c r="AA23" s="31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50"/>
      <c r="BI23" s="34"/>
      <c r="BJ23" s="35"/>
      <c r="BK23" s="34"/>
      <c r="BL23" s="41"/>
      <c r="BM23" s="36"/>
      <c r="BN23" s="37"/>
      <c r="BO23" s="34"/>
      <c r="BP23" s="34"/>
      <c r="BQ23" s="34"/>
      <c r="BR23" s="205"/>
      <c r="BS23" s="34"/>
      <c r="BT23" s="37"/>
      <c r="BU23" s="35"/>
      <c r="BV23" s="37"/>
      <c r="BW23" s="37"/>
      <c r="BX23" s="34"/>
      <c r="BY23" s="37"/>
      <c r="BZ23" s="37"/>
      <c r="CA23" s="37"/>
      <c r="CB23" s="37"/>
      <c r="CC23" s="37"/>
      <c r="CD23" s="137"/>
      <c r="CE23" s="37"/>
      <c r="CF23" s="37"/>
      <c r="CG23" s="37"/>
    </row>
    <row r="24" spans="1:86" s="138" customFormat="1" ht="15" customHeight="1">
      <c r="A24" s="43"/>
      <c r="B24" s="45"/>
      <c r="C24" s="139"/>
      <c r="D24" s="29"/>
      <c r="E24" s="29"/>
      <c r="F24" s="29"/>
      <c r="G24" s="29"/>
      <c r="H24" s="29"/>
      <c r="I24" s="29"/>
      <c r="J24" s="44"/>
      <c r="K24" s="44"/>
      <c r="L24" s="44"/>
      <c r="M24" s="44"/>
      <c r="N24" s="44"/>
      <c r="O24" s="44"/>
      <c r="P24" s="44"/>
      <c r="Q24" s="137"/>
      <c r="R24" s="49"/>
      <c r="S24" s="49"/>
      <c r="T24" s="49"/>
      <c r="U24" s="49"/>
      <c r="V24" s="49"/>
      <c r="W24" s="49"/>
      <c r="X24" s="39"/>
      <c r="Y24" s="49"/>
      <c r="Z24" s="49"/>
      <c r="AA24" s="31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50"/>
      <c r="BI24" s="34"/>
      <c r="BJ24" s="35"/>
      <c r="BK24" s="34"/>
      <c r="BL24" s="41"/>
      <c r="BM24" s="36"/>
      <c r="BN24" s="37"/>
      <c r="BO24" s="34"/>
      <c r="BP24" s="34"/>
      <c r="BQ24" s="34"/>
      <c r="BR24" s="205"/>
      <c r="BS24" s="34"/>
      <c r="BT24" s="37"/>
      <c r="BU24" s="35"/>
      <c r="BV24" s="37"/>
      <c r="BW24" s="37"/>
      <c r="BX24" s="34"/>
      <c r="BY24" s="37"/>
      <c r="BZ24" s="37"/>
      <c r="CA24" s="37"/>
      <c r="CB24" s="37"/>
      <c r="CC24" s="37"/>
      <c r="CD24" s="137"/>
      <c r="CE24" s="37"/>
      <c r="CF24" s="37"/>
      <c r="CG24" s="37"/>
    </row>
    <row r="25" spans="1:86" s="138" customFormat="1" ht="15" customHeight="1" thickBot="1">
      <c r="A25" s="29"/>
      <c r="B25" s="29"/>
      <c r="C25" s="31"/>
      <c r="D25" s="29"/>
      <c r="E25" s="29"/>
      <c r="F25" s="29"/>
      <c r="G25" s="29"/>
      <c r="H25" s="29"/>
      <c r="I25" s="29"/>
      <c r="J25" s="44"/>
      <c r="K25" s="44"/>
      <c r="L25" s="44"/>
      <c r="M25" s="44"/>
      <c r="N25" s="44"/>
      <c r="O25" s="44"/>
      <c r="P25" s="44"/>
      <c r="Q25" s="49"/>
      <c r="R25" s="49"/>
      <c r="S25" s="49"/>
      <c r="T25" s="49"/>
      <c r="U25" s="49"/>
      <c r="V25" s="49"/>
      <c r="W25" s="49"/>
      <c r="X25" s="39"/>
      <c r="Y25" s="49"/>
      <c r="Z25" s="49"/>
      <c r="AA25" s="31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3"/>
      <c r="BI25" s="34"/>
      <c r="BJ25" s="35"/>
      <c r="BK25" s="34"/>
      <c r="BL25" s="41"/>
      <c r="BM25" s="36"/>
      <c r="BN25" s="37"/>
      <c r="BO25" s="34"/>
      <c r="BP25" s="34"/>
      <c r="BQ25" s="34"/>
      <c r="BR25" s="205"/>
      <c r="BS25" s="34"/>
      <c r="BT25" s="37"/>
      <c r="BU25" s="35"/>
      <c r="BV25" s="37"/>
      <c r="BW25" s="37"/>
      <c r="BX25" s="34"/>
      <c r="BY25" s="37"/>
      <c r="BZ25" s="37"/>
      <c r="CA25" s="37"/>
      <c r="CB25" s="37"/>
      <c r="CC25" s="37"/>
      <c r="CD25" s="137"/>
      <c r="CE25" s="37"/>
      <c r="CF25" s="37"/>
      <c r="CG25" s="37"/>
    </row>
    <row r="26" spans="1:86" s="138" customFormat="1" ht="30" customHeight="1" thickBot="1">
      <c r="A26" s="146" t="s">
        <v>43</v>
      </c>
      <c r="B26" s="147" t="s">
        <v>44</v>
      </c>
      <c r="C26" s="148" t="s">
        <v>45</v>
      </c>
      <c r="D26" s="149" t="s">
        <v>46</v>
      </c>
      <c r="E26" s="149" t="s">
        <v>47</v>
      </c>
      <c r="F26" s="149" t="s">
        <v>48</v>
      </c>
      <c r="G26" s="149" t="s">
        <v>49</v>
      </c>
      <c r="H26" s="150" t="s">
        <v>50</v>
      </c>
      <c r="I26" s="150" t="s">
        <v>51</v>
      </c>
      <c r="J26" s="151" t="s">
        <v>52</v>
      </c>
      <c r="K26" s="151" t="s">
        <v>53</v>
      </c>
      <c r="L26" s="151" t="s">
        <v>54</v>
      </c>
      <c r="M26" s="151" t="s">
        <v>55</v>
      </c>
      <c r="N26" s="151" t="s">
        <v>56</v>
      </c>
      <c r="O26" s="151" t="s">
        <v>57</v>
      </c>
      <c r="P26" s="150" t="s">
        <v>58</v>
      </c>
      <c r="Q26" s="149" t="s">
        <v>59</v>
      </c>
      <c r="R26" s="152" t="s">
        <v>60</v>
      </c>
      <c r="S26" s="152" t="s">
        <v>61</v>
      </c>
      <c r="T26" s="152" t="s">
        <v>62</v>
      </c>
      <c r="U26" s="152" t="s">
        <v>63</v>
      </c>
      <c r="V26" s="152" t="s">
        <v>64</v>
      </c>
      <c r="W26" s="152" t="s">
        <v>65</v>
      </c>
      <c r="X26" s="153" t="s">
        <v>66</v>
      </c>
      <c r="Y26" s="154" t="s">
        <v>67</v>
      </c>
      <c r="Z26" s="150" t="s">
        <v>68</v>
      </c>
      <c r="AA26" s="150" t="s">
        <v>69</v>
      </c>
      <c r="AB26" s="154" t="s">
        <v>70</v>
      </c>
      <c r="AC26" s="154"/>
      <c r="AD26" s="154" t="s">
        <v>52</v>
      </c>
      <c r="AE26" s="154" t="s">
        <v>71</v>
      </c>
      <c r="AF26" s="154" t="s">
        <v>72</v>
      </c>
      <c r="AG26" s="154" t="s">
        <v>73</v>
      </c>
      <c r="AH26" s="154" t="s">
        <v>74</v>
      </c>
      <c r="AI26" s="154" t="s">
        <v>75</v>
      </c>
      <c r="AJ26" s="154" t="s">
        <v>76</v>
      </c>
      <c r="AK26" s="156" t="s">
        <v>77</v>
      </c>
      <c r="AL26" s="392" t="s">
        <v>391</v>
      </c>
      <c r="AM26" s="159" t="s">
        <v>79</v>
      </c>
      <c r="AN26" s="159" t="s">
        <v>79</v>
      </c>
      <c r="AO26" s="159" t="s">
        <v>80</v>
      </c>
      <c r="AP26" s="159" t="s">
        <v>80</v>
      </c>
      <c r="AQ26" s="159" t="s">
        <v>81</v>
      </c>
      <c r="AR26" s="159" t="s">
        <v>81</v>
      </c>
      <c r="AS26" s="159" t="s">
        <v>82</v>
      </c>
      <c r="AT26" s="159" t="s">
        <v>82</v>
      </c>
      <c r="AU26" s="159" t="s">
        <v>83</v>
      </c>
      <c r="AV26" s="159" t="s">
        <v>83</v>
      </c>
      <c r="AW26" s="159" t="s">
        <v>84</v>
      </c>
      <c r="AX26" s="159" t="s">
        <v>84</v>
      </c>
      <c r="AY26" s="159" t="s">
        <v>85</v>
      </c>
      <c r="AZ26" s="159" t="s">
        <v>85</v>
      </c>
      <c r="BA26" s="159" t="s">
        <v>146</v>
      </c>
      <c r="BB26" s="159" t="s">
        <v>146</v>
      </c>
      <c r="BC26" s="159" t="s">
        <v>147</v>
      </c>
      <c r="BD26" s="159" t="s">
        <v>147</v>
      </c>
      <c r="BE26" s="159" t="s">
        <v>148</v>
      </c>
      <c r="BF26" s="159" t="s">
        <v>148</v>
      </c>
      <c r="BG26" s="159" t="s">
        <v>88</v>
      </c>
      <c r="BH26" s="157" t="s">
        <v>89</v>
      </c>
      <c r="BI26" s="158" t="s">
        <v>90</v>
      </c>
      <c r="BJ26" s="159" t="s">
        <v>91</v>
      </c>
      <c r="BK26" s="160" t="s">
        <v>92</v>
      </c>
      <c r="BL26" s="161" t="s">
        <v>93</v>
      </c>
      <c r="BM26" s="162" t="s">
        <v>94</v>
      </c>
      <c r="BN26" s="163" t="s">
        <v>95</v>
      </c>
      <c r="BO26" s="162" t="s">
        <v>96</v>
      </c>
      <c r="BP26" s="162" t="s">
        <v>97</v>
      </c>
      <c r="BQ26" s="162" t="s">
        <v>98</v>
      </c>
      <c r="BR26" s="206" t="s">
        <v>99</v>
      </c>
      <c r="BS26" s="162" t="s">
        <v>100</v>
      </c>
      <c r="BT26" s="162" t="s">
        <v>8</v>
      </c>
      <c r="BU26" s="154" t="s">
        <v>101</v>
      </c>
      <c r="BV26" s="151" t="s">
        <v>102</v>
      </c>
      <c r="BW26" s="150" t="s">
        <v>103</v>
      </c>
      <c r="BX26" s="162" t="s">
        <v>104</v>
      </c>
      <c r="BY26" s="162" t="s">
        <v>105</v>
      </c>
      <c r="BZ26" s="150" t="s">
        <v>106</v>
      </c>
      <c r="CA26" s="150"/>
      <c r="CB26" s="150"/>
      <c r="CC26" s="154" t="s">
        <v>107</v>
      </c>
      <c r="CD26" s="150" t="s">
        <v>108</v>
      </c>
      <c r="CE26" s="154" t="s">
        <v>109</v>
      </c>
      <c r="CF26" s="164" t="s">
        <v>151</v>
      </c>
      <c r="CG26" s="165"/>
    </row>
    <row r="27" spans="1:86" s="138" customFormat="1" ht="15" customHeight="1">
      <c r="A27" s="48" t="s">
        <v>341</v>
      </c>
      <c r="B27" s="29" t="s">
        <v>111</v>
      </c>
      <c r="C27" s="168">
        <v>45748</v>
      </c>
      <c r="D27" s="48" t="s">
        <v>290</v>
      </c>
      <c r="E27" s="29" t="s">
        <v>113</v>
      </c>
      <c r="F27" s="48" t="s">
        <v>114</v>
      </c>
      <c r="G27" s="48" t="s">
        <v>130</v>
      </c>
      <c r="H27" s="48" t="s">
        <v>116</v>
      </c>
      <c r="I27" s="48" t="s">
        <v>223</v>
      </c>
      <c r="J27" s="170" t="s">
        <v>116</v>
      </c>
      <c r="K27" s="170" t="b">
        <v>0</v>
      </c>
      <c r="L27" s="170" t="s">
        <v>116</v>
      </c>
      <c r="M27" s="170" t="s">
        <v>116</v>
      </c>
      <c r="N27" s="170" t="s">
        <v>116</v>
      </c>
      <c r="O27" s="170" t="s">
        <v>116</v>
      </c>
      <c r="P27" s="48" t="s">
        <v>118</v>
      </c>
      <c r="Q27" s="48" t="s">
        <v>338</v>
      </c>
      <c r="R27" s="170" t="s">
        <v>116</v>
      </c>
      <c r="S27" s="170" t="s">
        <v>116</v>
      </c>
      <c r="T27" s="170" t="s">
        <v>116</v>
      </c>
      <c r="U27" s="170" t="s">
        <v>116</v>
      </c>
      <c r="V27" s="170" t="s">
        <v>116</v>
      </c>
      <c r="W27" s="170" t="s">
        <v>116</v>
      </c>
      <c r="X27" s="173" t="s">
        <v>342</v>
      </c>
      <c r="Y27" s="167">
        <v>183.83</v>
      </c>
      <c r="Z27" s="48" t="s">
        <v>123</v>
      </c>
      <c r="AA27" s="48">
        <v>1</v>
      </c>
      <c r="AB27" s="174">
        <v>0</v>
      </c>
      <c r="AC27" s="174"/>
      <c r="AD27" s="174">
        <v>0</v>
      </c>
      <c r="AE27" s="174">
        <v>0</v>
      </c>
      <c r="AF27" s="174">
        <v>0</v>
      </c>
      <c r="AG27" s="174">
        <v>0</v>
      </c>
      <c r="AH27" s="174">
        <v>0</v>
      </c>
      <c r="AI27" s="174">
        <v>0</v>
      </c>
      <c r="AJ27" s="174">
        <v>0</v>
      </c>
      <c r="AK27" s="174">
        <v>51.19</v>
      </c>
      <c r="AL27" s="174">
        <v>0</v>
      </c>
      <c r="AM27" s="174">
        <v>0</v>
      </c>
      <c r="AN27" s="174">
        <v>0</v>
      </c>
      <c r="AO27" s="174">
        <v>0</v>
      </c>
      <c r="AP27" s="174">
        <v>0</v>
      </c>
      <c r="AQ27" s="174">
        <v>0</v>
      </c>
      <c r="AR27" s="174">
        <v>0</v>
      </c>
      <c r="AS27" s="174">
        <v>0</v>
      </c>
      <c r="AT27" s="174">
        <v>0</v>
      </c>
      <c r="AU27" s="174">
        <v>0</v>
      </c>
      <c r="AV27" s="174">
        <v>0</v>
      </c>
      <c r="AW27" s="174">
        <v>0</v>
      </c>
      <c r="AX27" s="174">
        <v>0</v>
      </c>
      <c r="AY27" s="174">
        <v>0</v>
      </c>
      <c r="AZ27" s="174">
        <v>0</v>
      </c>
      <c r="BA27" s="174">
        <v>0</v>
      </c>
      <c r="BB27" s="174">
        <v>0</v>
      </c>
      <c r="BC27" s="174">
        <v>0</v>
      </c>
      <c r="BD27" s="174">
        <v>0</v>
      </c>
      <c r="BE27" s="174">
        <v>0</v>
      </c>
      <c r="BF27" s="174">
        <v>0</v>
      </c>
      <c r="BG27" s="174"/>
      <c r="BH27" s="175" t="s">
        <v>343</v>
      </c>
      <c r="BI27" s="166">
        <v>45998</v>
      </c>
      <c r="BJ27" s="167">
        <v>233.1</v>
      </c>
      <c r="BK27" s="168"/>
      <c r="BL27" s="56"/>
      <c r="BM27" s="168" t="s">
        <v>338</v>
      </c>
      <c r="BN27" s="169" t="s">
        <v>386</v>
      </c>
      <c r="BO27" s="168"/>
      <c r="BP27" s="168"/>
      <c r="BQ27" s="168"/>
      <c r="BR27" s="207"/>
      <c r="BS27" s="168"/>
      <c r="BT27" s="168"/>
      <c r="BU27" s="167"/>
      <c r="BV27" s="170"/>
      <c r="BW27" s="48"/>
      <c r="BX27" s="168"/>
      <c r="BY27" s="168"/>
      <c r="BZ27" s="48"/>
      <c r="CA27" s="48"/>
      <c r="CB27" s="48"/>
      <c r="CC27" s="167"/>
      <c r="CD27" s="137"/>
      <c r="CE27" s="171"/>
      <c r="CF27" s="172" t="s">
        <v>166</v>
      </c>
      <c r="CG27" s="165"/>
    </row>
    <row r="28" spans="1:86" s="138" customFormat="1" ht="15" customHeight="1">
      <c r="A28" s="48"/>
      <c r="B28" s="29"/>
      <c r="C28" s="168"/>
      <c r="D28" s="48"/>
      <c r="E28" s="29"/>
      <c r="F28" s="48"/>
      <c r="G28" s="48"/>
      <c r="H28" s="48"/>
      <c r="I28" s="48"/>
      <c r="J28" s="170"/>
      <c r="K28" s="170"/>
      <c r="L28" s="170"/>
      <c r="M28" s="170"/>
      <c r="N28" s="170"/>
      <c r="O28" s="170"/>
      <c r="P28" s="48"/>
      <c r="Q28" s="48"/>
      <c r="R28" s="170"/>
      <c r="S28" s="170"/>
      <c r="T28" s="170"/>
      <c r="U28" s="170"/>
      <c r="V28" s="170"/>
      <c r="W28" s="170"/>
      <c r="X28" s="173"/>
      <c r="Y28" s="167"/>
      <c r="Z28" s="48"/>
      <c r="AA28" s="48"/>
      <c r="AB28" s="174"/>
      <c r="AC28" s="174"/>
      <c r="AD28" s="174"/>
      <c r="AE28" s="174"/>
      <c r="AF28" s="174"/>
      <c r="AG28" s="174"/>
      <c r="AH28" s="174"/>
      <c r="AI28" s="174"/>
      <c r="AJ28" s="174"/>
      <c r="AK28" s="174"/>
      <c r="AL28" s="174"/>
      <c r="AM28" s="174"/>
      <c r="AN28" s="174"/>
      <c r="AO28" s="174"/>
      <c r="AP28" s="174"/>
      <c r="AQ28" s="174"/>
      <c r="AR28" s="174"/>
      <c r="AS28" s="174"/>
      <c r="AT28" s="174"/>
      <c r="AU28" s="174"/>
      <c r="AV28" s="174"/>
      <c r="AW28" s="174"/>
      <c r="AX28" s="174"/>
      <c r="AY28" s="174"/>
      <c r="AZ28" s="174"/>
      <c r="BA28" s="174"/>
      <c r="BB28" s="174"/>
      <c r="BC28" s="174"/>
      <c r="BD28" s="174"/>
      <c r="BE28" s="174"/>
      <c r="BF28" s="174"/>
      <c r="BG28" s="174"/>
      <c r="BH28" s="175"/>
      <c r="BI28" s="166"/>
      <c r="BJ28" s="167"/>
      <c r="BK28" s="168"/>
      <c r="BL28" s="56"/>
      <c r="BM28" s="168"/>
      <c r="BN28" s="169"/>
      <c r="BO28" s="168"/>
      <c r="BP28" s="168"/>
      <c r="BQ28" s="168"/>
      <c r="BR28" s="207"/>
      <c r="BS28" s="168"/>
      <c r="BT28" s="168"/>
      <c r="BU28" s="167"/>
      <c r="BV28" s="170"/>
      <c r="BW28" s="48"/>
      <c r="BX28" s="168"/>
      <c r="BY28" s="168"/>
      <c r="BZ28" s="48"/>
      <c r="CA28" s="48"/>
      <c r="CB28" s="48"/>
      <c r="CC28" s="167"/>
      <c r="CD28" s="137"/>
      <c r="CE28" s="171"/>
      <c r="CF28" s="172"/>
      <c r="CG28" s="165"/>
    </row>
    <row r="29" spans="1:86" s="138" customFormat="1" ht="15" customHeight="1">
      <c r="A29" s="29"/>
      <c r="B29" s="29"/>
      <c r="C29" s="31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176"/>
      <c r="R29" s="176"/>
      <c r="S29" s="176"/>
      <c r="T29" s="176"/>
      <c r="U29" s="176"/>
      <c r="V29" s="176"/>
      <c r="W29" s="176"/>
      <c r="X29" s="177" t="s">
        <v>140</v>
      </c>
      <c r="Y29" s="178"/>
      <c r="Z29" s="179"/>
      <c r="AA29" s="179">
        <f t="shared" ref="AA29:AH29" si="0">SUM(AA27:AA27)</f>
        <v>1</v>
      </c>
      <c r="AB29" s="180">
        <f t="shared" si="0"/>
        <v>0</v>
      </c>
      <c r="AC29" s="180">
        <f t="shared" si="0"/>
        <v>0</v>
      </c>
      <c r="AD29" s="180">
        <f t="shared" si="0"/>
        <v>0</v>
      </c>
      <c r="AE29" s="180">
        <f t="shared" si="0"/>
        <v>0</v>
      </c>
      <c r="AF29" s="180">
        <f t="shared" si="0"/>
        <v>0</v>
      </c>
      <c r="AG29" s="180">
        <f t="shared" si="0"/>
        <v>0</v>
      </c>
      <c r="AH29" s="180">
        <f t="shared" si="0"/>
        <v>0</v>
      </c>
      <c r="AI29" s="180">
        <f t="shared" ref="AI29:BG29" si="1">SUM(AI27:AI28)</f>
        <v>0</v>
      </c>
      <c r="AJ29" s="180">
        <f t="shared" si="1"/>
        <v>0</v>
      </c>
      <c r="AK29" s="180">
        <f t="shared" si="1"/>
        <v>51.19</v>
      </c>
      <c r="AL29" s="180">
        <f t="shared" si="1"/>
        <v>0</v>
      </c>
      <c r="AM29" s="180">
        <f t="shared" si="1"/>
        <v>0</v>
      </c>
      <c r="AN29" s="180">
        <f t="shared" si="1"/>
        <v>0</v>
      </c>
      <c r="AO29" s="180">
        <f t="shared" si="1"/>
        <v>0</v>
      </c>
      <c r="AP29" s="180">
        <f t="shared" si="1"/>
        <v>0</v>
      </c>
      <c r="AQ29" s="180">
        <f t="shared" si="1"/>
        <v>0</v>
      </c>
      <c r="AR29" s="180">
        <f t="shared" si="1"/>
        <v>0</v>
      </c>
      <c r="AS29" s="180">
        <f t="shared" si="1"/>
        <v>0</v>
      </c>
      <c r="AT29" s="180">
        <f t="shared" si="1"/>
        <v>0</v>
      </c>
      <c r="AU29" s="180">
        <f t="shared" si="1"/>
        <v>0</v>
      </c>
      <c r="AV29" s="180">
        <f t="shared" si="1"/>
        <v>0</v>
      </c>
      <c r="AW29" s="180">
        <f t="shared" si="1"/>
        <v>0</v>
      </c>
      <c r="AX29" s="180">
        <f t="shared" si="1"/>
        <v>0</v>
      </c>
      <c r="AY29" s="180">
        <f t="shared" si="1"/>
        <v>0</v>
      </c>
      <c r="AZ29" s="180">
        <f t="shared" si="1"/>
        <v>0</v>
      </c>
      <c r="BA29" s="180">
        <f t="shared" si="1"/>
        <v>0</v>
      </c>
      <c r="BB29" s="180">
        <f t="shared" si="1"/>
        <v>0</v>
      </c>
      <c r="BC29" s="180">
        <f t="shared" si="1"/>
        <v>0</v>
      </c>
      <c r="BD29" s="180">
        <f t="shared" si="1"/>
        <v>0</v>
      </c>
      <c r="BE29" s="180">
        <f t="shared" si="1"/>
        <v>0</v>
      </c>
      <c r="BF29" s="180">
        <f t="shared" si="1"/>
        <v>0</v>
      </c>
      <c r="BG29" s="180">
        <f t="shared" si="1"/>
        <v>0</v>
      </c>
      <c r="BH29" s="181"/>
      <c r="BI29" s="31"/>
      <c r="BJ29" s="182"/>
      <c r="BK29" s="31"/>
      <c r="BL29" s="56"/>
      <c r="BM29" s="29"/>
      <c r="BN29" s="183"/>
      <c r="BO29" s="31"/>
      <c r="BP29" s="31"/>
      <c r="BQ29" s="31"/>
      <c r="BR29" s="208"/>
      <c r="BS29" s="31"/>
      <c r="BT29" s="183"/>
      <c r="BU29" s="182"/>
      <c r="BV29" s="183"/>
      <c r="BW29" s="183"/>
      <c r="BX29" s="31"/>
      <c r="BY29" s="183"/>
      <c r="BZ29" s="183"/>
      <c r="CA29" s="183"/>
      <c r="CB29" s="183"/>
      <c r="CC29" s="184"/>
      <c r="CD29" s="137"/>
      <c r="CE29" s="183"/>
      <c r="CF29" s="183"/>
      <c r="CG29" s="183"/>
      <c r="CH29" s="183"/>
    </row>
    <row r="30" spans="1:86" s="138" customFormat="1" ht="15" customHeight="1">
      <c r="A30" s="48"/>
      <c r="B30" s="29"/>
      <c r="C30" s="168"/>
      <c r="D30" s="48"/>
      <c r="E30" s="29"/>
      <c r="F30" s="48"/>
      <c r="G30" s="48"/>
      <c r="H30" s="48"/>
      <c r="I30" s="48"/>
      <c r="J30" s="170"/>
      <c r="K30" s="170"/>
      <c r="L30" s="170"/>
      <c r="M30" s="170"/>
      <c r="N30" s="170"/>
      <c r="O30" s="170"/>
      <c r="P30" s="48"/>
      <c r="Q30" s="48"/>
      <c r="R30" s="170"/>
      <c r="S30" s="170"/>
      <c r="T30" s="170"/>
      <c r="U30" s="170"/>
      <c r="V30" s="170"/>
      <c r="W30" s="170"/>
      <c r="X30" s="173"/>
      <c r="Y30" s="167"/>
      <c r="Z30" s="48"/>
      <c r="AA30" s="48"/>
      <c r="AB30" s="174"/>
      <c r="AC30" s="174"/>
      <c r="AD30" s="174"/>
      <c r="AE30" s="174"/>
      <c r="AF30" s="174"/>
      <c r="AG30" s="174"/>
      <c r="AH30" s="174"/>
      <c r="AI30" s="174"/>
      <c r="AJ30" s="174"/>
      <c r="AK30" s="174"/>
      <c r="AL30" s="174"/>
      <c r="AM30" s="174"/>
      <c r="AN30" s="174"/>
      <c r="AO30" s="174"/>
      <c r="AP30" s="174"/>
      <c r="AQ30" s="174"/>
      <c r="AR30" s="174"/>
      <c r="AS30" s="174"/>
      <c r="AT30" s="174"/>
      <c r="AU30" s="174"/>
      <c r="AV30" s="174"/>
      <c r="AW30" s="174"/>
      <c r="AX30" s="174"/>
      <c r="AY30" s="174"/>
      <c r="AZ30" s="174"/>
      <c r="BA30" s="174"/>
      <c r="BB30" s="174"/>
      <c r="BC30" s="174"/>
      <c r="BD30" s="174"/>
      <c r="BE30" s="174"/>
      <c r="BF30" s="174"/>
      <c r="BG30" s="174"/>
      <c r="BH30" s="175"/>
      <c r="BI30" s="166"/>
      <c r="BJ30" s="167"/>
      <c r="BK30" s="168"/>
      <c r="BL30" s="56"/>
      <c r="BM30" s="168"/>
      <c r="BN30" s="169"/>
      <c r="BO30" s="168"/>
      <c r="BP30" s="168"/>
      <c r="BQ30" s="168"/>
      <c r="BR30" s="207"/>
      <c r="BS30" s="168"/>
      <c r="BT30" s="168"/>
      <c r="BU30" s="167"/>
      <c r="BV30" s="170"/>
      <c r="BW30" s="48"/>
      <c r="BX30" s="168"/>
      <c r="BY30" s="168"/>
      <c r="BZ30" s="48"/>
      <c r="CA30" s="48"/>
      <c r="CB30" s="48"/>
      <c r="CC30" s="167"/>
      <c r="CD30" s="137"/>
      <c r="CE30" s="171"/>
      <c r="CF30" s="172"/>
      <c r="CG30" s="165"/>
    </row>
    <row r="31" spans="1:86" s="138" customFormat="1" ht="15" customHeight="1">
      <c r="A31" s="48"/>
      <c r="B31" s="29"/>
      <c r="C31" s="168"/>
      <c r="D31" s="48"/>
      <c r="E31" s="29"/>
      <c r="F31" s="48"/>
      <c r="G31" s="48"/>
      <c r="H31" s="48"/>
      <c r="I31" s="48"/>
      <c r="J31" s="170"/>
      <c r="K31" s="170"/>
      <c r="L31" s="170"/>
      <c r="M31" s="170"/>
      <c r="N31" s="170"/>
      <c r="O31" s="170"/>
      <c r="P31" s="48"/>
      <c r="Q31" s="48"/>
      <c r="R31" s="170"/>
      <c r="S31" s="170"/>
      <c r="T31" s="170"/>
      <c r="U31" s="170"/>
      <c r="V31" s="170"/>
      <c r="W31" s="170"/>
      <c r="X31" s="173"/>
      <c r="Y31" s="167"/>
      <c r="Z31" s="48"/>
      <c r="AA31" s="48"/>
      <c r="AB31" s="174"/>
      <c r="AC31" s="174"/>
      <c r="AD31" s="174"/>
      <c r="AE31" s="174"/>
      <c r="AF31" s="174"/>
      <c r="AG31" s="174"/>
      <c r="AH31" s="174"/>
      <c r="AI31" s="174"/>
      <c r="AJ31" s="174"/>
      <c r="AK31" s="174"/>
      <c r="AL31" s="174"/>
      <c r="AM31" s="174"/>
      <c r="AN31" s="174"/>
      <c r="AO31" s="174"/>
      <c r="AP31" s="174"/>
      <c r="AQ31" s="174"/>
      <c r="AR31" s="174"/>
      <c r="AS31" s="174"/>
      <c r="AT31" s="174"/>
      <c r="AU31" s="174"/>
      <c r="AV31" s="174"/>
      <c r="AW31" s="174"/>
      <c r="AX31" s="174"/>
      <c r="AY31" s="174"/>
      <c r="AZ31" s="174"/>
      <c r="BA31" s="174"/>
      <c r="BB31" s="174"/>
      <c r="BC31" s="174"/>
      <c r="BD31" s="174"/>
      <c r="BE31" s="174"/>
      <c r="BF31" s="174"/>
      <c r="BG31" s="174"/>
      <c r="BH31" s="175"/>
      <c r="BI31" s="166"/>
      <c r="BJ31" s="167"/>
      <c r="BK31" s="168"/>
      <c r="BL31" s="56"/>
      <c r="BM31" s="168"/>
      <c r="BN31" s="169"/>
      <c r="BO31" s="168"/>
      <c r="BP31" s="168"/>
      <c r="BQ31" s="168"/>
      <c r="BR31" s="207"/>
      <c r="BS31" s="168"/>
      <c r="BT31" s="168"/>
      <c r="BU31" s="167"/>
      <c r="BV31" s="170"/>
      <c r="BW31" s="48"/>
      <c r="BX31" s="168"/>
      <c r="BY31" s="168"/>
      <c r="BZ31" s="48"/>
      <c r="CA31" s="48"/>
      <c r="CB31" s="48"/>
      <c r="CC31" s="167"/>
      <c r="CD31" s="137"/>
      <c r="CE31" s="171"/>
      <c r="CF31" s="172"/>
      <c r="CG31" s="165"/>
    </row>
    <row r="32" spans="1:86" s="138" customFormat="1" ht="15" customHeight="1">
      <c r="A32" s="48"/>
      <c r="B32" s="29"/>
      <c r="C32" s="168"/>
      <c r="D32" s="48"/>
      <c r="E32" s="29"/>
      <c r="F32" s="48"/>
      <c r="G32" s="48"/>
      <c r="H32" s="48"/>
      <c r="I32" s="48"/>
      <c r="J32" s="170"/>
      <c r="K32" s="170"/>
      <c r="L32" s="170"/>
      <c r="M32" s="170"/>
      <c r="N32" s="170"/>
      <c r="O32" s="170"/>
      <c r="P32" s="48"/>
      <c r="Q32" s="48"/>
      <c r="R32" s="170"/>
      <c r="S32" s="170"/>
      <c r="T32" s="170"/>
      <c r="U32" s="170"/>
      <c r="V32" s="170"/>
      <c r="W32" s="170"/>
      <c r="X32" s="173"/>
      <c r="Y32" s="167"/>
      <c r="Z32" s="48"/>
      <c r="AA32" s="48"/>
      <c r="AB32" s="174"/>
      <c r="AC32" s="174"/>
      <c r="AD32" s="174"/>
      <c r="AE32" s="174"/>
      <c r="AF32" s="174"/>
      <c r="AG32" s="174"/>
      <c r="AH32" s="174"/>
      <c r="AI32" s="174"/>
      <c r="AJ32" s="174"/>
      <c r="AK32" s="174"/>
      <c r="AL32" s="174"/>
      <c r="AM32" s="174"/>
      <c r="AN32" s="174"/>
      <c r="AO32" s="174"/>
      <c r="AP32" s="174"/>
      <c r="AQ32" s="174"/>
      <c r="AR32" s="174"/>
      <c r="AS32" s="174"/>
      <c r="AT32" s="174"/>
      <c r="AU32" s="174"/>
      <c r="AV32" s="174"/>
      <c r="AW32" s="174"/>
      <c r="AX32" s="174"/>
      <c r="AY32" s="174"/>
      <c r="AZ32" s="174"/>
      <c r="BA32" s="174"/>
      <c r="BB32" s="174"/>
      <c r="BC32" s="174"/>
      <c r="BD32" s="174"/>
      <c r="BE32" s="174"/>
      <c r="BF32" s="174"/>
      <c r="BG32" s="174"/>
      <c r="BH32" s="175"/>
      <c r="BI32" s="166"/>
      <c r="BJ32" s="167"/>
      <c r="BK32" s="168"/>
      <c r="BL32" s="56"/>
      <c r="BM32" s="168"/>
      <c r="BN32" s="169"/>
      <c r="BO32" s="168"/>
      <c r="BP32" s="168"/>
      <c r="BQ32" s="168"/>
      <c r="BR32" s="207"/>
      <c r="BS32" s="168"/>
      <c r="BT32" s="168"/>
      <c r="BU32" s="167"/>
      <c r="BV32" s="170"/>
      <c r="BW32" s="48"/>
      <c r="BX32" s="168"/>
      <c r="BY32" s="168"/>
      <c r="BZ32" s="48"/>
      <c r="CA32" s="48"/>
      <c r="CB32" s="48"/>
      <c r="CC32" s="167"/>
      <c r="CD32" s="137"/>
      <c r="CE32" s="171"/>
      <c r="CF32" s="172"/>
      <c r="CG32" s="165"/>
    </row>
    <row r="33" spans="1:85" s="138" customFormat="1" ht="15" customHeight="1">
      <c r="A33" s="48"/>
      <c r="B33" s="29"/>
      <c r="C33" s="168"/>
      <c r="D33" s="48"/>
      <c r="E33" s="29"/>
      <c r="F33" s="48"/>
      <c r="G33" s="48"/>
      <c r="H33" s="48"/>
      <c r="I33" s="48"/>
      <c r="J33" s="170"/>
      <c r="K33" s="170"/>
      <c r="L33" s="170"/>
      <c r="M33" s="170"/>
      <c r="N33" s="170"/>
      <c r="O33" s="170"/>
      <c r="P33" s="48"/>
      <c r="Q33" s="48"/>
      <c r="R33" s="170"/>
      <c r="S33" s="170"/>
      <c r="T33" s="170"/>
      <c r="U33" s="170"/>
      <c r="V33" s="170"/>
      <c r="W33" s="170"/>
      <c r="X33" s="173"/>
      <c r="Y33" s="167"/>
      <c r="Z33" s="48"/>
      <c r="AA33" s="48"/>
      <c r="AB33" s="174"/>
      <c r="AC33" s="174"/>
      <c r="AD33" s="174"/>
      <c r="AE33" s="174"/>
      <c r="AF33" s="174"/>
      <c r="AG33" s="174"/>
      <c r="AH33" s="174"/>
      <c r="AI33" s="174"/>
      <c r="AJ33" s="174"/>
      <c r="AK33" s="174"/>
      <c r="AL33" s="174"/>
      <c r="AM33" s="174"/>
      <c r="AN33" s="174"/>
      <c r="AO33" s="174"/>
      <c r="AP33" s="174"/>
      <c r="AQ33" s="174"/>
      <c r="AR33" s="174"/>
      <c r="AS33" s="174"/>
      <c r="AT33" s="174"/>
      <c r="AU33" s="174"/>
      <c r="AV33" s="174"/>
      <c r="AW33" s="174"/>
      <c r="AX33" s="174"/>
      <c r="AY33" s="174"/>
      <c r="AZ33" s="174"/>
      <c r="BA33" s="174"/>
      <c r="BB33" s="174"/>
      <c r="BC33" s="174"/>
      <c r="BD33" s="174"/>
      <c r="BE33" s="174"/>
      <c r="BF33" s="174"/>
      <c r="BG33" s="174"/>
      <c r="BH33" s="175"/>
      <c r="BI33" s="166"/>
      <c r="BJ33" s="167"/>
      <c r="BK33" s="168"/>
      <c r="BL33" s="56"/>
      <c r="BM33" s="168"/>
      <c r="BN33" s="169"/>
      <c r="BO33" s="168"/>
      <c r="BP33" s="168"/>
      <c r="BQ33" s="168"/>
      <c r="BR33" s="207"/>
      <c r="BS33" s="168"/>
      <c r="BT33" s="168"/>
      <c r="BU33" s="167"/>
      <c r="BV33" s="170"/>
      <c r="BW33" s="48"/>
      <c r="BX33" s="168"/>
      <c r="BY33" s="168"/>
      <c r="BZ33" s="48"/>
      <c r="CA33" s="48"/>
      <c r="CB33" s="48"/>
      <c r="CC33" s="167"/>
      <c r="CD33" s="137"/>
      <c r="CE33" s="171"/>
      <c r="CF33" s="172"/>
      <c r="CG33" s="165"/>
    </row>
    <row r="34" spans="1:85" s="138" customFormat="1" ht="15" customHeight="1">
      <c r="A34" s="48"/>
      <c r="B34" s="29"/>
      <c r="C34" s="168"/>
      <c r="D34" s="48"/>
      <c r="E34" s="29"/>
      <c r="F34" s="48"/>
      <c r="G34" s="48"/>
      <c r="H34" s="48"/>
      <c r="I34" s="48"/>
      <c r="J34" s="170"/>
      <c r="K34" s="170"/>
      <c r="L34" s="170"/>
      <c r="M34" s="170"/>
      <c r="N34" s="170"/>
      <c r="O34" s="170"/>
      <c r="P34" s="48"/>
      <c r="Q34" s="48"/>
      <c r="R34" s="170"/>
      <c r="S34" s="170"/>
      <c r="T34" s="170"/>
      <c r="U34" s="170"/>
      <c r="V34" s="170"/>
      <c r="W34" s="170"/>
      <c r="X34" s="173"/>
      <c r="Y34" s="167"/>
      <c r="Z34" s="48"/>
      <c r="AA34" s="48"/>
      <c r="AB34" s="174"/>
      <c r="AC34" s="174"/>
      <c r="AD34" s="174"/>
      <c r="AE34" s="174"/>
      <c r="AF34" s="174"/>
      <c r="AG34" s="174"/>
      <c r="AH34" s="174"/>
      <c r="AI34" s="174"/>
      <c r="AJ34" s="174"/>
      <c r="AK34" s="174"/>
      <c r="AL34" s="174"/>
      <c r="AM34" s="174"/>
      <c r="AN34" s="174"/>
      <c r="AO34" s="174"/>
      <c r="AP34" s="174"/>
      <c r="AQ34" s="174"/>
      <c r="AR34" s="174"/>
      <c r="AS34" s="174"/>
      <c r="AT34" s="174"/>
      <c r="AU34" s="174"/>
      <c r="AV34" s="174"/>
      <c r="AW34" s="174"/>
      <c r="AX34" s="174"/>
      <c r="AY34" s="174"/>
      <c r="AZ34" s="174"/>
      <c r="BA34" s="174"/>
      <c r="BB34" s="174"/>
      <c r="BC34" s="174"/>
      <c r="BD34" s="174"/>
      <c r="BE34" s="174"/>
      <c r="BF34" s="174"/>
      <c r="BG34" s="174"/>
      <c r="BH34" s="175"/>
      <c r="BI34" s="166"/>
      <c r="BJ34" s="167"/>
      <c r="BK34" s="168"/>
      <c r="BL34" s="56"/>
      <c r="BM34" s="168"/>
      <c r="BN34" s="169"/>
      <c r="BO34" s="168"/>
      <c r="BP34" s="168"/>
      <c r="BQ34" s="168"/>
      <c r="BR34" s="207"/>
      <c r="BS34" s="168"/>
      <c r="BT34" s="168"/>
      <c r="BU34" s="167"/>
      <c r="BV34" s="170"/>
      <c r="BW34" s="48"/>
      <c r="BX34" s="168"/>
      <c r="BY34" s="168"/>
      <c r="BZ34" s="48"/>
      <c r="CA34" s="48"/>
      <c r="CB34" s="48"/>
      <c r="CC34" s="167"/>
      <c r="CD34" s="137"/>
      <c r="CE34" s="171"/>
      <c r="CF34" s="172"/>
      <c r="CG34" s="165"/>
    </row>
    <row r="35" spans="1:85" s="138" customFormat="1" ht="15.6">
      <c r="C35" s="185"/>
      <c r="X35" s="186"/>
      <c r="BL35" s="187"/>
    </row>
    <row r="36" spans="1:85" s="138" customFormat="1" ht="15.6">
      <c r="C36" s="185"/>
      <c r="X36" s="186"/>
      <c r="BL36" s="187"/>
    </row>
    <row r="37" spans="1:85" s="138" customFormat="1" ht="15.6">
      <c r="C37" s="185"/>
      <c r="X37" s="186"/>
      <c r="BL37" s="187"/>
    </row>
    <row r="38" spans="1:85" s="138" customFormat="1" ht="15.6">
      <c r="C38" s="185"/>
      <c r="X38" s="186"/>
      <c r="BL38" s="187"/>
    </row>
  </sheetData>
  <autoFilter ref="A26:CH26" xr:uid="{0B3BE0A8-94D9-4943-B51D-CC52050FCF99}"/>
  <printOptions horizontalCentered="1"/>
  <pageMargins left="0.5" right="0.5" top="0.5" bottom="0.5" header="0.3" footer="0.3"/>
  <pageSetup scale="25" fitToHeight="0" orientation="landscape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DBBB8-90C1-4DA3-BFC7-9DA141BDF11F}">
  <sheetPr>
    <tabColor theme="2" tint="-0.249977111117893"/>
    <pageSetUpPr fitToPage="1"/>
  </sheetPr>
  <dimension ref="A1:CH38"/>
  <sheetViews>
    <sheetView zoomScale="80" zoomScaleNormal="80" workbookViewId="0">
      <selection activeCell="A27" sqref="A27:XFD27"/>
    </sheetView>
  </sheetViews>
  <sheetFormatPr defaultColWidth="8.85546875" defaultRowHeight="14.45"/>
  <cols>
    <col min="1" max="1" width="29.140625" style="136" customWidth="1"/>
    <col min="2" max="2" width="7.28515625" style="136" hidden="1" customWidth="1"/>
    <col min="3" max="3" width="16.42578125" style="188" bestFit="1" customWidth="1"/>
    <col min="4" max="4" width="6.7109375" style="136" bestFit="1" customWidth="1"/>
    <col min="5" max="5" width="9.28515625" style="136" customWidth="1"/>
    <col min="6" max="6" width="11.28515625" style="136" bestFit="1" customWidth="1"/>
    <col min="7" max="7" width="12.7109375" style="136" bestFit="1" customWidth="1"/>
    <col min="8" max="15" width="0.85546875" style="136" hidden="1" customWidth="1"/>
    <col min="16" max="16" width="3.42578125" style="136" hidden="1" customWidth="1"/>
    <col min="17" max="17" width="22.140625" style="136" customWidth="1"/>
    <col min="18" max="21" width="2.85546875" style="136" hidden="1" customWidth="1"/>
    <col min="22" max="22" width="19.85546875" style="136" hidden="1" customWidth="1"/>
    <col min="23" max="23" width="1.42578125" style="136" hidden="1" customWidth="1"/>
    <col min="24" max="24" width="22.140625" style="189" customWidth="1"/>
    <col min="25" max="25" width="5.140625" style="136" hidden="1" customWidth="1"/>
    <col min="26" max="26" width="19" style="136" hidden="1" customWidth="1"/>
    <col min="27" max="27" width="14.140625" style="136" hidden="1" customWidth="1"/>
    <col min="28" max="28" width="7.42578125" style="136" hidden="1" customWidth="1"/>
    <col min="29" max="29" width="1.7109375" style="136" hidden="1" customWidth="1"/>
    <col min="30" max="30" width="7.42578125" style="136" hidden="1" customWidth="1"/>
    <col min="31" max="34" width="1" style="136" hidden="1" customWidth="1"/>
    <col min="35" max="35" width="9.42578125" style="136" hidden="1" customWidth="1"/>
    <col min="36" max="36" width="10.28515625" style="136" customWidth="1"/>
    <col min="37" max="37" width="18.140625" style="136" hidden="1" customWidth="1"/>
    <col min="38" max="38" width="10.42578125" style="136" hidden="1" customWidth="1"/>
    <col min="39" max="40" width="1.42578125" style="136" hidden="1" customWidth="1"/>
    <col min="41" max="58" width="2.7109375" style="136" hidden="1" customWidth="1"/>
    <col min="59" max="59" width="10.140625" style="136" hidden="1" customWidth="1"/>
    <col min="60" max="60" width="15" style="136" customWidth="1"/>
    <col min="61" max="61" width="9.42578125" style="136" bestFit="1" customWidth="1"/>
    <col min="62" max="62" width="12.42578125" style="136" bestFit="1" customWidth="1"/>
    <col min="63" max="63" width="17.140625" style="136" bestFit="1" customWidth="1"/>
    <col min="64" max="64" width="32.28515625" style="190" bestFit="1" customWidth="1"/>
    <col min="65" max="65" width="18" style="136" bestFit="1" customWidth="1"/>
    <col min="66" max="66" width="8.85546875" style="136"/>
    <col min="67" max="67" width="0.5703125" style="136" customWidth="1"/>
    <col min="68" max="68" width="10.7109375" style="136" bestFit="1" customWidth="1"/>
    <col min="69" max="69" width="1" style="136" customWidth="1"/>
    <col min="70" max="70" width="19.5703125" style="136" bestFit="1" customWidth="1"/>
    <col min="71" max="74" width="0.7109375" style="136" customWidth="1"/>
    <col min="75" max="80" width="0.5703125" style="136" customWidth="1"/>
    <col min="81" max="81" width="13.7109375" style="136" bestFit="1" customWidth="1"/>
    <col min="82" max="82" width="14.7109375" style="136" bestFit="1" customWidth="1"/>
    <col min="83" max="83" width="8.85546875" style="136"/>
    <col min="84" max="84" width="17.140625" style="136" bestFit="1" customWidth="1"/>
    <col min="85" max="16384" width="8.85546875" style="136"/>
  </cols>
  <sheetData>
    <row r="1" spans="1:85" ht="25.9">
      <c r="A1" s="132" t="s">
        <v>25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3"/>
      <c r="R1" s="132"/>
      <c r="S1" s="132"/>
      <c r="T1" s="132"/>
      <c r="U1" s="132"/>
      <c r="V1" s="132"/>
      <c r="W1" s="132"/>
      <c r="X1" s="134"/>
      <c r="Y1" s="6"/>
      <c r="Z1" s="6"/>
      <c r="AA1" s="2"/>
      <c r="AB1" s="26"/>
      <c r="AC1" s="26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7"/>
      <c r="BI1" s="3"/>
      <c r="BJ1" s="8"/>
      <c r="BK1" s="3"/>
      <c r="BL1" s="40"/>
      <c r="BM1" s="28"/>
      <c r="BN1" s="5"/>
      <c r="BO1" s="3"/>
      <c r="BP1" s="3"/>
      <c r="BQ1" s="3"/>
      <c r="BR1" s="200"/>
      <c r="BS1" s="3"/>
      <c r="BT1" s="5"/>
      <c r="BU1" s="8"/>
      <c r="BV1" s="5"/>
      <c r="BW1" s="5"/>
      <c r="BX1" s="3"/>
      <c r="BY1" s="5"/>
      <c r="BZ1" s="5"/>
      <c r="CA1" s="5"/>
      <c r="CB1" s="5"/>
      <c r="CC1" s="5"/>
      <c r="CD1" s="135"/>
      <c r="CE1" s="5"/>
      <c r="CF1" s="5"/>
      <c r="CG1" s="5"/>
    </row>
    <row r="2" spans="1:85" s="138" customFormat="1" ht="15" customHeight="1">
      <c r="A2" s="43" t="s">
        <v>26</v>
      </c>
      <c r="B2" s="44"/>
      <c r="C2" s="46" t="s">
        <v>404</v>
      </c>
      <c r="D2" s="44"/>
      <c r="E2" s="44"/>
      <c r="F2" s="44"/>
      <c r="G2" s="29"/>
      <c r="H2" s="29"/>
      <c r="I2" s="29"/>
      <c r="J2" s="29"/>
      <c r="K2" s="29"/>
      <c r="L2" s="29"/>
      <c r="M2" s="29"/>
      <c r="N2" s="29"/>
      <c r="O2" s="29"/>
      <c r="P2" s="29"/>
      <c r="Q2" s="137"/>
      <c r="R2" s="30"/>
      <c r="S2" s="30"/>
      <c r="T2" s="30"/>
      <c r="U2" s="30"/>
      <c r="V2" s="30"/>
      <c r="W2" s="30"/>
      <c r="X2" s="39"/>
      <c r="Y2" s="30"/>
      <c r="Z2" s="30"/>
      <c r="AA2" s="31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3"/>
      <c r="BI2" s="34"/>
      <c r="BJ2" s="35"/>
      <c r="BK2" s="34"/>
      <c r="BL2" s="41"/>
      <c r="BM2" s="36"/>
      <c r="BN2" s="37"/>
      <c r="BO2" s="34"/>
      <c r="BP2" s="34"/>
      <c r="BQ2" s="34"/>
      <c r="BR2" s="205"/>
      <c r="BS2" s="34"/>
      <c r="BT2" s="37"/>
      <c r="BU2" s="35"/>
      <c r="BV2" s="37"/>
      <c r="BW2" s="37"/>
      <c r="BX2" s="34"/>
      <c r="BY2" s="37"/>
      <c r="BZ2" s="37"/>
      <c r="CA2" s="37"/>
      <c r="CB2" s="37"/>
      <c r="CC2" s="37"/>
      <c r="CD2" s="137"/>
      <c r="CE2" s="37"/>
      <c r="CF2" s="37"/>
      <c r="CG2" s="37"/>
    </row>
    <row r="3" spans="1:85" s="138" customFormat="1" ht="15" customHeight="1">
      <c r="A3" s="47" t="s">
        <v>27</v>
      </c>
      <c r="B3" s="29"/>
      <c r="C3" s="46" t="s">
        <v>387</v>
      </c>
      <c r="D3" s="48"/>
      <c r="E3" s="48"/>
      <c r="F3" s="48"/>
      <c r="G3" s="29"/>
      <c r="H3" s="29"/>
      <c r="I3" s="29"/>
      <c r="J3" s="29"/>
      <c r="K3" s="29"/>
      <c r="L3" s="29"/>
      <c r="M3" s="29"/>
      <c r="N3" s="29"/>
      <c r="O3" s="29"/>
      <c r="P3" s="29"/>
      <c r="Q3" s="137"/>
      <c r="R3" s="30"/>
      <c r="S3" s="30"/>
      <c r="T3" s="30"/>
      <c r="U3" s="30"/>
      <c r="V3" s="30"/>
      <c r="W3" s="30"/>
      <c r="X3" s="39"/>
      <c r="Y3" s="30"/>
      <c r="Z3" s="30"/>
      <c r="AA3" s="31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3"/>
      <c r="BI3" s="34"/>
      <c r="BJ3" s="35"/>
      <c r="BK3" s="34"/>
      <c r="BL3" s="41"/>
      <c r="BM3" s="36"/>
      <c r="BN3" s="37"/>
      <c r="BO3" s="34"/>
      <c r="BP3" s="34"/>
      <c r="BQ3" s="34"/>
      <c r="BR3" s="205"/>
      <c r="BS3" s="34"/>
      <c r="BT3" s="37"/>
      <c r="BU3" s="35"/>
      <c r="BV3" s="37"/>
      <c r="BW3" s="37"/>
      <c r="BX3" s="34"/>
      <c r="BY3" s="37"/>
      <c r="BZ3" s="37"/>
      <c r="CA3" s="37"/>
      <c r="CB3" s="37"/>
      <c r="CC3" s="37"/>
      <c r="CD3" s="137"/>
      <c r="CE3" s="37"/>
      <c r="CF3" s="37"/>
      <c r="CG3" s="37"/>
    </row>
    <row r="4" spans="1:85" s="138" customFormat="1" ht="15" customHeight="1">
      <c r="A4" s="43" t="s">
        <v>29</v>
      </c>
      <c r="B4" s="45"/>
      <c r="C4" s="46"/>
      <c r="D4" s="29"/>
      <c r="E4" s="29"/>
      <c r="F4" s="29"/>
      <c r="G4" s="29"/>
      <c r="H4" s="29"/>
      <c r="I4" s="29"/>
      <c r="J4" s="44"/>
      <c r="K4" s="44"/>
      <c r="L4" s="44"/>
      <c r="M4" s="44"/>
      <c r="N4" s="44"/>
      <c r="O4" s="44"/>
      <c r="P4" s="44"/>
      <c r="Q4" s="137"/>
      <c r="R4" s="49"/>
      <c r="S4" s="49"/>
      <c r="T4" s="49"/>
      <c r="U4" s="49"/>
      <c r="V4" s="49"/>
      <c r="W4" s="49"/>
      <c r="X4" s="39"/>
      <c r="Y4" s="49"/>
      <c r="Z4" s="49"/>
      <c r="AA4" s="31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50"/>
      <c r="BI4" s="34"/>
      <c r="BJ4" s="35"/>
      <c r="BK4" s="34"/>
      <c r="BL4" s="41"/>
      <c r="BM4" s="36"/>
      <c r="BN4" s="37"/>
      <c r="BO4" s="34"/>
      <c r="BP4" s="34"/>
      <c r="BQ4" s="34"/>
      <c r="BR4" s="205"/>
      <c r="BS4" s="34"/>
      <c r="BT4" s="37"/>
      <c r="BU4" s="35"/>
      <c r="BV4" s="37"/>
      <c r="BW4" s="37"/>
      <c r="BX4" s="34"/>
      <c r="BY4" s="37"/>
      <c r="BZ4" s="37"/>
      <c r="CA4" s="37"/>
      <c r="CB4" s="37"/>
      <c r="CC4" s="37"/>
      <c r="CD4" s="137"/>
      <c r="CE4" s="37"/>
      <c r="CF4" s="37"/>
      <c r="CG4" s="37"/>
    </row>
    <row r="5" spans="1:85" s="138" customFormat="1" ht="15" customHeight="1">
      <c r="A5" s="43" t="s">
        <v>30</v>
      </c>
      <c r="B5" s="45"/>
      <c r="C5" s="139">
        <v>1</v>
      </c>
      <c r="D5" s="29"/>
      <c r="E5" s="29"/>
      <c r="F5" s="29"/>
      <c r="G5" s="29"/>
      <c r="H5" s="29"/>
      <c r="I5" s="29"/>
      <c r="J5" s="44"/>
      <c r="K5" s="44"/>
      <c r="L5" s="44"/>
      <c r="M5" s="44"/>
      <c r="N5" s="44"/>
      <c r="O5" s="44"/>
      <c r="P5" s="44"/>
      <c r="Q5" s="137"/>
      <c r="R5" s="49"/>
      <c r="S5" s="49"/>
      <c r="T5" s="49"/>
      <c r="U5" s="49"/>
      <c r="V5" s="49"/>
      <c r="W5" s="49"/>
      <c r="X5" s="39"/>
      <c r="Y5" s="49"/>
      <c r="Z5" s="49"/>
      <c r="AA5" s="31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50"/>
      <c r="BI5" s="34"/>
      <c r="BJ5" s="35"/>
      <c r="BK5" s="34"/>
      <c r="BL5" s="41"/>
      <c r="BM5" s="36"/>
      <c r="BN5" s="37"/>
      <c r="BO5" s="34"/>
      <c r="BP5" s="34"/>
      <c r="BQ5" s="34"/>
      <c r="BR5" s="205"/>
      <c r="BS5" s="34"/>
      <c r="BT5" s="37"/>
      <c r="BU5" s="35"/>
      <c r="BV5" s="37"/>
      <c r="BW5" s="37"/>
      <c r="BX5" s="34"/>
      <c r="BY5" s="37"/>
      <c r="BZ5" s="37"/>
      <c r="CA5" s="37"/>
      <c r="CB5" s="37"/>
      <c r="CC5" s="37"/>
      <c r="CD5" s="137"/>
      <c r="CE5" s="37"/>
      <c r="CF5" s="37"/>
      <c r="CG5" s="37"/>
    </row>
    <row r="6" spans="1:85" s="138" customFormat="1" ht="15" customHeight="1">
      <c r="A6" s="43"/>
      <c r="B6" s="45"/>
      <c r="C6" s="139"/>
      <c r="D6" s="29"/>
      <c r="E6" s="29"/>
      <c r="F6" s="29"/>
      <c r="G6" s="29"/>
      <c r="H6" s="29"/>
      <c r="I6" s="29"/>
      <c r="J6" s="44"/>
      <c r="K6" s="44"/>
      <c r="L6" s="44"/>
      <c r="M6" s="44"/>
      <c r="N6" s="44"/>
      <c r="O6" s="44"/>
      <c r="P6" s="44"/>
      <c r="Q6" s="137"/>
      <c r="R6" s="49"/>
      <c r="S6" s="49"/>
      <c r="T6" s="49"/>
      <c r="U6" s="49"/>
      <c r="V6" s="49"/>
      <c r="W6" s="49"/>
      <c r="X6" s="39"/>
      <c r="Y6" s="49"/>
      <c r="Z6" s="49"/>
      <c r="AA6" s="31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50"/>
      <c r="BI6" s="34"/>
      <c r="BJ6" s="35"/>
      <c r="BK6" s="34"/>
      <c r="BL6" s="41"/>
      <c r="BM6" s="36"/>
      <c r="BN6" s="37"/>
      <c r="BO6" s="34"/>
      <c r="BP6" s="34"/>
      <c r="BQ6" s="34"/>
      <c r="BR6" s="205"/>
      <c r="BS6" s="34"/>
      <c r="BT6" s="37"/>
      <c r="BU6" s="35"/>
      <c r="BV6" s="37"/>
      <c r="BW6" s="37"/>
      <c r="BX6" s="34"/>
      <c r="BY6" s="37"/>
      <c r="BZ6" s="37"/>
      <c r="CA6" s="37"/>
      <c r="CB6" s="37"/>
      <c r="CC6" s="37"/>
      <c r="CD6" s="137"/>
      <c r="CE6" s="37"/>
      <c r="CF6" s="37"/>
      <c r="CG6" s="37"/>
    </row>
    <row r="7" spans="1:85" s="138" customFormat="1" ht="15" customHeight="1" thickBot="1">
      <c r="A7" s="43"/>
      <c r="B7" s="45"/>
      <c r="C7" s="139"/>
      <c r="D7" s="29"/>
      <c r="E7" s="29"/>
      <c r="F7" s="29"/>
      <c r="G7" s="29"/>
      <c r="H7" s="29"/>
      <c r="I7" s="29"/>
      <c r="J7" s="44"/>
      <c r="K7" s="44"/>
      <c r="L7" s="44"/>
      <c r="M7" s="44"/>
      <c r="N7" s="44"/>
      <c r="O7" s="44"/>
      <c r="P7" s="44"/>
      <c r="Q7" s="137"/>
      <c r="R7" s="49"/>
      <c r="S7" s="49"/>
      <c r="T7" s="49"/>
      <c r="U7" s="49"/>
      <c r="V7" s="49"/>
      <c r="W7" s="49"/>
      <c r="X7" s="39"/>
      <c r="Y7" s="49"/>
      <c r="Z7" s="49"/>
      <c r="AA7" s="31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50"/>
      <c r="BI7" s="34"/>
      <c r="BJ7" s="35"/>
      <c r="BK7" s="34"/>
      <c r="BL7" s="41"/>
      <c r="BM7" s="36"/>
      <c r="BN7" s="37"/>
      <c r="BO7" s="34"/>
      <c r="BP7" s="34"/>
      <c r="BQ7" s="34"/>
      <c r="BR7" s="205"/>
      <c r="BS7" s="34"/>
      <c r="BT7" s="37"/>
      <c r="BU7" s="35"/>
      <c r="BV7" s="37"/>
      <c r="BW7" s="37"/>
      <c r="BX7" s="34"/>
      <c r="BY7" s="37"/>
      <c r="BZ7" s="37"/>
      <c r="CA7" s="37"/>
      <c r="CB7" s="37"/>
      <c r="CC7" s="37"/>
      <c r="CD7" s="137"/>
      <c r="CE7" s="37"/>
      <c r="CF7" s="37"/>
      <c r="CG7" s="37"/>
    </row>
    <row r="8" spans="1:85" s="138" customFormat="1" ht="15" customHeight="1" thickBot="1">
      <c r="A8" s="140" t="s">
        <v>31</v>
      </c>
      <c r="B8" s="141"/>
      <c r="C8" s="142">
        <v>0.68</v>
      </c>
      <c r="D8" s="29"/>
      <c r="E8" s="29"/>
      <c r="F8" s="29"/>
      <c r="G8" s="29"/>
      <c r="H8" s="29"/>
      <c r="I8" s="29"/>
      <c r="J8" s="44"/>
      <c r="K8" s="44"/>
      <c r="L8" s="44"/>
      <c r="M8" s="44"/>
      <c r="N8" s="44"/>
      <c r="O8" s="44"/>
      <c r="P8" s="44"/>
      <c r="Q8" s="137"/>
      <c r="R8" s="49"/>
      <c r="S8" s="49"/>
      <c r="T8" s="49"/>
      <c r="U8" s="49"/>
      <c r="V8" s="49"/>
      <c r="W8" s="49"/>
      <c r="X8" s="39"/>
      <c r="Y8" s="49"/>
      <c r="Z8" s="49"/>
      <c r="AA8" s="31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50"/>
      <c r="BI8" s="34"/>
      <c r="BJ8" s="35"/>
      <c r="BK8" s="34"/>
      <c r="BL8" s="41"/>
      <c r="BM8" s="36"/>
      <c r="BN8" s="37"/>
      <c r="BO8" s="34"/>
      <c r="BP8" s="34"/>
      <c r="BQ8" s="34"/>
      <c r="BR8" s="205"/>
      <c r="BS8" s="34"/>
      <c r="BT8" s="37"/>
      <c r="BU8" s="35"/>
      <c r="BV8" s="37"/>
      <c r="BW8" s="37"/>
      <c r="BX8" s="34"/>
      <c r="BY8" s="37"/>
      <c r="BZ8" s="37"/>
      <c r="CA8" s="37"/>
      <c r="CB8" s="37"/>
      <c r="CC8" s="37"/>
      <c r="CD8" s="137"/>
      <c r="CE8" s="37"/>
      <c r="CF8" s="37"/>
      <c r="CG8" s="37"/>
    </row>
    <row r="9" spans="1:85" s="138" customFormat="1" ht="15" customHeight="1">
      <c r="A9" s="137"/>
      <c r="B9" s="45"/>
      <c r="C9" s="49"/>
      <c r="D9" s="29"/>
      <c r="E9" s="29"/>
      <c r="F9" s="29"/>
      <c r="G9" s="29"/>
      <c r="H9" s="29"/>
      <c r="I9" s="29"/>
      <c r="J9" s="44"/>
      <c r="K9" s="44"/>
      <c r="L9" s="44"/>
      <c r="M9" s="44"/>
      <c r="N9" s="44"/>
      <c r="O9" s="44"/>
      <c r="P9" s="44"/>
      <c r="Q9" s="137"/>
      <c r="R9" s="143"/>
      <c r="S9" s="143"/>
      <c r="T9" s="143"/>
      <c r="U9" s="143"/>
      <c r="V9" s="143"/>
      <c r="W9" s="143"/>
      <c r="X9" s="144"/>
      <c r="Y9" s="49"/>
      <c r="Z9" s="49"/>
      <c r="AA9" s="31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50"/>
      <c r="BI9" s="34"/>
      <c r="BJ9" s="35"/>
      <c r="BK9" s="34"/>
      <c r="BL9" s="41"/>
      <c r="BM9" s="36"/>
      <c r="BN9" s="37"/>
      <c r="BO9" s="34"/>
      <c r="BP9" s="34"/>
      <c r="BQ9" s="34"/>
      <c r="BR9" s="205"/>
      <c r="BS9" s="34"/>
      <c r="BT9" s="37"/>
      <c r="BU9" s="35"/>
      <c r="BV9" s="37"/>
      <c r="BW9" s="37"/>
      <c r="BX9" s="34"/>
      <c r="BY9" s="37"/>
      <c r="BZ9" s="37"/>
      <c r="CA9" s="37"/>
      <c r="CB9" s="37"/>
      <c r="CC9" s="37"/>
      <c r="CD9" s="137"/>
      <c r="CE9" s="37"/>
      <c r="CF9" s="37"/>
      <c r="CG9" s="37"/>
    </row>
    <row r="10" spans="1:85" s="138" customFormat="1" ht="15" customHeight="1">
      <c r="A10" s="137" t="s">
        <v>388</v>
      </c>
      <c r="B10" s="45"/>
      <c r="C10" s="49">
        <v>0</v>
      </c>
      <c r="D10" s="29"/>
      <c r="E10" s="29"/>
      <c r="F10" s="29"/>
      <c r="G10" s="29"/>
      <c r="H10" s="29"/>
      <c r="I10" s="29"/>
      <c r="J10" s="44"/>
      <c r="K10" s="44"/>
      <c r="L10" s="44"/>
      <c r="M10" s="44"/>
      <c r="N10" s="44"/>
      <c r="O10" s="44"/>
      <c r="P10" s="44"/>
      <c r="Q10" s="137"/>
      <c r="R10" s="143"/>
      <c r="S10" s="143"/>
      <c r="T10" s="143"/>
      <c r="U10" s="143"/>
      <c r="V10" s="143"/>
      <c r="W10" s="143"/>
      <c r="X10" s="144"/>
      <c r="Y10" s="49"/>
      <c r="Z10" s="49"/>
      <c r="AA10" s="31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50"/>
      <c r="BI10" s="34"/>
      <c r="BJ10" s="35"/>
      <c r="BK10" s="34"/>
      <c r="BL10" s="41"/>
      <c r="BM10" s="36"/>
      <c r="BN10" s="37"/>
      <c r="BO10" s="34"/>
      <c r="BP10" s="34"/>
      <c r="BQ10" s="34"/>
      <c r="BR10" s="205"/>
      <c r="BS10" s="34"/>
      <c r="BT10" s="37"/>
      <c r="BU10" s="35"/>
      <c r="BV10" s="37"/>
      <c r="BW10" s="37"/>
      <c r="BX10" s="34"/>
      <c r="BY10" s="37"/>
      <c r="BZ10" s="37"/>
      <c r="CA10" s="37"/>
      <c r="CB10" s="37"/>
      <c r="CC10" s="37"/>
      <c r="CD10" s="137"/>
      <c r="CE10" s="37"/>
      <c r="CF10" s="37"/>
      <c r="CG10" s="37"/>
    </row>
    <row r="11" spans="1:85" s="138" customFormat="1" ht="15" customHeight="1">
      <c r="A11" s="137" t="s">
        <v>32</v>
      </c>
      <c r="B11" s="45"/>
      <c r="C11" s="49">
        <v>0</v>
      </c>
      <c r="D11" s="29"/>
      <c r="E11" s="29"/>
      <c r="F11" s="29"/>
      <c r="G11" s="29"/>
      <c r="H11" s="29"/>
      <c r="I11" s="29"/>
      <c r="J11" s="44"/>
      <c r="K11" s="44"/>
      <c r="L11" s="44"/>
      <c r="M11" s="44"/>
      <c r="N11" s="44"/>
      <c r="O11" s="44"/>
      <c r="P11" s="44"/>
      <c r="Q11" s="137"/>
      <c r="R11" s="145"/>
      <c r="S11" s="145"/>
      <c r="T11" s="145"/>
      <c r="U11" s="145"/>
      <c r="V11" s="145"/>
      <c r="W11" s="145"/>
      <c r="X11" s="144"/>
      <c r="Y11" s="49"/>
      <c r="Z11" s="49"/>
      <c r="AA11" s="31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50"/>
      <c r="BI11" s="34"/>
      <c r="BJ11" s="35"/>
      <c r="BK11" s="34"/>
      <c r="BL11" s="41"/>
      <c r="BM11" s="36"/>
      <c r="BN11" s="37"/>
      <c r="BO11" s="34"/>
      <c r="BP11" s="34"/>
      <c r="BQ11" s="34"/>
      <c r="BR11" s="205"/>
      <c r="BS11" s="34"/>
      <c r="BT11" s="37"/>
      <c r="BU11" s="35"/>
      <c r="BV11" s="37"/>
      <c r="BW11" s="37"/>
      <c r="BX11" s="34"/>
      <c r="BY11" s="37"/>
      <c r="BZ11" s="37"/>
      <c r="CA11" s="37"/>
      <c r="CB11" s="37"/>
      <c r="CC11" s="37"/>
      <c r="CD11" s="137"/>
      <c r="CE11" s="37"/>
      <c r="CF11" s="37"/>
      <c r="CG11" s="37"/>
    </row>
    <row r="12" spans="1:85" s="138" customFormat="1" ht="15" customHeight="1">
      <c r="A12" s="137" t="s">
        <v>33</v>
      </c>
      <c r="B12" s="45"/>
      <c r="C12" s="49">
        <v>0.68</v>
      </c>
      <c r="D12" s="29"/>
      <c r="E12" s="29"/>
      <c r="F12" s="29"/>
      <c r="G12" s="29"/>
      <c r="H12" s="29"/>
      <c r="I12" s="29"/>
      <c r="J12" s="44"/>
      <c r="K12" s="44"/>
      <c r="L12" s="44"/>
      <c r="M12" s="44"/>
      <c r="N12" s="44"/>
      <c r="O12" s="44"/>
      <c r="P12" s="44"/>
      <c r="Q12" s="137"/>
      <c r="R12" s="145"/>
      <c r="S12" s="145"/>
      <c r="T12" s="145"/>
      <c r="U12" s="145"/>
      <c r="V12" s="145"/>
      <c r="W12" s="145"/>
      <c r="X12" s="144"/>
      <c r="Y12" s="49"/>
      <c r="Z12" s="49"/>
      <c r="AA12" s="31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50"/>
      <c r="BI12" s="34"/>
      <c r="BJ12" s="35"/>
      <c r="BK12" s="34"/>
      <c r="BL12" s="41"/>
      <c r="BM12" s="36"/>
      <c r="BN12" s="37"/>
      <c r="BO12" s="34"/>
      <c r="BP12" s="34"/>
      <c r="BQ12" s="34"/>
      <c r="BR12" s="205"/>
      <c r="BS12" s="34"/>
      <c r="BT12" s="37"/>
      <c r="BU12" s="35"/>
      <c r="BV12" s="37"/>
      <c r="BW12" s="37"/>
      <c r="BX12" s="34"/>
      <c r="BY12" s="37"/>
      <c r="BZ12" s="37"/>
      <c r="CA12" s="37"/>
      <c r="CB12" s="37"/>
      <c r="CC12" s="37"/>
      <c r="CD12" s="137"/>
      <c r="CE12" s="37"/>
      <c r="CF12" s="37"/>
      <c r="CG12" s="37"/>
    </row>
    <row r="13" spans="1:85" s="138" customFormat="1" ht="15" customHeight="1">
      <c r="A13" s="137" t="s">
        <v>34</v>
      </c>
      <c r="B13" s="45"/>
      <c r="C13" s="49">
        <v>0</v>
      </c>
      <c r="D13" s="29"/>
      <c r="E13" s="29"/>
      <c r="F13" s="29"/>
      <c r="G13" s="29"/>
      <c r="H13" s="29"/>
      <c r="I13" s="29"/>
      <c r="J13" s="44"/>
      <c r="K13" s="44"/>
      <c r="L13" s="44"/>
      <c r="M13" s="44"/>
      <c r="N13" s="44"/>
      <c r="O13" s="44"/>
      <c r="P13" s="44"/>
      <c r="Q13" s="137"/>
      <c r="R13" s="143"/>
      <c r="S13" s="143"/>
      <c r="T13" s="143"/>
      <c r="U13" s="143"/>
      <c r="V13" s="143"/>
      <c r="W13" s="143"/>
      <c r="X13" s="144"/>
      <c r="Y13" s="49"/>
      <c r="Z13" s="49"/>
      <c r="AA13" s="31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50"/>
      <c r="BI13" s="34"/>
      <c r="BJ13" s="35"/>
      <c r="BK13" s="34"/>
      <c r="BL13" s="41"/>
      <c r="BM13" s="36"/>
      <c r="BN13" s="37"/>
      <c r="BO13" s="34"/>
      <c r="BP13" s="34"/>
      <c r="BQ13" s="34"/>
      <c r="BR13" s="205"/>
      <c r="BS13" s="34"/>
      <c r="BT13" s="37"/>
      <c r="BU13" s="35"/>
      <c r="BV13" s="37"/>
      <c r="BW13" s="37"/>
      <c r="BX13" s="34"/>
      <c r="BY13" s="37"/>
      <c r="BZ13" s="37"/>
      <c r="CA13" s="37"/>
      <c r="CB13" s="37"/>
      <c r="CC13" s="37"/>
      <c r="CD13" s="137"/>
      <c r="CE13" s="37"/>
      <c r="CF13" s="37"/>
      <c r="CG13" s="37"/>
    </row>
    <row r="14" spans="1:85" s="138" customFormat="1" ht="15" customHeight="1">
      <c r="A14" s="137" t="s">
        <v>35</v>
      </c>
      <c r="B14" s="45"/>
      <c r="C14" s="49">
        <v>0</v>
      </c>
      <c r="D14" s="29"/>
      <c r="E14" s="29"/>
      <c r="F14" s="29"/>
      <c r="G14" s="29"/>
      <c r="H14" s="29"/>
      <c r="I14" s="29"/>
      <c r="J14" s="44"/>
      <c r="K14" s="44"/>
      <c r="L14" s="44"/>
      <c r="M14" s="44"/>
      <c r="N14" s="44"/>
      <c r="O14" s="44"/>
      <c r="P14" s="44"/>
      <c r="Q14" s="137"/>
      <c r="R14" s="49"/>
      <c r="S14" s="49"/>
      <c r="T14" s="49"/>
      <c r="U14" s="49"/>
      <c r="V14" s="49"/>
      <c r="W14" s="49"/>
      <c r="X14" s="39"/>
      <c r="Y14" s="49"/>
      <c r="Z14" s="49"/>
      <c r="AA14" s="31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50"/>
      <c r="BI14" s="34"/>
      <c r="BJ14" s="35"/>
      <c r="BK14" s="34"/>
      <c r="BL14" s="41"/>
      <c r="BM14" s="36"/>
      <c r="BN14" s="37"/>
      <c r="BO14" s="34"/>
      <c r="BP14" s="34"/>
      <c r="BQ14" s="34"/>
      <c r="BR14" s="205"/>
      <c r="BS14" s="34"/>
      <c r="BT14" s="37"/>
      <c r="BU14" s="35"/>
      <c r="BV14" s="37"/>
      <c r="BW14" s="37"/>
      <c r="BX14" s="34"/>
      <c r="BY14" s="37"/>
      <c r="BZ14" s="37"/>
      <c r="CA14" s="37"/>
      <c r="CB14" s="37"/>
      <c r="CC14" s="37"/>
      <c r="CD14" s="137"/>
      <c r="CE14" s="37"/>
      <c r="CF14" s="37"/>
      <c r="CG14" s="37"/>
    </row>
    <row r="15" spans="1:85" s="138" customFormat="1" ht="15" customHeight="1">
      <c r="A15" s="137" t="s">
        <v>36</v>
      </c>
      <c r="B15" s="49"/>
      <c r="C15" s="49">
        <v>0</v>
      </c>
      <c r="D15" s="29"/>
      <c r="E15" s="29"/>
      <c r="F15" s="29"/>
      <c r="G15" s="29"/>
      <c r="H15" s="29"/>
      <c r="I15" s="29"/>
      <c r="J15" s="44"/>
      <c r="K15" s="44"/>
      <c r="L15" s="44"/>
      <c r="M15" s="44"/>
      <c r="N15" s="44"/>
      <c r="O15" s="44"/>
      <c r="P15" s="44"/>
      <c r="Q15" s="137"/>
      <c r="R15" s="49"/>
      <c r="S15" s="49"/>
      <c r="T15" s="49"/>
      <c r="U15" s="49"/>
      <c r="V15" s="49"/>
      <c r="W15" s="49"/>
      <c r="X15" s="39"/>
      <c r="Y15" s="49"/>
      <c r="Z15" s="49"/>
      <c r="AA15" s="31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50"/>
      <c r="BI15" s="34"/>
      <c r="BJ15" s="35"/>
      <c r="BK15" s="34"/>
      <c r="BL15" s="41"/>
      <c r="BM15" s="36"/>
      <c r="BN15" s="37"/>
      <c r="BO15" s="34"/>
      <c r="BP15" s="34"/>
      <c r="BQ15" s="34"/>
      <c r="BR15" s="205"/>
      <c r="BS15" s="34"/>
      <c r="BT15" s="37"/>
      <c r="BU15" s="35"/>
      <c r="BV15" s="37"/>
      <c r="BW15" s="37"/>
      <c r="BX15" s="34"/>
      <c r="BY15" s="37"/>
      <c r="BZ15" s="37"/>
      <c r="CA15" s="37"/>
      <c r="CB15" s="37"/>
      <c r="CC15" s="37"/>
      <c r="CD15" s="137"/>
      <c r="CE15" s="37"/>
      <c r="CF15" s="37"/>
      <c r="CG15" s="37"/>
    </row>
    <row r="16" spans="1:85" s="138" customFormat="1" ht="15" customHeight="1">
      <c r="A16" s="137" t="s">
        <v>37</v>
      </c>
      <c r="B16" s="49"/>
      <c r="C16" s="49">
        <v>0</v>
      </c>
      <c r="D16" s="29"/>
      <c r="E16" s="29"/>
      <c r="F16" s="29"/>
      <c r="G16" s="29"/>
      <c r="H16" s="29"/>
      <c r="I16" s="29"/>
      <c r="J16" s="44"/>
      <c r="K16" s="44"/>
      <c r="L16" s="44"/>
      <c r="M16" s="44"/>
      <c r="N16" s="44"/>
      <c r="O16" s="44"/>
      <c r="P16" s="44"/>
      <c r="Q16" s="137"/>
      <c r="R16" s="49"/>
      <c r="S16" s="49"/>
      <c r="T16" s="49"/>
      <c r="U16" s="49"/>
      <c r="V16" s="49"/>
      <c r="W16" s="49"/>
      <c r="X16" s="39"/>
      <c r="Y16" s="49"/>
      <c r="Z16" s="49"/>
      <c r="AA16" s="31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50"/>
      <c r="BI16" s="34"/>
      <c r="BJ16" s="35"/>
      <c r="BK16" s="34"/>
      <c r="BL16" s="41"/>
      <c r="BM16" s="36"/>
      <c r="BN16" s="37"/>
      <c r="BO16" s="34"/>
      <c r="BP16" s="34"/>
      <c r="BQ16" s="34"/>
      <c r="BR16" s="205"/>
      <c r="BS16" s="34"/>
      <c r="BT16" s="37"/>
      <c r="BU16" s="35"/>
      <c r="BV16" s="37"/>
      <c r="BW16" s="37"/>
      <c r="BX16" s="34"/>
      <c r="BY16" s="37"/>
      <c r="BZ16" s="37"/>
      <c r="CA16" s="37"/>
      <c r="CB16" s="37"/>
      <c r="CC16" s="37"/>
      <c r="CD16" s="137"/>
      <c r="CE16" s="37"/>
      <c r="CF16" s="37"/>
      <c r="CG16" s="37"/>
    </row>
    <row r="17" spans="1:86" s="138" customFormat="1" ht="15" customHeight="1">
      <c r="A17" s="137" t="s">
        <v>38</v>
      </c>
      <c r="B17" s="49"/>
      <c r="C17" s="49">
        <v>0</v>
      </c>
      <c r="D17" s="29"/>
      <c r="E17" s="29"/>
      <c r="F17" s="29"/>
      <c r="G17" s="29"/>
      <c r="H17" s="29"/>
      <c r="I17" s="29"/>
      <c r="J17" s="44"/>
      <c r="K17" s="44"/>
      <c r="L17" s="44"/>
      <c r="M17" s="44"/>
      <c r="N17" s="44"/>
      <c r="O17" s="44"/>
      <c r="P17" s="44"/>
      <c r="Q17" s="137"/>
      <c r="R17" s="49"/>
      <c r="S17" s="49"/>
      <c r="T17" s="49"/>
      <c r="U17" s="49"/>
      <c r="V17" s="49"/>
      <c r="W17" s="49"/>
      <c r="X17" s="39"/>
      <c r="Y17" s="49"/>
      <c r="Z17" s="49"/>
      <c r="AA17" s="31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50"/>
      <c r="BI17" s="34"/>
      <c r="BJ17" s="35"/>
      <c r="BK17" s="34"/>
      <c r="BL17" s="41"/>
      <c r="BM17" s="36"/>
      <c r="BN17" s="37"/>
      <c r="BO17" s="34"/>
      <c r="BP17" s="34"/>
      <c r="BQ17" s="34"/>
      <c r="BR17" s="205"/>
      <c r="BS17" s="34"/>
      <c r="BT17" s="37"/>
      <c r="BU17" s="35"/>
      <c r="BV17" s="37"/>
      <c r="BW17" s="37"/>
      <c r="BX17" s="34"/>
      <c r="BY17" s="37"/>
      <c r="BZ17" s="37"/>
      <c r="CA17" s="37"/>
      <c r="CB17" s="37"/>
      <c r="CC17" s="37"/>
      <c r="CD17" s="137"/>
      <c r="CE17" s="37"/>
      <c r="CF17" s="37"/>
      <c r="CG17" s="37"/>
    </row>
    <row r="18" spans="1:86" s="138" customFormat="1" ht="15" customHeight="1">
      <c r="A18" s="137" t="s">
        <v>39</v>
      </c>
      <c r="B18" s="49"/>
      <c r="C18" s="49">
        <v>0</v>
      </c>
      <c r="D18" s="29"/>
      <c r="E18" s="29"/>
      <c r="F18" s="29"/>
      <c r="G18" s="29"/>
      <c r="H18" s="29"/>
      <c r="I18" s="29"/>
      <c r="J18" s="44"/>
      <c r="K18" s="44"/>
      <c r="L18" s="44"/>
      <c r="M18" s="44"/>
      <c r="N18" s="44"/>
      <c r="O18" s="44"/>
      <c r="P18" s="44"/>
      <c r="Q18" s="137"/>
      <c r="R18" s="49"/>
      <c r="S18" s="49"/>
      <c r="T18" s="49"/>
      <c r="U18" s="49"/>
      <c r="V18" s="49"/>
      <c r="W18" s="49"/>
      <c r="X18" s="39"/>
      <c r="Y18" s="49"/>
      <c r="Z18" s="49"/>
      <c r="AA18" s="31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50"/>
      <c r="BI18" s="34"/>
      <c r="BJ18" s="35"/>
      <c r="BK18" s="34"/>
      <c r="BL18" s="41"/>
      <c r="BM18" s="36"/>
      <c r="BN18" s="37"/>
      <c r="BO18" s="34"/>
      <c r="BP18" s="34"/>
      <c r="BQ18" s="34"/>
      <c r="BR18" s="205"/>
      <c r="BS18" s="34"/>
      <c r="BT18" s="37"/>
      <c r="BU18" s="35"/>
      <c r="BV18" s="37"/>
      <c r="BW18" s="37"/>
      <c r="BX18" s="34"/>
      <c r="BY18" s="37"/>
      <c r="BZ18" s="37"/>
      <c r="CA18" s="37"/>
      <c r="CB18" s="37"/>
      <c r="CC18" s="37"/>
      <c r="CD18" s="137"/>
      <c r="CE18" s="37"/>
      <c r="CF18" s="37"/>
      <c r="CG18" s="37"/>
    </row>
    <row r="19" spans="1:86" s="138" customFormat="1" ht="15" customHeight="1">
      <c r="A19" s="137" t="s">
        <v>40</v>
      </c>
      <c r="B19" s="49"/>
      <c r="C19" s="49">
        <v>0</v>
      </c>
      <c r="D19" s="29"/>
      <c r="E19" s="29"/>
      <c r="F19" s="29"/>
      <c r="G19" s="29"/>
      <c r="H19" s="29"/>
      <c r="I19" s="29"/>
      <c r="J19" s="44"/>
      <c r="K19" s="44"/>
      <c r="L19" s="44"/>
      <c r="M19" s="44"/>
      <c r="N19" s="44"/>
      <c r="O19" s="44"/>
      <c r="P19" s="44"/>
      <c r="Q19" s="137"/>
      <c r="R19" s="49"/>
      <c r="S19" s="49"/>
      <c r="T19" s="49"/>
      <c r="U19" s="49"/>
      <c r="V19" s="49"/>
      <c r="W19" s="49"/>
      <c r="X19" s="39"/>
      <c r="Y19" s="49"/>
      <c r="Z19" s="49"/>
      <c r="AA19" s="31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50"/>
      <c r="BI19" s="34"/>
      <c r="BJ19" s="35"/>
      <c r="BK19" s="34"/>
      <c r="BL19" s="41"/>
      <c r="BM19" s="36"/>
      <c r="BN19" s="37"/>
      <c r="BO19" s="34"/>
      <c r="BP19" s="34"/>
      <c r="BQ19" s="34"/>
      <c r="BR19" s="205"/>
      <c r="BS19" s="34"/>
      <c r="BT19" s="37"/>
      <c r="BU19" s="35"/>
      <c r="BV19" s="37"/>
      <c r="BW19" s="37"/>
      <c r="BX19" s="34"/>
      <c r="BY19" s="37"/>
      <c r="BZ19" s="37"/>
      <c r="CA19" s="37"/>
      <c r="CB19" s="37"/>
      <c r="CC19" s="37"/>
      <c r="CD19" s="137"/>
      <c r="CE19" s="37"/>
      <c r="CF19" s="37"/>
      <c r="CG19" s="37"/>
    </row>
    <row r="20" spans="1:86" s="138" customFormat="1" ht="15" customHeight="1">
      <c r="A20" s="137" t="s">
        <v>41</v>
      </c>
      <c r="B20" s="49"/>
      <c r="C20" s="49">
        <v>0</v>
      </c>
      <c r="D20" s="29"/>
      <c r="E20" s="29"/>
      <c r="F20" s="29"/>
      <c r="G20" s="29"/>
      <c r="H20" s="29"/>
      <c r="I20" s="29"/>
      <c r="J20" s="44"/>
      <c r="K20" s="44"/>
      <c r="L20" s="44"/>
      <c r="M20" s="44"/>
      <c r="N20" s="44"/>
      <c r="O20" s="44"/>
      <c r="P20" s="44"/>
      <c r="Q20" s="137"/>
      <c r="R20" s="49"/>
      <c r="S20" s="49"/>
      <c r="T20" s="49"/>
      <c r="U20" s="49"/>
      <c r="V20" s="49"/>
      <c r="W20" s="49"/>
      <c r="X20" s="39"/>
      <c r="Y20" s="49"/>
      <c r="Z20" s="49"/>
      <c r="AA20" s="31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50"/>
      <c r="BI20" s="34"/>
      <c r="BJ20" s="35"/>
      <c r="BK20" s="34"/>
      <c r="BL20" s="41"/>
      <c r="BM20" s="36"/>
      <c r="BN20" s="37"/>
      <c r="BO20" s="34"/>
      <c r="BP20" s="34"/>
      <c r="BQ20" s="34"/>
      <c r="BR20" s="205"/>
      <c r="BS20" s="34"/>
      <c r="BT20" s="37"/>
      <c r="BU20" s="35"/>
      <c r="BV20" s="37"/>
      <c r="BW20" s="37"/>
      <c r="BX20" s="34"/>
      <c r="BY20" s="37"/>
      <c r="BZ20" s="37"/>
      <c r="CA20" s="37"/>
      <c r="CB20" s="37"/>
      <c r="CC20" s="37"/>
      <c r="CD20" s="137"/>
      <c r="CE20" s="37"/>
      <c r="CF20" s="37"/>
      <c r="CG20" s="37"/>
    </row>
    <row r="21" spans="1:86" s="138" customFormat="1" ht="15" customHeight="1">
      <c r="A21" s="137" t="s">
        <v>42</v>
      </c>
      <c r="B21" s="49"/>
      <c r="C21" s="49">
        <v>0</v>
      </c>
      <c r="D21" s="29"/>
      <c r="E21" s="29"/>
      <c r="F21" s="29"/>
      <c r="G21" s="29"/>
      <c r="H21" s="29"/>
      <c r="I21" s="29"/>
      <c r="J21" s="44"/>
      <c r="K21" s="44"/>
      <c r="L21" s="44"/>
      <c r="M21" s="44"/>
      <c r="N21" s="44"/>
      <c r="O21" s="44"/>
      <c r="P21" s="44"/>
      <c r="Q21" s="137"/>
      <c r="R21" s="49"/>
      <c r="S21" s="49"/>
      <c r="T21" s="49"/>
      <c r="U21" s="49"/>
      <c r="V21" s="49"/>
      <c r="W21" s="49"/>
      <c r="X21" s="39"/>
      <c r="Y21" s="49"/>
      <c r="Z21" s="49"/>
      <c r="AA21" s="31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50"/>
      <c r="BI21" s="34"/>
      <c r="BJ21" s="35"/>
      <c r="BK21" s="34"/>
      <c r="BL21" s="41"/>
      <c r="BM21" s="36"/>
      <c r="BN21" s="37"/>
      <c r="BO21" s="34"/>
      <c r="BP21" s="34"/>
      <c r="BQ21" s="34"/>
      <c r="BR21" s="205"/>
      <c r="BS21" s="34"/>
      <c r="BT21" s="37"/>
      <c r="BU21" s="35"/>
      <c r="BV21" s="37"/>
      <c r="BW21" s="37"/>
      <c r="BX21" s="34"/>
      <c r="BY21" s="37"/>
      <c r="BZ21" s="37"/>
      <c r="CA21" s="37"/>
      <c r="CB21" s="37"/>
      <c r="CC21" s="37"/>
      <c r="CD21" s="137"/>
      <c r="CE21" s="37"/>
      <c r="CF21" s="37"/>
      <c r="CG21" s="37"/>
    </row>
    <row r="22" spans="1:86" s="138" customFormat="1" ht="15" customHeight="1">
      <c r="A22" s="137" t="s">
        <v>389</v>
      </c>
      <c r="B22" s="49"/>
      <c r="C22" s="49">
        <v>0</v>
      </c>
      <c r="D22" s="29"/>
      <c r="E22" s="29"/>
      <c r="F22" s="29"/>
      <c r="G22" s="29"/>
      <c r="H22" s="29"/>
      <c r="I22" s="29"/>
      <c r="J22" s="44"/>
      <c r="K22" s="44"/>
      <c r="L22" s="44"/>
      <c r="M22" s="44"/>
      <c r="N22" s="44"/>
      <c r="O22" s="44"/>
      <c r="P22" s="44"/>
      <c r="Q22" s="137"/>
      <c r="R22" s="49"/>
      <c r="S22" s="49"/>
      <c r="T22" s="49"/>
      <c r="U22" s="49"/>
      <c r="V22" s="49"/>
      <c r="W22" s="49"/>
      <c r="X22" s="39"/>
      <c r="Y22" s="49"/>
      <c r="Z22" s="49"/>
      <c r="AA22" s="31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50"/>
      <c r="BI22" s="34"/>
      <c r="BJ22" s="35"/>
      <c r="BK22" s="34"/>
      <c r="BL22" s="41"/>
      <c r="BM22" s="36"/>
      <c r="BN22" s="37"/>
      <c r="BO22" s="34"/>
      <c r="BP22" s="34"/>
      <c r="BQ22" s="34"/>
      <c r="BR22" s="205"/>
      <c r="BS22" s="34"/>
      <c r="BT22" s="37"/>
      <c r="BU22" s="35"/>
      <c r="BV22" s="37"/>
      <c r="BW22" s="37"/>
      <c r="BX22" s="34"/>
      <c r="BY22" s="37"/>
      <c r="BZ22" s="37"/>
      <c r="CA22" s="37"/>
      <c r="CB22" s="37"/>
      <c r="CC22" s="37"/>
      <c r="CD22" s="137"/>
      <c r="CE22" s="37"/>
      <c r="CF22" s="37"/>
      <c r="CG22" s="37"/>
    </row>
    <row r="23" spans="1:86" s="138" customFormat="1" ht="15" customHeight="1">
      <c r="A23" s="137" t="s">
        <v>390</v>
      </c>
      <c r="B23" s="49"/>
      <c r="C23" s="49">
        <v>0</v>
      </c>
      <c r="D23" s="29"/>
      <c r="E23" s="29"/>
      <c r="F23" s="29"/>
      <c r="G23" s="29"/>
      <c r="H23" s="29"/>
      <c r="I23" s="29"/>
      <c r="J23" s="44"/>
      <c r="K23" s="44"/>
      <c r="L23" s="44"/>
      <c r="M23" s="44"/>
      <c r="N23" s="44"/>
      <c r="O23" s="44"/>
      <c r="P23" s="44"/>
      <c r="Q23" s="137"/>
      <c r="R23" s="49"/>
      <c r="S23" s="49"/>
      <c r="T23" s="49"/>
      <c r="U23" s="49"/>
      <c r="V23" s="49"/>
      <c r="W23" s="49"/>
      <c r="X23" s="39"/>
      <c r="Y23" s="49"/>
      <c r="Z23" s="49"/>
      <c r="AA23" s="31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50"/>
      <c r="BI23" s="34"/>
      <c r="BJ23" s="35"/>
      <c r="BK23" s="34"/>
      <c r="BL23" s="41"/>
      <c r="BM23" s="36"/>
      <c r="BN23" s="37"/>
      <c r="BO23" s="34"/>
      <c r="BP23" s="34"/>
      <c r="BQ23" s="34"/>
      <c r="BR23" s="205"/>
      <c r="BS23" s="34"/>
      <c r="BT23" s="37"/>
      <c r="BU23" s="35"/>
      <c r="BV23" s="37"/>
      <c r="BW23" s="37"/>
      <c r="BX23" s="34"/>
      <c r="BY23" s="37"/>
      <c r="BZ23" s="37"/>
      <c r="CA23" s="37"/>
      <c r="CB23" s="37"/>
      <c r="CC23" s="37"/>
      <c r="CD23" s="137"/>
      <c r="CE23" s="37"/>
      <c r="CF23" s="37"/>
      <c r="CG23" s="37"/>
    </row>
    <row r="24" spans="1:86" s="138" customFormat="1" ht="15" customHeight="1">
      <c r="A24" s="43"/>
      <c r="B24" s="45"/>
      <c r="C24" s="139"/>
      <c r="D24" s="29"/>
      <c r="E24" s="29"/>
      <c r="F24" s="29"/>
      <c r="G24" s="29"/>
      <c r="H24" s="29"/>
      <c r="I24" s="29"/>
      <c r="J24" s="44"/>
      <c r="K24" s="44"/>
      <c r="L24" s="44"/>
      <c r="M24" s="44"/>
      <c r="N24" s="44"/>
      <c r="O24" s="44"/>
      <c r="P24" s="44"/>
      <c r="Q24" s="137"/>
      <c r="R24" s="49"/>
      <c r="S24" s="49"/>
      <c r="T24" s="49"/>
      <c r="U24" s="49"/>
      <c r="V24" s="49"/>
      <c r="W24" s="49"/>
      <c r="X24" s="39"/>
      <c r="Y24" s="49"/>
      <c r="Z24" s="49"/>
      <c r="AA24" s="31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50"/>
      <c r="BI24" s="34"/>
      <c r="BJ24" s="35"/>
      <c r="BK24" s="34"/>
      <c r="BL24" s="41"/>
      <c r="BM24" s="36"/>
      <c r="BN24" s="37"/>
      <c r="BO24" s="34"/>
      <c r="BP24" s="34"/>
      <c r="BQ24" s="34"/>
      <c r="BR24" s="205"/>
      <c r="BS24" s="34"/>
      <c r="BT24" s="37"/>
      <c r="BU24" s="35"/>
      <c r="BV24" s="37"/>
      <c r="BW24" s="37"/>
      <c r="BX24" s="34"/>
      <c r="BY24" s="37"/>
      <c r="BZ24" s="37"/>
      <c r="CA24" s="37"/>
      <c r="CB24" s="37"/>
      <c r="CC24" s="37"/>
      <c r="CD24" s="137"/>
      <c r="CE24" s="37"/>
      <c r="CF24" s="37"/>
      <c r="CG24" s="37"/>
    </row>
    <row r="25" spans="1:86" s="138" customFormat="1" ht="15" customHeight="1" thickBot="1">
      <c r="A25" s="29"/>
      <c r="B25" s="29"/>
      <c r="C25" s="31"/>
      <c r="D25" s="29"/>
      <c r="E25" s="29"/>
      <c r="F25" s="29"/>
      <c r="G25" s="29"/>
      <c r="H25" s="29"/>
      <c r="I25" s="29"/>
      <c r="J25" s="44"/>
      <c r="K25" s="44"/>
      <c r="L25" s="44"/>
      <c r="M25" s="44"/>
      <c r="N25" s="44"/>
      <c r="O25" s="44"/>
      <c r="P25" s="44"/>
      <c r="Q25" s="49"/>
      <c r="R25" s="49"/>
      <c r="S25" s="49"/>
      <c r="T25" s="49"/>
      <c r="U25" s="49"/>
      <c r="V25" s="49"/>
      <c r="W25" s="49"/>
      <c r="X25" s="39"/>
      <c r="Y25" s="49"/>
      <c r="Z25" s="49"/>
      <c r="AA25" s="31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3"/>
      <c r="BI25" s="34"/>
      <c r="BJ25" s="35"/>
      <c r="BK25" s="34"/>
      <c r="BL25" s="41"/>
      <c r="BM25" s="36"/>
      <c r="BN25" s="37"/>
      <c r="BO25" s="34"/>
      <c r="BP25" s="34"/>
      <c r="BQ25" s="34"/>
      <c r="BR25" s="205"/>
      <c r="BS25" s="34"/>
      <c r="BT25" s="37"/>
      <c r="BU25" s="35"/>
      <c r="BV25" s="37"/>
      <c r="BW25" s="37"/>
      <c r="BX25" s="34"/>
      <c r="BY25" s="37"/>
      <c r="BZ25" s="37"/>
      <c r="CA25" s="37"/>
      <c r="CB25" s="37"/>
      <c r="CC25" s="37"/>
      <c r="CD25" s="137"/>
      <c r="CE25" s="37"/>
      <c r="CF25" s="37"/>
      <c r="CG25" s="37"/>
    </row>
    <row r="26" spans="1:86" s="138" customFormat="1" ht="30" customHeight="1" thickBot="1">
      <c r="A26" s="146" t="s">
        <v>43</v>
      </c>
      <c r="B26" s="147" t="s">
        <v>44</v>
      </c>
      <c r="C26" s="148" t="s">
        <v>45</v>
      </c>
      <c r="D26" s="149" t="s">
        <v>46</v>
      </c>
      <c r="E26" s="149" t="s">
        <v>47</v>
      </c>
      <c r="F26" s="149" t="s">
        <v>48</v>
      </c>
      <c r="G26" s="149" t="s">
        <v>49</v>
      </c>
      <c r="H26" s="150" t="s">
        <v>50</v>
      </c>
      <c r="I26" s="150" t="s">
        <v>51</v>
      </c>
      <c r="J26" s="151" t="s">
        <v>52</v>
      </c>
      <c r="K26" s="151" t="s">
        <v>53</v>
      </c>
      <c r="L26" s="151" t="s">
        <v>54</v>
      </c>
      <c r="M26" s="151" t="s">
        <v>55</v>
      </c>
      <c r="N26" s="151" t="s">
        <v>56</v>
      </c>
      <c r="O26" s="151" t="s">
        <v>57</v>
      </c>
      <c r="P26" s="150" t="s">
        <v>58</v>
      </c>
      <c r="Q26" s="149" t="s">
        <v>59</v>
      </c>
      <c r="R26" s="152" t="s">
        <v>60</v>
      </c>
      <c r="S26" s="152" t="s">
        <v>61</v>
      </c>
      <c r="T26" s="152" t="s">
        <v>62</v>
      </c>
      <c r="U26" s="152" t="s">
        <v>63</v>
      </c>
      <c r="V26" s="152" t="s">
        <v>64</v>
      </c>
      <c r="W26" s="152" t="s">
        <v>65</v>
      </c>
      <c r="X26" s="153" t="s">
        <v>66</v>
      </c>
      <c r="Y26" s="154" t="s">
        <v>67</v>
      </c>
      <c r="Z26" s="150" t="s">
        <v>68</v>
      </c>
      <c r="AA26" s="150" t="s">
        <v>69</v>
      </c>
      <c r="AB26" s="154" t="s">
        <v>70</v>
      </c>
      <c r="AC26" s="154"/>
      <c r="AD26" s="154" t="s">
        <v>52</v>
      </c>
      <c r="AE26" s="154" t="s">
        <v>71</v>
      </c>
      <c r="AF26" s="154" t="s">
        <v>72</v>
      </c>
      <c r="AG26" s="154" t="s">
        <v>73</v>
      </c>
      <c r="AH26" s="154" t="s">
        <v>74</v>
      </c>
      <c r="AI26" s="154" t="s">
        <v>75</v>
      </c>
      <c r="AJ26" s="155" t="s">
        <v>76</v>
      </c>
      <c r="AK26" s="159" t="s">
        <v>77</v>
      </c>
      <c r="AL26" s="392" t="s">
        <v>391</v>
      </c>
      <c r="AM26" s="159" t="s">
        <v>79</v>
      </c>
      <c r="AN26" s="159" t="s">
        <v>79</v>
      </c>
      <c r="AO26" s="159" t="s">
        <v>80</v>
      </c>
      <c r="AP26" s="159" t="s">
        <v>80</v>
      </c>
      <c r="AQ26" s="159" t="s">
        <v>81</v>
      </c>
      <c r="AR26" s="159" t="s">
        <v>81</v>
      </c>
      <c r="AS26" s="159" t="s">
        <v>82</v>
      </c>
      <c r="AT26" s="159" t="s">
        <v>82</v>
      </c>
      <c r="AU26" s="159" t="s">
        <v>83</v>
      </c>
      <c r="AV26" s="159" t="s">
        <v>83</v>
      </c>
      <c r="AW26" s="159" t="s">
        <v>84</v>
      </c>
      <c r="AX26" s="159" t="s">
        <v>84</v>
      </c>
      <c r="AY26" s="159" t="s">
        <v>85</v>
      </c>
      <c r="AZ26" s="159" t="s">
        <v>85</v>
      </c>
      <c r="BA26" s="159" t="s">
        <v>146</v>
      </c>
      <c r="BB26" s="159" t="s">
        <v>146</v>
      </c>
      <c r="BC26" s="159" t="s">
        <v>147</v>
      </c>
      <c r="BD26" s="159" t="s">
        <v>147</v>
      </c>
      <c r="BE26" s="159" t="s">
        <v>148</v>
      </c>
      <c r="BF26" s="159" t="s">
        <v>148</v>
      </c>
      <c r="BG26" s="159" t="s">
        <v>88</v>
      </c>
      <c r="BH26" s="157" t="s">
        <v>89</v>
      </c>
      <c r="BI26" s="158" t="s">
        <v>90</v>
      </c>
      <c r="BJ26" s="159" t="s">
        <v>91</v>
      </c>
      <c r="BK26" s="160" t="s">
        <v>92</v>
      </c>
      <c r="BL26" s="161" t="s">
        <v>93</v>
      </c>
      <c r="BM26" s="162" t="s">
        <v>94</v>
      </c>
      <c r="BN26" s="163" t="s">
        <v>95</v>
      </c>
      <c r="BO26" s="162" t="s">
        <v>96</v>
      </c>
      <c r="BP26" s="162" t="s">
        <v>97</v>
      </c>
      <c r="BQ26" s="162" t="s">
        <v>98</v>
      </c>
      <c r="BR26" s="206" t="s">
        <v>99</v>
      </c>
      <c r="BS26" s="162" t="s">
        <v>100</v>
      </c>
      <c r="BT26" s="162" t="s">
        <v>8</v>
      </c>
      <c r="BU26" s="154" t="s">
        <v>101</v>
      </c>
      <c r="BV26" s="151" t="s">
        <v>102</v>
      </c>
      <c r="BW26" s="150" t="s">
        <v>103</v>
      </c>
      <c r="BX26" s="162" t="s">
        <v>104</v>
      </c>
      <c r="BY26" s="162" t="s">
        <v>105</v>
      </c>
      <c r="BZ26" s="150" t="s">
        <v>106</v>
      </c>
      <c r="CA26" s="150"/>
      <c r="CB26" s="150"/>
      <c r="CC26" s="154" t="s">
        <v>107</v>
      </c>
      <c r="CD26" s="150" t="s">
        <v>108</v>
      </c>
      <c r="CE26" s="154" t="s">
        <v>109</v>
      </c>
      <c r="CF26" s="164" t="s">
        <v>151</v>
      </c>
      <c r="CG26" s="165"/>
    </row>
    <row r="27" spans="1:86" s="138" customFormat="1" ht="15" customHeight="1">
      <c r="A27" s="48" t="s">
        <v>349</v>
      </c>
      <c r="B27" s="29" t="s">
        <v>111</v>
      </c>
      <c r="C27" s="168">
        <v>43009.291666666664</v>
      </c>
      <c r="D27" s="48" t="s">
        <v>179</v>
      </c>
      <c r="E27" s="29" t="s">
        <v>113</v>
      </c>
      <c r="F27" s="48" t="s">
        <v>114</v>
      </c>
      <c r="G27" s="48" t="s">
        <v>115</v>
      </c>
      <c r="H27" s="48" t="s">
        <v>116</v>
      </c>
      <c r="I27" s="48" t="s">
        <v>116</v>
      </c>
      <c r="J27" s="170" t="s">
        <v>116</v>
      </c>
      <c r="K27" s="170" t="b">
        <v>0</v>
      </c>
      <c r="L27" s="170" t="s">
        <v>116</v>
      </c>
      <c r="M27" s="170" t="s">
        <v>116</v>
      </c>
      <c r="N27" s="170" t="s">
        <v>116</v>
      </c>
      <c r="O27" s="170" t="s">
        <v>118</v>
      </c>
      <c r="P27" s="48" t="s">
        <v>350</v>
      </c>
      <c r="Q27" s="48" t="s">
        <v>351</v>
      </c>
      <c r="R27" s="170" t="s">
        <v>116</v>
      </c>
      <c r="S27" s="170" t="s">
        <v>116</v>
      </c>
      <c r="T27" s="170" t="s">
        <v>116</v>
      </c>
      <c r="U27" s="170" t="s">
        <v>116</v>
      </c>
      <c r="V27" s="170" t="s">
        <v>116</v>
      </c>
      <c r="W27" s="170" t="s">
        <v>116</v>
      </c>
      <c r="X27" s="173" t="s">
        <v>352</v>
      </c>
      <c r="Y27" s="167">
        <v>154.75</v>
      </c>
      <c r="Z27" s="48" t="s">
        <v>123</v>
      </c>
      <c r="AA27" s="48">
        <v>1</v>
      </c>
      <c r="AB27" s="174">
        <v>0</v>
      </c>
      <c r="AC27" s="174"/>
      <c r="AD27" s="174">
        <v>0</v>
      </c>
      <c r="AE27" s="174">
        <v>0</v>
      </c>
      <c r="AF27" s="174">
        <v>0</v>
      </c>
      <c r="AG27" s="174">
        <v>0</v>
      </c>
      <c r="AH27" s="174">
        <v>0</v>
      </c>
      <c r="AI27" s="174">
        <v>0</v>
      </c>
      <c r="AJ27" s="174">
        <v>0.68</v>
      </c>
      <c r="AK27" s="174">
        <v>0</v>
      </c>
      <c r="AL27" s="174">
        <v>0</v>
      </c>
      <c r="AM27" s="174">
        <v>0</v>
      </c>
      <c r="AN27" s="174">
        <v>0</v>
      </c>
      <c r="AO27" s="174">
        <v>0</v>
      </c>
      <c r="AP27" s="174">
        <v>0</v>
      </c>
      <c r="AQ27" s="174">
        <v>0</v>
      </c>
      <c r="AR27" s="174">
        <v>0</v>
      </c>
      <c r="AS27" s="174">
        <v>0</v>
      </c>
      <c r="AT27" s="174">
        <v>0</v>
      </c>
      <c r="AU27" s="174">
        <v>0</v>
      </c>
      <c r="AV27" s="174">
        <v>0</v>
      </c>
      <c r="AW27" s="174">
        <v>0</v>
      </c>
      <c r="AX27" s="174">
        <v>0</v>
      </c>
      <c r="AY27" s="174">
        <v>0</v>
      </c>
      <c r="AZ27" s="174">
        <v>0</v>
      </c>
      <c r="BA27" s="174">
        <v>0</v>
      </c>
      <c r="BB27" s="174">
        <v>0</v>
      </c>
      <c r="BC27" s="174">
        <v>0</v>
      </c>
      <c r="BD27" s="174">
        <v>0</v>
      </c>
      <c r="BE27" s="174">
        <v>0</v>
      </c>
      <c r="BF27" s="174">
        <v>0</v>
      </c>
      <c r="BG27" s="174"/>
      <c r="BH27" s="175" t="s">
        <v>405</v>
      </c>
      <c r="BI27" s="166">
        <v>46022</v>
      </c>
      <c r="BJ27" s="167">
        <v>4</v>
      </c>
      <c r="BK27" s="168"/>
      <c r="BL27" s="56"/>
      <c r="BM27" s="168" t="s">
        <v>350</v>
      </c>
      <c r="BN27" s="169" t="s">
        <v>386</v>
      </c>
      <c r="BO27" s="168"/>
      <c r="BP27" s="168"/>
      <c r="BQ27" s="168"/>
      <c r="BR27" s="207"/>
      <c r="BS27" s="168"/>
      <c r="BT27" s="168"/>
      <c r="BU27" s="167"/>
      <c r="BV27" s="170"/>
      <c r="BW27" s="48"/>
      <c r="BX27" s="168"/>
      <c r="BY27" s="168"/>
      <c r="BZ27" s="48"/>
      <c r="CA27" s="48"/>
      <c r="CB27" s="48"/>
      <c r="CC27" s="167"/>
      <c r="CD27" s="137"/>
      <c r="CE27" s="171"/>
      <c r="CF27" s="172" t="s">
        <v>157</v>
      </c>
      <c r="CG27" s="165"/>
    </row>
    <row r="28" spans="1:86" s="138" customFormat="1" ht="15" customHeight="1">
      <c r="A28" s="48"/>
      <c r="B28" s="29"/>
      <c r="C28" s="168"/>
      <c r="D28" s="48"/>
      <c r="E28" s="29"/>
      <c r="F28" s="48"/>
      <c r="G28" s="48"/>
      <c r="H28" s="48"/>
      <c r="I28" s="48"/>
      <c r="J28" s="170"/>
      <c r="K28" s="170"/>
      <c r="L28" s="170"/>
      <c r="M28" s="170"/>
      <c r="N28" s="170"/>
      <c r="O28" s="170"/>
      <c r="P28" s="48"/>
      <c r="Q28" s="48"/>
      <c r="R28" s="170"/>
      <c r="S28" s="170"/>
      <c r="T28" s="170"/>
      <c r="U28" s="170"/>
      <c r="V28" s="170"/>
      <c r="W28" s="170"/>
      <c r="X28" s="173"/>
      <c r="Y28" s="167"/>
      <c r="Z28" s="48"/>
      <c r="AA28" s="48"/>
      <c r="AB28" s="174"/>
      <c r="AC28" s="174"/>
      <c r="AD28" s="174"/>
      <c r="AE28" s="174"/>
      <c r="AF28" s="174"/>
      <c r="AG28" s="174"/>
      <c r="AH28" s="174"/>
      <c r="AI28" s="174"/>
      <c r="AJ28" s="174"/>
      <c r="AK28" s="174"/>
      <c r="AL28" s="174"/>
      <c r="AM28" s="174"/>
      <c r="AN28" s="174"/>
      <c r="AO28" s="174"/>
      <c r="AP28" s="174"/>
      <c r="AQ28" s="174"/>
      <c r="AR28" s="174"/>
      <c r="AS28" s="174"/>
      <c r="AT28" s="174"/>
      <c r="AU28" s="174"/>
      <c r="AV28" s="174"/>
      <c r="AW28" s="174"/>
      <c r="AX28" s="174"/>
      <c r="AY28" s="174"/>
      <c r="AZ28" s="174"/>
      <c r="BA28" s="174"/>
      <c r="BB28" s="174"/>
      <c r="BC28" s="174"/>
      <c r="BD28" s="174"/>
      <c r="BE28" s="174"/>
      <c r="BF28" s="174"/>
      <c r="BG28" s="174"/>
      <c r="BH28" s="175"/>
      <c r="BI28" s="166"/>
      <c r="BJ28" s="167"/>
      <c r="BK28" s="168"/>
      <c r="BL28" s="56"/>
      <c r="BM28" s="168"/>
      <c r="BN28" s="169"/>
      <c r="BO28" s="168"/>
      <c r="BP28" s="168"/>
      <c r="BQ28" s="168"/>
      <c r="BR28" s="207"/>
      <c r="BS28" s="168"/>
      <c r="BT28" s="168"/>
      <c r="BU28" s="167"/>
      <c r="BV28" s="170"/>
      <c r="BW28" s="48"/>
      <c r="BX28" s="168"/>
      <c r="BY28" s="168"/>
      <c r="BZ28" s="48"/>
      <c r="CA28" s="48"/>
      <c r="CB28" s="48"/>
      <c r="CC28" s="167"/>
      <c r="CD28" s="137"/>
      <c r="CE28" s="171"/>
      <c r="CF28" s="172"/>
      <c r="CG28" s="165"/>
    </row>
    <row r="29" spans="1:86" s="138" customFormat="1" ht="15" customHeight="1">
      <c r="A29" s="29"/>
      <c r="B29" s="29"/>
      <c r="C29" s="31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176"/>
      <c r="R29" s="176"/>
      <c r="S29" s="176"/>
      <c r="T29" s="176"/>
      <c r="U29" s="176"/>
      <c r="V29" s="176"/>
      <c r="W29" s="176"/>
      <c r="X29" s="177" t="s">
        <v>140</v>
      </c>
      <c r="Y29" s="178"/>
      <c r="Z29" s="179"/>
      <c r="AA29" s="179">
        <f t="shared" ref="AA29:AH29" si="0">SUM(AA27:AA27)</f>
        <v>1</v>
      </c>
      <c r="AB29" s="180">
        <f t="shared" si="0"/>
        <v>0</v>
      </c>
      <c r="AC29" s="180">
        <f t="shared" si="0"/>
        <v>0</v>
      </c>
      <c r="AD29" s="180">
        <f t="shared" si="0"/>
        <v>0</v>
      </c>
      <c r="AE29" s="180">
        <f t="shared" si="0"/>
        <v>0</v>
      </c>
      <c r="AF29" s="180">
        <f t="shared" si="0"/>
        <v>0</v>
      </c>
      <c r="AG29" s="180">
        <f t="shared" si="0"/>
        <v>0</v>
      </c>
      <c r="AH29" s="180">
        <f t="shared" si="0"/>
        <v>0</v>
      </c>
      <c r="AI29" s="180">
        <f t="shared" ref="AI29:BG29" si="1">SUM(AI27:AI28)</f>
        <v>0</v>
      </c>
      <c r="AJ29" s="180">
        <f t="shared" si="1"/>
        <v>0.68</v>
      </c>
      <c r="AK29" s="180">
        <f t="shared" si="1"/>
        <v>0</v>
      </c>
      <c r="AL29" s="180">
        <f t="shared" si="1"/>
        <v>0</v>
      </c>
      <c r="AM29" s="180">
        <f t="shared" si="1"/>
        <v>0</v>
      </c>
      <c r="AN29" s="180">
        <f t="shared" si="1"/>
        <v>0</v>
      </c>
      <c r="AO29" s="180">
        <f t="shared" si="1"/>
        <v>0</v>
      </c>
      <c r="AP29" s="180">
        <f t="shared" si="1"/>
        <v>0</v>
      </c>
      <c r="AQ29" s="180">
        <f t="shared" si="1"/>
        <v>0</v>
      </c>
      <c r="AR29" s="180">
        <f t="shared" si="1"/>
        <v>0</v>
      </c>
      <c r="AS29" s="180">
        <f t="shared" si="1"/>
        <v>0</v>
      </c>
      <c r="AT29" s="180">
        <f t="shared" si="1"/>
        <v>0</v>
      </c>
      <c r="AU29" s="180">
        <f t="shared" si="1"/>
        <v>0</v>
      </c>
      <c r="AV29" s="180">
        <f t="shared" si="1"/>
        <v>0</v>
      </c>
      <c r="AW29" s="180">
        <f t="shared" si="1"/>
        <v>0</v>
      </c>
      <c r="AX29" s="180">
        <f t="shared" si="1"/>
        <v>0</v>
      </c>
      <c r="AY29" s="180">
        <f t="shared" si="1"/>
        <v>0</v>
      </c>
      <c r="AZ29" s="180">
        <f t="shared" si="1"/>
        <v>0</v>
      </c>
      <c r="BA29" s="180">
        <f t="shared" si="1"/>
        <v>0</v>
      </c>
      <c r="BB29" s="180">
        <f t="shared" si="1"/>
        <v>0</v>
      </c>
      <c r="BC29" s="180">
        <f t="shared" si="1"/>
        <v>0</v>
      </c>
      <c r="BD29" s="180">
        <f t="shared" si="1"/>
        <v>0</v>
      </c>
      <c r="BE29" s="180">
        <f t="shared" si="1"/>
        <v>0</v>
      </c>
      <c r="BF29" s="180">
        <f t="shared" si="1"/>
        <v>0</v>
      </c>
      <c r="BG29" s="180">
        <f t="shared" si="1"/>
        <v>0</v>
      </c>
      <c r="BH29" s="181"/>
      <c r="BI29" s="31"/>
      <c r="BJ29" s="182"/>
      <c r="BK29" s="31"/>
      <c r="BL29" s="56"/>
      <c r="BM29" s="29"/>
      <c r="BN29" s="183"/>
      <c r="BO29" s="31"/>
      <c r="BP29" s="31"/>
      <c r="BQ29" s="31"/>
      <c r="BR29" s="208"/>
      <c r="BS29" s="31"/>
      <c r="BT29" s="183"/>
      <c r="BU29" s="182"/>
      <c r="BV29" s="183"/>
      <c r="BW29" s="183"/>
      <c r="BX29" s="31"/>
      <c r="BY29" s="183"/>
      <c r="BZ29" s="183"/>
      <c r="CA29" s="183"/>
      <c r="CB29" s="183"/>
      <c r="CC29" s="184"/>
      <c r="CD29" s="137"/>
      <c r="CE29" s="183"/>
      <c r="CF29" s="183"/>
      <c r="CG29" s="183"/>
      <c r="CH29" s="183"/>
    </row>
    <row r="30" spans="1:86" s="138" customFormat="1" ht="15" customHeight="1">
      <c r="A30" s="48"/>
      <c r="B30" s="29"/>
      <c r="C30" s="168"/>
      <c r="D30" s="48"/>
      <c r="E30" s="29"/>
      <c r="F30" s="48"/>
      <c r="G30" s="48"/>
      <c r="H30" s="48"/>
      <c r="I30" s="48"/>
      <c r="J30" s="170"/>
      <c r="K30" s="170"/>
      <c r="L30" s="170"/>
      <c r="M30" s="170"/>
      <c r="N30" s="170"/>
      <c r="O30" s="170"/>
      <c r="P30" s="48"/>
      <c r="Q30" s="48"/>
      <c r="R30" s="170"/>
      <c r="S30" s="170"/>
      <c r="T30" s="170"/>
      <c r="U30" s="170"/>
      <c r="V30" s="170"/>
      <c r="W30" s="170"/>
      <c r="X30" s="173"/>
      <c r="Y30" s="167"/>
      <c r="Z30" s="48"/>
      <c r="AA30" s="48"/>
      <c r="AB30" s="174"/>
      <c r="AC30" s="174"/>
      <c r="AD30" s="174"/>
      <c r="AE30" s="174"/>
      <c r="AF30" s="174"/>
      <c r="AG30" s="174"/>
      <c r="AH30" s="174"/>
      <c r="AI30" s="174"/>
      <c r="AJ30" s="174"/>
      <c r="AK30" s="174"/>
      <c r="AL30" s="174"/>
      <c r="AM30" s="174"/>
      <c r="AN30" s="174"/>
      <c r="AO30" s="174"/>
      <c r="AP30" s="174"/>
      <c r="AQ30" s="174"/>
      <c r="AR30" s="174"/>
      <c r="AS30" s="174"/>
      <c r="AT30" s="174"/>
      <c r="AU30" s="174"/>
      <c r="AV30" s="174"/>
      <c r="AW30" s="174"/>
      <c r="AX30" s="174"/>
      <c r="AY30" s="174"/>
      <c r="AZ30" s="174"/>
      <c r="BA30" s="174"/>
      <c r="BB30" s="174"/>
      <c r="BC30" s="174"/>
      <c r="BD30" s="174"/>
      <c r="BE30" s="174"/>
      <c r="BF30" s="174"/>
      <c r="BG30" s="174"/>
      <c r="BH30" s="175"/>
      <c r="BI30" s="166"/>
      <c r="BJ30" s="167"/>
      <c r="BK30" s="168"/>
      <c r="BL30" s="56"/>
      <c r="BM30" s="168"/>
      <c r="BN30" s="169"/>
      <c r="BO30" s="168"/>
      <c r="BP30" s="168"/>
      <c r="BQ30" s="168"/>
      <c r="BR30" s="207"/>
      <c r="BS30" s="168"/>
      <c r="BT30" s="168"/>
      <c r="BU30" s="167"/>
      <c r="BV30" s="170"/>
      <c r="BW30" s="48"/>
      <c r="BX30" s="168"/>
      <c r="BY30" s="168"/>
      <c r="BZ30" s="48"/>
      <c r="CA30" s="48"/>
      <c r="CB30" s="48"/>
      <c r="CC30" s="167"/>
      <c r="CD30" s="137"/>
      <c r="CE30" s="171"/>
      <c r="CF30" s="172"/>
      <c r="CG30" s="165"/>
    </row>
    <row r="31" spans="1:86" s="138" customFormat="1" ht="15" customHeight="1">
      <c r="A31" s="48"/>
      <c r="B31" s="29"/>
      <c r="C31" s="168"/>
      <c r="D31" s="48"/>
      <c r="E31" s="29"/>
      <c r="F31" s="48"/>
      <c r="G31" s="48"/>
      <c r="H31" s="48"/>
      <c r="I31" s="48"/>
      <c r="J31" s="170"/>
      <c r="K31" s="170"/>
      <c r="L31" s="170"/>
      <c r="M31" s="170"/>
      <c r="N31" s="170"/>
      <c r="O31" s="170"/>
      <c r="P31" s="48"/>
      <c r="Q31" s="48"/>
      <c r="R31" s="170"/>
      <c r="S31" s="170"/>
      <c r="T31" s="170"/>
      <c r="U31" s="170"/>
      <c r="V31" s="170"/>
      <c r="W31" s="170"/>
      <c r="X31" s="173"/>
      <c r="Y31" s="167"/>
      <c r="Z31" s="48"/>
      <c r="AA31" s="48"/>
      <c r="AB31" s="174"/>
      <c r="AC31" s="174"/>
      <c r="AD31" s="174"/>
      <c r="AE31" s="174"/>
      <c r="AF31" s="174"/>
      <c r="AG31" s="174"/>
      <c r="AH31" s="174"/>
      <c r="AI31" s="174"/>
      <c r="AJ31" s="174"/>
      <c r="AK31" s="174"/>
      <c r="AL31" s="174"/>
      <c r="AM31" s="174"/>
      <c r="AN31" s="174"/>
      <c r="AO31" s="174"/>
      <c r="AP31" s="174"/>
      <c r="AQ31" s="174"/>
      <c r="AR31" s="174"/>
      <c r="AS31" s="174"/>
      <c r="AT31" s="174"/>
      <c r="AU31" s="174"/>
      <c r="AV31" s="174"/>
      <c r="AW31" s="174"/>
      <c r="AX31" s="174"/>
      <c r="AY31" s="174"/>
      <c r="AZ31" s="174"/>
      <c r="BA31" s="174"/>
      <c r="BB31" s="174"/>
      <c r="BC31" s="174"/>
      <c r="BD31" s="174"/>
      <c r="BE31" s="174"/>
      <c r="BF31" s="174"/>
      <c r="BG31" s="174"/>
      <c r="BH31" s="175"/>
      <c r="BI31" s="166"/>
      <c r="BJ31" s="167"/>
      <c r="BK31" s="168"/>
      <c r="BL31" s="56"/>
      <c r="BM31" s="168"/>
      <c r="BN31" s="169"/>
      <c r="BO31" s="168"/>
      <c r="BP31" s="168"/>
      <c r="BQ31" s="168"/>
      <c r="BR31" s="207"/>
      <c r="BS31" s="168"/>
      <c r="BT31" s="168"/>
      <c r="BU31" s="167"/>
      <c r="BV31" s="170"/>
      <c r="BW31" s="48"/>
      <c r="BX31" s="168"/>
      <c r="BY31" s="168"/>
      <c r="BZ31" s="48"/>
      <c r="CA31" s="48"/>
      <c r="CB31" s="48"/>
      <c r="CC31" s="167"/>
      <c r="CD31" s="137"/>
      <c r="CE31" s="171"/>
      <c r="CF31" s="172"/>
      <c r="CG31" s="165"/>
    </row>
    <row r="32" spans="1:86" s="138" customFormat="1" ht="15" customHeight="1">
      <c r="A32" s="48"/>
      <c r="B32" s="29"/>
      <c r="C32" s="168"/>
      <c r="D32" s="48"/>
      <c r="E32" s="29"/>
      <c r="F32" s="48"/>
      <c r="G32" s="48"/>
      <c r="H32" s="48"/>
      <c r="I32" s="48"/>
      <c r="J32" s="170"/>
      <c r="K32" s="170"/>
      <c r="L32" s="170"/>
      <c r="M32" s="170"/>
      <c r="N32" s="170"/>
      <c r="O32" s="170"/>
      <c r="P32" s="48"/>
      <c r="Q32" s="48"/>
      <c r="R32" s="170"/>
      <c r="S32" s="170"/>
      <c r="T32" s="170"/>
      <c r="U32" s="170"/>
      <c r="V32" s="170"/>
      <c r="W32" s="170"/>
      <c r="X32" s="173"/>
      <c r="Y32" s="167"/>
      <c r="Z32" s="48"/>
      <c r="AA32" s="48"/>
      <c r="AB32" s="174"/>
      <c r="AC32" s="174"/>
      <c r="AD32" s="174"/>
      <c r="AE32" s="174"/>
      <c r="AF32" s="174"/>
      <c r="AG32" s="174"/>
      <c r="AH32" s="174"/>
      <c r="AI32" s="174"/>
      <c r="AJ32" s="174"/>
      <c r="AK32" s="174"/>
      <c r="AL32" s="174"/>
      <c r="AM32" s="174"/>
      <c r="AN32" s="174"/>
      <c r="AO32" s="174"/>
      <c r="AP32" s="174"/>
      <c r="AQ32" s="174"/>
      <c r="AR32" s="174"/>
      <c r="AS32" s="174"/>
      <c r="AT32" s="174"/>
      <c r="AU32" s="174"/>
      <c r="AV32" s="174"/>
      <c r="AW32" s="174"/>
      <c r="AX32" s="174"/>
      <c r="AY32" s="174"/>
      <c r="AZ32" s="174"/>
      <c r="BA32" s="174"/>
      <c r="BB32" s="174"/>
      <c r="BC32" s="174"/>
      <c r="BD32" s="174"/>
      <c r="BE32" s="174"/>
      <c r="BF32" s="174"/>
      <c r="BG32" s="174"/>
      <c r="BH32" s="175"/>
      <c r="BI32" s="166"/>
      <c r="BJ32" s="167"/>
      <c r="BK32" s="168"/>
      <c r="BL32" s="56"/>
      <c r="BM32" s="168"/>
      <c r="BN32" s="169"/>
      <c r="BO32" s="168"/>
      <c r="BP32" s="168"/>
      <c r="BQ32" s="168"/>
      <c r="BR32" s="207"/>
      <c r="BS32" s="168"/>
      <c r="BT32" s="168"/>
      <c r="BU32" s="167"/>
      <c r="BV32" s="170"/>
      <c r="BW32" s="48"/>
      <c r="BX32" s="168"/>
      <c r="BY32" s="168"/>
      <c r="BZ32" s="48"/>
      <c r="CA32" s="48"/>
      <c r="CB32" s="48"/>
      <c r="CC32" s="167"/>
      <c r="CD32" s="137"/>
      <c r="CE32" s="171"/>
      <c r="CF32" s="172"/>
      <c r="CG32" s="165"/>
    </row>
    <row r="33" spans="1:85" s="138" customFormat="1" ht="15" customHeight="1">
      <c r="A33" s="48"/>
      <c r="B33" s="29"/>
      <c r="C33" s="168"/>
      <c r="D33" s="48"/>
      <c r="E33" s="29"/>
      <c r="F33" s="48"/>
      <c r="G33" s="48"/>
      <c r="H33" s="48"/>
      <c r="I33" s="48"/>
      <c r="J33" s="170"/>
      <c r="K33" s="170"/>
      <c r="L33" s="170"/>
      <c r="M33" s="170"/>
      <c r="N33" s="170"/>
      <c r="O33" s="170"/>
      <c r="P33" s="48"/>
      <c r="Q33" s="48"/>
      <c r="R33" s="170"/>
      <c r="S33" s="170"/>
      <c r="T33" s="170"/>
      <c r="U33" s="170"/>
      <c r="V33" s="170"/>
      <c r="W33" s="170"/>
      <c r="X33" s="173"/>
      <c r="Y33" s="167"/>
      <c r="Z33" s="48"/>
      <c r="AA33" s="48"/>
      <c r="AB33" s="174"/>
      <c r="AC33" s="174"/>
      <c r="AD33" s="174"/>
      <c r="AE33" s="174"/>
      <c r="AF33" s="174"/>
      <c r="AG33" s="174"/>
      <c r="AH33" s="174"/>
      <c r="AI33" s="174"/>
      <c r="AJ33" s="174"/>
      <c r="AK33" s="174"/>
      <c r="AL33" s="174"/>
      <c r="AM33" s="174"/>
      <c r="AN33" s="174"/>
      <c r="AO33" s="174"/>
      <c r="AP33" s="174"/>
      <c r="AQ33" s="174"/>
      <c r="AR33" s="174"/>
      <c r="AS33" s="174"/>
      <c r="AT33" s="174"/>
      <c r="AU33" s="174"/>
      <c r="AV33" s="174"/>
      <c r="AW33" s="174"/>
      <c r="AX33" s="174"/>
      <c r="AY33" s="174"/>
      <c r="AZ33" s="174"/>
      <c r="BA33" s="174"/>
      <c r="BB33" s="174"/>
      <c r="BC33" s="174"/>
      <c r="BD33" s="174"/>
      <c r="BE33" s="174"/>
      <c r="BF33" s="174"/>
      <c r="BG33" s="174"/>
      <c r="BH33" s="175"/>
      <c r="BI33" s="166"/>
      <c r="BJ33" s="167"/>
      <c r="BK33" s="168"/>
      <c r="BL33" s="56"/>
      <c r="BM33" s="168"/>
      <c r="BN33" s="169"/>
      <c r="BO33" s="168"/>
      <c r="BP33" s="168"/>
      <c r="BQ33" s="168"/>
      <c r="BR33" s="207"/>
      <c r="BS33" s="168"/>
      <c r="BT33" s="168"/>
      <c r="BU33" s="167"/>
      <c r="BV33" s="170"/>
      <c r="BW33" s="48"/>
      <c r="BX33" s="168"/>
      <c r="BY33" s="168"/>
      <c r="BZ33" s="48"/>
      <c r="CA33" s="48"/>
      <c r="CB33" s="48"/>
      <c r="CC33" s="167"/>
      <c r="CD33" s="137"/>
      <c r="CE33" s="171"/>
      <c r="CF33" s="172"/>
      <c r="CG33" s="165"/>
    </row>
    <row r="34" spans="1:85" s="138" customFormat="1" ht="15" customHeight="1">
      <c r="A34" s="48"/>
      <c r="B34" s="29"/>
      <c r="C34" s="168"/>
      <c r="D34" s="48"/>
      <c r="E34" s="29"/>
      <c r="F34" s="48"/>
      <c r="G34" s="48"/>
      <c r="H34" s="48"/>
      <c r="I34" s="48"/>
      <c r="J34" s="170"/>
      <c r="K34" s="170"/>
      <c r="L34" s="170"/>
      <c r="M34" s="170"/>
      <c r="N34" s="170"/>
      <c r="O34" s="170"/>
      <c r="P34" s="48"/>
      <c r="Q34" s="48"/>
      <c r="R34" s="170"/>
      <c r="S34" s="170"/>
      <c r="T34" s="170"/>
      <c r="U34" s="170"/>
      <c r="V34" s="170"/>
      <c r="W34" s="170"/>
      <c r="X34" s="173"/>
      <c r="Y34" s="167"/>
      <c r="Z34" s="48"/>
      <c r="AA34" s="48"/>
      <c r="AB34" s="174"/>
      <c r="AC34" s="174"/>
      <c r="AD34" s="174"/>
      <c r="AE34" s="174"/>
      <c r="AF34" s="174"/>
      <c r="AG34" s="174"/>
      <c r="AH34" s="174"/>
      <c r="AI34" s="174"/>
      <c r="AJ34" s="174"/>
      <c r="AK34" s="174"/>
      <c r="AL34" s="174"/>
      <c r="AM34" s="174"/>
      <c r="AN34" s="174"/>
      <c r="AO34" s="174"/>
      <c r="AP34" s="174"/>
      <c r="AQ34" s="174"/>
      <c r="AR34" s="174"/>
      <c r="AS34" s="174"/>
      <c r="AT34" s="174"/>
      <c r="AU34" s="174"/>
      <c r="AV34" s="174"/>
      <c r="AW34" s="174"/>
      <c r="AX34" s="174"/>
      <c r="AY34" s="174"/>
      <c r="AZ34" s="174"/>
      <c r="BA34" s="174"/>
      <c r="BB34" s="174"/>
      <c r="BC34" s="174"/>
      <c r="BD34" s="174"/>
      <c r="BE34" s="174"/>
      <c r="BF34" s="174"/>
      <c r="BG34" s="174"/>
      <c r="BH34" s="175"/>
      <c r="BI34" s="166"/>
      <c r="BJ34" s="167"/>
      <c r="BK34" s="168"/>
      <c r="BL34" s="56"/>
      <c r="BM34" s="168"/>
      <c r="BN34" s="169"/>
      <c r="BO34" s="168"/>
      <c r="BP34" s="168"/>
      <c r="BQ34" s="168"/>
      <c r="BR34" s="207"/>
      <c r="BS34" s="168"/>
      <c r="BT34" s="168"/>
      <c r="BU34" s="167"/>
      <c r="BV34" s="170"/>
      <c r="BW34" s="48"/>
      <c r="BX34" s="168"/>
      <c r="BY34" s="168"/>
      <c r="BZ34" s="48"/>
      <c r="CA34" s="48"/>
      <c r="CB34" s="48"/>
      <c r="CC34" s="167"/>
      <c r="CD34" s="137"/>
      <c r="CE34" s="171"/>
      <c r="CF34" s="172"/>
      <c r="CG34" s="165"/>
    </row>
    <row r="35" spans="1:85" s="138" customFormat="1" ht="15.6">
      <c r="C35" s="185"/>
      <c r="X35" s="186"/>
      <c r="BL35" s="187"/>
    </row>
    <row r="36" spans="1:85" s="138" customFormat="1" ht="15.6">
      <c r="C36" s="185"/>
      <c r="X36" s="186"/>
      <c r="BL36" s="187"/>
    </row>
    <row r="37" spans="1:85" s="138" customFormat="1" ht="15.6">
      <c r="C37" s="185"/>
      <c r="X37" s="186"/>
      <c r="BL37" s="187"/>
    </row>
    <row r="38" spans="1:85" s="138" customFormat="1" ht="15.6">
      <c r="C38" s="185"/>
      <c r="X38" s="186"/>
      <c r="BL38" s="187"/>
    </row>
  </sheetData>
  <autoFilter ref="A26:CH26" xr:uid="{0B3BE0A8-94D9-4943-B51D-CC52050FCF99}"/>
  <printOptions horizontalCentered="1"/>
  <pageMargins left="0.5" right="0.5" top="0.5" bottom="0.5" header="0.3" footer="0.3"/>
  <pageSetup scale="25" fitToHeight="0" orientation="landscape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BDC2D-8C51-40DB-AA0C-A63C353A33F5}">
  <dimension ref="A1:A4"/>
  <sheetViews>
    <sheetView workbookViewId="0">
      <selection activeCell="M22" sqref="M22"/>
    </sheetView>
  </sheetViews>
  <sheetFormatPr defaultRowHeight="14.45"/>
  <cols>
    <col min="1" max="1" width="13.28515625" customWidth="1"/>
  </cols>
  <sheetData>
    <row r="1" spans="1:1">
      <c r="A1" t="s">
        <v>166</v>
      </c>
    </row>
    <row r="2" spans="1:1">
      <c r="A2" t="s">
        <v>157</v>
      </c>
    </row>
    <row r="3" spans="1:1">
      <c r="A3" t="s">
        <v>406</v>
      </c>
    </row>
    <row r="4" spans="1:1">
      <c r="A4" t="s">
        <v>407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CAE21-8504-42FB-B02D-FD6B2852A395}">
  <dimension ref="A1:D119"/>
  <sheetViews>
    <sheetView workbookViewId="0"/>
  </sheetViews>
  <sheetFormatPr defaultColWidth="9.140625" defaultRowHeight="14.45"/>
  <cols>
    <col min="1" max="1" width="70.140625" bestFit="1" customWidth="1"/>
    <col min="2" max="2" width="77.28515625" bestFit="1" customWidth="1"/>
    <col min="3" max="3" width="13.5703125" bestFit="1" customWidth="1"/>
    <col min="4" max="4" width="41" bestFit="1" customWidth="1"/>
  </cols>
  <sheetData>
    <row r="1" spans="1:4" s="211" customFormat="1">
      <c r="A1" s="211" t="s">
        <v>408</v>
      </c>
      <c r="B1" s="211" t="s">
        <v>409</v>
      </c>
      <c r="C1" s="211" t="s">
        <v>410</v>
      </c>
      <c r="D1" s="211" t="s">
        <v>411</v>
      </c>
    </row>
    <row r="2" spans="1:4">
      <c r="A2" s="38" t="s">
        <v>412</v>
      </c>
      <c r="B2" s="38" t="s">
        <v>412</v>
      </c>
      <c r="C2" s="38" t="s">
        <v>412</v>
      </c>
      <c r="D2" s="38"/>
    </row>
    <row r="3" spans="1:4" ht="15.6">
      <c r="A3" s="17" t="s">
        <v>413</v>
      </c>
      <c r="B3" s="17" t="s">
        <v>413</v>
      </c>
      <c r="C3" s="18" t="s">
        <v>414</v>
      </c>
      <c r="D3" s="19" t="s">
        <v>415</v>
      </c>
    </row>
    <row r="4" spans="1:4" ht="15.6">
      <c r="A4" s="17" t="s">
        <v>416</v>
      </c>
      <c r="B4" s="17" t="s">
        <v>416</v>
      </c>
      <c r="C4" s="18" t="s">
        <v>417</v>
      </c>
      <c r="D4" s="19" t="s">
        <v>415</v>
      </c>
    </row>
    <row r="5" spans="1:4" ht="15.6">
      <c r="A5" s="17" t="s">
        <v>418</v>
      </c>
      <c r="B5" s="17" t="s">
        <v>418</v>
      </c>
      <c r="C5" s="18" t="s">
        <v>419</v>
      </c>
      <c r="D5" s="19" t="s">
        <v>415</v>
      </c>
    </row>
    <row r="6" spans="1:4" ht="15.6">
      <c r="A6" s="17" t="s">
        <v>420</v>
      </c>
      <c r="B6" s="17" t="s">
        <v>420</v>
      </c>
      <c r="C6" s="18" t="s">
        <v>421</v>
      </c>
      <c r="D6" s="19" t="s">
        <v>415</v>
      </c>
    </row>
    <row r="7" spans="1:4" ht="15.6">
      <c r="A7" s="17" t="s">
        <v>422</v>
      </c>
      <c r="B7" s="17" t="s">
        <v>422</v>
      </c>
      <c r="C7" s="18" t="s">
        <v>423</v>
      </c>
      <c r="D7" s="19" t="s">
        <v>424</v>
      </c>
    </row>
    <row r="8" spans="1:4" ht="15.6">
      <c r="A8" s="17" t="s">
        <v>425</v>
      </c>
      <c r="B8" s="17" t="s">
        <v>425</v>
      </c>
      <c r="C8" s="18" t="s">
        <v>425</v>
      </c>
      <c r="D8" s="19" t="s">
        <v>415</v>
      </c>
    </row>
    <row r="9" spans="1:4" ht="15.6">
      <c r="A9" s="17" t="s">
        <v>426</v>
      </c>
      <c r="B9" s="17" t="s">
        <v>426</v>
      </c>
      <c r="C9" s="18" t="s">
        <v>427</v>
      </c>
      <c r="D9" s="19" t="s">
        <v>428</v>
      </c>
    </row>
    <row r="10" spans="1:4" ht="15.6">
      <c r="A10" s="17" t="s">
        <v>429</v>
      </c>
      <c r="B10" s="17" t="s">
        <v>429</v>
      </c>
      <c r="C10" s="18" t="s">
        <v>430</v>
      </c>
      <c r="D10" s="19" t="s">
        <v>431</v>
      </c>
    </row>
    <row r="11" spans="1:4" ht="15.6">
      <c r="A11" s="17" t="s">
        <v>432</v>
      </c>
      <c r="B11" s="17" t="s">
        <v>432</v>
      </c>
      <c r="C11" s="18" t="s">
        <v>433</v>
      </c>
      <c r="D11" s="19" t="s">
        <v>415</v>
      </c>
    </row>
    <row r="12" spans="1:4" ht="15.6">
      <c r="A12" s="17" t="s">
        <v>434</v>
      </c>
      <c r="B12" s="17" t="s">
        <v>434</v>
      </c>
      <c r="C12" s="18" t="s">
        <v>435</v>
      </c>
      <c r="D12" s="19"/>
    </row>
    <row r="13" spans="1:4" ht="15.6">
      <c r="A13" s="17" t="s">
        <v>436</v>
      </c>
      <c r="B13" s="17" t="s">
        <v>436</v>
      </c>
      <c r="C13" s="18" t="s">
        <v>437</v>
      </c>
      <c r="D13" s="19" t="s">
        <v>438</v>
      </c>
    </row>
    <row r="14" spans="1:4" ht="15.6">
      <c r="A14" s="17" t="s">
        <v>439</v>
      </c>
      <c r="B14" s="17" t="s">
        <v>440</v>
      </c>
      <c r="C14" s="18" t="s">
        <v>441</v>
      </c>
      <c r="D14" s="19" t="s">
        <v>415</v>
      </c>
    </row>
    <row r="15" spans="1:4" ht="15.6">
      <c r="A15" s="17" t="s">
        <v>442</v>
      </c>
      <c r="B15" s="17" t="s">
        <v>442</v>
      </c>
      <c r="C15" s="18" t="s">
        <v>443</v>
      </c>
      <c r="D15" s="19" t="s">
        <v>415</v>
      </c>
    </row>
    <row r="16" spans="1:4" ht="15.6">
      <c r="A16" s="17" t="s">
        <v>444</v>
      </c>
      <c r="B16" s="17" t="s">
        <v>444</v>
      </c>
      <c r="C16" s="18" t="s">
        <v>445</v>
      </c>
      <c r="D16" s="19"/>
    </row>
    <row r="17" spans="1:4" ht="15.6">
      <c r="A17" s="17" t="s">
        <v>446</v>
      </c>
      <c r="B17" s="17" t="s">
        <v>446</v>
      </c>
      <c r="C17" s="18" t="s">
        <v>447</v>
      </c>
      <c r="D17" s="19"/>
    </row>
    <row r="18" spans="1:4" ht="15.6">
      <c r="A18" s="17" t="s">
        <v>448</v>
      </c>
      <c r="B18" s="17" t="s">
        <v>448</v>
      </c>
      <c r="C18" s="18" t="s">
        <v>449</v>
      </c>
      <c r="D18" s="19"/>
    </row>
    <row r="19" spans="1:4" ht="15.6">
      <c r="A19" s="17" t="s">
        <v>450</v>
      </c>
      <c r="B19" s="17" t="s">
        <v>450</v>
      </c>
      <c r="C19" s="18" t="s">
        <v>451</v>
      </c>
      <c r="D19" s="19"/>
    </row>
    <row r="20" spans="1:4" ht="15.6">
      <c r="A20" s="17" t="s">
        <v>452</v>
      </c>
      <c r="B20" s="17" t="s">
        <v>452</v>
      </c>
      <c r="C20" s="18" t="s">
        <v>453</v>
      </c>
      <c r="D20" s="19"/>
    </row>
    <row r="21" spans="1:4" ht="15.6">
      <c r="A21" s="17" t="s">
        <v>454</v>
      </c>
      <c r="B21" s="17" t="s">
        <v>454</v>
      </c>
      <c r="C21" s="18" t="s">
        <v>455</v>
      </c>
      <c r="D21" s="19" t="s">
        <v>415</v>
      </c>
    </row>
    <row r="22" spans="1:4" ht="15.6">
      <c r="A22" s="17" t="s">
        <v>456</v>
      </c>
      <c r="B22" s="17" t="s">
        <v>456</v>
      </c>
      <c r="C22" s="18" t="s">
        <v>457</v>
      </c>
      <c r="D22" s="19" t="s">
        <v>458</v>
      </c>
    </row>
    <row r="23" spans="1:4" ht="15.6">
      <c r="A23" s="17" t="s">
        <v>459</v>
      </c>
      <c r="B23" s="17" t="s">
        <v>460</v>
      </c>
      <c r="C23" s="18" t="s">
        <v>461</v>
      </c>
      <c r="D23" s="19" t="s">
        <v>462</v>
      </c>
    </row>
    <row r="24" spans="1:4" ht="15.6">
      <c r="A24" s="17" t="s">
        <v>463</v>
      </c>
      <c r="B24" s="17" t="s">
        <v>463</v>
      </c>
      <c r="C24" s="18" t="s">
        <v>464</v>
      </c>
      <c r="D24" s="19" t="s">
        <v>438</v>
      </c>
    </row>
    <row r="25" spans="1:4" ht="16.149999999999999" thickBot="1">
      <c r="A25" s="20" t="s">
        <v>465</v>
      </c>
      <c r="B25" s="20" t="s">
        <v>465</v>
      </c>
      <c r="C25" s="21" t="s">
        <v>466</v>
      </c>
      <c r="D25" s="22" t="s">
        <v>415</v>
      </c>
    </row>
    <row r="26" spans="1:4" ht="15.6">
      <c r="A26" s="17" t="s">
        <v>467</v>
      </c>
      <c r="B26" s="17" t="s">
        <v>468</v>
      </c>
      <c r="C26" s="18" t="s">
        <v>469</v>
      </c>
      <c r="D26" s="19" t="s">
        <v>415</v>
      </c>
    </row>
    <row r="27" spans="1:4" ht="15.6">
      <c r="A27" s="17" t="s">
        <v>470</v>
      </c>
      <c r="B27" s="17" t="s">
        <v>468</v>
      </c>
      <c r="C27" s="18" t="s">
        <v>471</v>
      </c>
      <c r="D27" s="19" t="s">
        <v>428</v>
      </c>
    </row>
    <row r="28" spans="1:4" ht="15.6">
      <c r="A28" s="17" t="s">
        <v>113</v>
      </c>
      <c r="B28" s="17" t="s">
        <v>113</v>
      </c>
      <c r="C28" s="18" t="s">
        <v>472</v>
      </c>
      <c r="D28" s="19" t="s">
        <v>415</v>
      </c>
    </row>
    <row r="29" spans="1:4" ht="15.6">
      <c r="A29" s="17" t="s">
        <v>473</v>
      </c>
      <c r="B29" s="17" t="s">
        <v>473</v>
      </c>
      <c r="C29" s="18" t="s">
        <v>474</v>
      </c>
      <c r="D29" s="19"/>
    </row>
    <row r="30" spans="1:4" ht="15.6">
      <c r="A30" s="17" t="s">
        <v>475</v>
      </c>
      <c r="B30" s="17" t="s">
        <v>476</v>
      </c>
      <c r="C30" s="18" t="s">
        <v>477</v>
      </c>
      <c r="D30" s="19" t="s">
        <v>478</v>
      </c>
    </row>
    <row r="31" spans="1:4" ht="15.6">
      <c r="A31" s="17" t="s">
        <v>479</v>
      </c>
      <c r="B31" s="17" t="s">
        <v>479</v>
      </c>
      <c r="C31" s="18" t="s">
        <v>480</v>
      </c>
      <c r="D31" s="19" t="s">
        <v>415</v>
      </c>
    </row>
    <row r="32" spans="1:4" ht="15.6">
      <c r="A32" s="17" t="s">
        <v>481</v>
      </c>
      <c r="B32" s="17" t="s">
        <v>481</v>
      </c>
      <c r="C32" s="18" t="s">
        <v>482</v>
      </c>
      <c r="D32" s="19" t="s">
        <v>483</v>
      </c>
    </row>
    <row r="33" spans="1:4" ht="15.6">
      <c r="A33" s="17" t="s">
        <v>484</v>
      </c>
      <c r="B33" s="17" t="s">
        <v>484</v>
      </c>
      <c r="C33" s="18" t="s">
        <v>485</v>
      </c>
      <c r="D33" s="19"/>
    </row>
    <row r="34" spans="1:4" ht="15.6">
      <c r="A34" s="17" t="s">
        <v>486</v>
      </c>
      <c r="B34" s="17" t="s">
        <v>487</v>
      </c>
      <c r="C34" s="18" t="s">
        <v>488</v>
      </c>
      <c r="D34" s="19" t="s">
        <v>462</v>
      </c>
    </row>
    <row r="35" spans="1:4" ht="15.6">
      <c r="A35" s="17" t="s">
        <v>489</v>
      </c>
      <c r="B35" s="17" t="s">
        <v>489</v>
      </c>
      <c r="C35" s="18" t="s">
        <v>490</v>
      </c>
      <c r="D35" s="19" t="s">
        <v>415</v>
      </c>
    </row>
    <row r="36" spans="1:4" ht="15.6">
      <c r="A36" s="17" t="s">
        <v>491</v>
      </c>
      <c r="B36" s="17" t="s">
        <v>492</v>
      </c>
      <c r="C36" s="18" t="s">
        <v>493</v>
      </c>
      <c r="D36" s="19" t="s">
        <v>415</v>
      </c>
    </row>
    <row r="37" spans="1:4" ht="15.6">
      <c r="A37" s="17" t="s">
        <v>494</v>
      </c>
      <c r="B37" s="17" t="s">
        <v>494</v>
      </c>
      <c r="C37" s="18" t="s">
        <v>495</v>
      </c>
      <c r="D37" s="19" t="s">
        <v>478</v>
      </c>
    </row>
    <row r="38" spans="1:4" ht="15.6">
      <c r="A38" s="17" t="s">
        <v>496</v>
      </c>
      <c r="B38" s="17" t="s">
        <v>496</v>
      </c>
      <c r="C38" s="18" t="s">
        <v>497</v>
      </c>
      <c r="D38" s="19" t="s">
        <v>415</v>
      </c>
    </row>
    <row r="39" spans="1:4" ht="15.6">
      <c r="A39" s="17" t="s">
        <v>498</v>
      </c>
      <c r="B39" s="17" t="s">
        <v>498</v>
      </c>
      <c r="C39" s="18" t="s">
        <v>499</v>
      </c>
      <c r="D39" s="19" t="s">
        <v>415</v>
      </c>
    </row>
    <row r="40" spans="1:4" ht="15.6">
      <c r="A40" s="17" t="s">
        <v>500</v>
      </c>
      <c r="B40" s="17" t="s">
        <v>500</v>
      </c>
      <c r="C40" s="18" t="s">
        <v>501</v>
      </c>
      <c r="D40" s="19" t="s">
        <v>438</v>
      </c>
    </row>
    <row r="41" spans="1:4" ht="15.6">
      <c r="A41" s="17" t="s">
        <v>502</v>
      </c>
      <c r="B41" s="17" t="s">
        <v>502</v>
      </c>
      <c r="C41" s="18" t="s">
        <v>503</v>
      </c>
      <c r="D41" s="19" t="s">
        <v>431</v>
      </c>
    </row>
    <row r="42" spans="1:4" ht="15.6">
      <c r="A42" s="17" t="s">
        <v>504</v>
      </c>
      <c r="B42" s="17" t="s">
        <v>504</v>
      </c>
      <c r="C42" s="18" t="s">
        <v>505</v>
      </c>
      <c r="D42" s="19" t="s">
        <v>415</v>
      </c>
    </row>
    <row r="43" spans="1:4" ht="15.6">
      <c r="A43" s="17" t="s">
        <v>506</v>
      </c>
      <c r="B43" s="17" t="s">
        <v>506</v>
      </c>
      <c r="C43" s="18" t="s">
        <v>507</v>
      </c>
      <c r="D43" s="19" t="s">
        <v>415</v>
      </c>
    </row>
    <row r="44" spans="1:4" ht="16.149999999999999" thickBot="1">
      <c r="A44" s="20" t="s">
        <v>508</v>
      </c>
      <c r="B44" s="20" t="s">
        <v>509</v>
      </c>
      <c r="C44" s="21" t="s">
        <v>510</v>
      </c>
      <c r="D44" s="22" t="s">
        <v>415</v>
      </c>
    </row>
    <row r="45" spans="1:4" ht="15.6">
      <c r="A45" s="17" t="s">
        <v>511</v>
      </c>
      <c r="B45" s="17" t="s">
        <v>511</v>
      </c>
      <c r="C45" s="18" t="s">
        <v>512</v>
      </c>
      <c r="D45" s="19" t="s">
        <v>415</v>
      </c>
    </row>
    <row r="46" spans="1:4" ht="15.6">
      <c r="A46" s="17" t="s">
        <v>513</v>
      </c>
      <c r="B46" s="17" t="s">
        <v>513</v>
      </c>
      <c r="C46" s="18" t="s">
        <v>514</v>
      </c>
      <c r="D46" s="19" t="s">
        <v>415</v>
      </c>
    </row>
    <row r="47" spans="1:4" ht="15.6">
      <c r="A47" s="17" t="s">
        <v>515</v>
      </c>
      <c r="B47" s="17" t="s">
        <v>515</v>
      </c>
      <c r="C47" s="18" t="s">
        <v>516</v>
      </c>
      <c r="D47" s="19" t="s">
        <v>415</v>
      </c>
    </row>
    <row r="48" spans="1:4" ht="15.6">
      <c r="A48" s="17" t="s">
        <v>517</v>
      </c>
      <c r="B48" s="17" t="s">
        <v>518</v>
      </c>
      <c r="C48" s="18" t="s">
        <v>519</v>
      </c>
      <c r="D48" s="19" t="s">
        <v>415</v>
      </c>
    </row>
    <row r="49" spans="1:4" ht="15.6">
      <c r="A49" s="17" t="s">
        <v>520</v>
      </c>
      <c r="B49" s="17" t="s">
        <v>520</v>
      </c>
      <c r="C49" s="18" t="s">
        <v>521</v>
      </c>
      <c r="D49" s="19"/>
    </row>
    <row r="50" spans="1:4" ht="15.6">
      <c r="A50" s="17" t="s">
        <v>522</v>
      </c>
      <c r="B50" s="17" t="s">
        <v>523</v>
      </c>
      <c r="C50" s="18" t="s">
        <v>524</v>
      </c>
      <c r="D50" s="19" t="s">
        <v>415</v>
      </c>
    </row>
    <row r="51" spans="1:4" ht="15.6">
      <c r="A51" s="17" t="s">
        <v>525</v>
      </c>
      <c r="B51" s="17" t="s">
        <v>525</v>
      </c>
      <c r="C51" s="18" t="s">
        <v>526</v>
      </c>
      <c r="D51" s="19" t="s">
        <v>478</v>
      </c>
    </row>
    <row r="52" spans="1:4" ht="15.6">
      <c r="A52" s="17" t="s">
        <v>527</v>
      </c>
      <c r="B52" s="17" t="s">
        <v>527</v>
      </c>
      <c r="C52" s="18" t="s">
        <v>528</v>
      </c>
      <c r="D52" s="19"/>
    </row>
    <row r="53" spans="1:4" ht="15.6">
      <c r="A53" s="17" t="s">
        <v>529</v>
      </c>
      <c r="B53" s="17" t="s">
        <v>530</v>
      </c>
      <c r="C53" s="18" t="s">
        <v>531</v>
      </c>
      <c r="D53" s="19" t="s">
        <v>428</v>
      </c>
    </row>
    <row r="54" spans="1:4" ht="15.6">
      <c r="A54" s="17" t="s">
        <v>532</v>
      </c>
      <c r="B54" s="17" t="s">
        <v>532</v>
      </c>
      <c r="C54" s="18" t="s">
        <v>533</v>
      </c>
      <c r="D54" s="19" t="s">
        <v>415</v>
      </c>
    </row>
    <row r="55" spans="1:4" ht="15.6">
      <c r="A55" s="17" t="s">
        <v>534</v>
      </c>
      <c r="B55" s="17" t="s">
        <v>535</v>
      </c>
      <c r="C55" s="18" t="s">
        <v>536</v>
      </c>
      <c r="D55" s="19" t="s">
        <v>537</v>
      </c>
    </row>
    <row r="56" spans="1:4" ht="15.6">
      <c r="A56" s="17" t="s">
        <v>538</v>
      </c>
      <c r="B56" s="17" t="s">
        <v>539</v>
      </c>
      <c r="C56" s="18" t="s">
        <v>540</v>
      </c>
      <c r="D56" s="19" t="s">
        <v>415</v>
      </c>
    </row>
    <row r="57" spans="1:4" ht="15.6">
      <c r="A57" s="17" t="s">
        <v>541</v>
      </c>
      <c r="B57" s="17" t="s">
        <v>541</v>
      </c>
      <c r="C57" s="18" t="s">
        <v>542</v>
      </c>
      <c r="D57" s="19" t="s">
        <v>438</v>
      </c>
    </row>
    <row r="58" spans="1:4" ht="15.6">
      <c r="A58" s="17" t="s">
        <v>543</v>
      </c>
      <c r="B58" s="17" t="s">
        <v>543</v>
      </c>
      <c r="C58" s="18" t="s">
        <v>544</v>
      </c>
      <c r="D58" s="19"/>
    </row>
    <row r="59" spans="1:4" ht="15.6">
      <c r="A59" s="17" t="s">
        <v>545</v>
      </c>
      <c r="B59" s="17" t="s">
        <v>545</v>
      </c>
      <c r="C59" s="18" t="s">
        <v>546</v>
      </c>
      <c r="D59" s="19"/>
    </row>
    <row r="60" spans="1:4" ht="15.6">
      <c r="A60" s="17" t="s">
        <v>547</v>
      </c>
      <c r="B60" s="17" t="s">
        <v>548</v>
      </c>
      <c r="C60" s="18" t="s">
        <v>549</v>
      </c>
      <c r="D60" s="19" t="s">
        <v>415</v>
      </c>
    </row>
    <row r="61" spans="1:4" ht="15.6">
      <c r="A61" s="17" t="s">
        <v>550</v>
      </c>
      <c r="B61" s="17" t="s">
        <v>550</v>
      </c>
      <c r="C61" s="18" t="s">
        <v>551</v>
      </c>
      <c r="D61" s="19" t="s">
        <v>552</v>
      </c>
    </row>
    <row r="62" spans="1:4" ht="15.6">
      <c r="A62" s="17" t="s">
        <v>553</v>
      </c>
      <c r="B62" s="17" t="s">
        <v>553</v>
      </c>
      <c r="C62" s="18" t="s">
        <v>554</v>
      </c>
      <c r="D62" s="19"/>
    </row>
    <row r="63" spans="1:4" ht="15.6">
      <c r="A63" s="17" t="s">
        <v>555</v>
      </c>
      <c r="B63" s="17" t="s">
        <v>555</v>
      </c>
      <c r="C63" s="18" t="s">
        <v>556</v>
      </c>
      <c r="D63" s="19" t="s">
        <v>415</v>
      </c>
    </row>
    <row r="64" spans="1:4" ht="15.6">
      <c r="A64" s="17" t="s">
        <v>557</v>
      </c>
      <c r="B64" s="17" t="s">
        <v>558</v>
      </c>
      <c r="C64" s="18" t="s">
        <v>559</v>
      </c>
      <c r="D64" s="19" t="s">
        <v>415</v>
      </c>
    </row>
    <row r="65" spans="1:4" ht="15.6">
      <c r="A65" s="17" t="s">
        <v>560</v>
      </c>
      <c r="B65" s="17" t="s">
        <v>560</v>
      </c>
      <c r="C65" s="18" t="s">
        <v>561</v>
      </c>
      <c r="D65" s="19" t="s">
        <v>431</v>
      </c>
    </row>
    <row r="66" spans="1:4" ht="15.6">
      <c r="A66" s="17" t="s">
        <v>562</v>
      </c>
      <c r="B66" s="17" t="s">
        <v>563</v>
      </c>
      <c r="C66" s="18" t="s">
        <v>564</v>
      </c>
      <c r="D66" s="19" t="s">
        <v>462</v>
      </c>
    </row>
    <row r="67" spans="1:4" ht="15.6">
      <c r="A67" s="17" t="s">
        <v>565</v>
      </c>
      <c r="B67" s="17" t="s">
        <v>565</v>
      </c>
      <c r="C67" s="18" t="s">
        <v>566</v>
      </c>
      <c r="D67" s="19" t="s">
        <v>415</v>
      </c>
    </row>
    <row r="68" spans="1:4" ht="15.6">
      <c r="A68" s="17" t="s">
        <v>567</v>
      </c>
      <c r="B68" s="17" t="s">
        <v>567</v>
      </c>
      <c r="C68" s="18" t="s">
        <v>568</v>
      </c>
      <c r="D68" s="19" t="s">
        <v>431</v>
      </c>
    </row>
    <row r="69" spans="1:4" ht="15.6">
      <c r="A69" s="17" t="s">
        <v>569</v>
      </c>
      <c r="B69" s="17" t="s">
        <v>569</v>
      </c>
      <c r="C69" s="18" t="s">
        <v>570</v>
      </c>
      <c r="D69" s="19"/>
    </row>
    <row r="70" spans="1:4" ht="15.6">
      <c r="A70" s="17" t="s">
        <v>571</v>
      </c>
      <c r="B70" s="17" t="s">
        <v>571</v>
      </c>
      <c r="C70" s="18" t="s">
        <v>572</v>
      </c>
      <c r="D70" s="19" t="s">
        <v>415</v>
      </c>
    </row>
    <row r="71" spans="1:4" ht="15.6">
      <c r="A71" s="17" t="s">
        <v>573</v>
      </c>
      <c r="B71" s="17" t="s">
        <v>573</v>
      </c>
      <c r="C71" s="18" t="s">
        <v>574</v>
      </c>
      <c r="D71" s="19"/>
    </row>
    <row r="72" spans="1:4" ht="15.6">
      <c r="A72" s="17" t="s">
        <v>575</v>
      </c>
      <c r="B72" s="17" t="s">
        <v>575</v>
      </c>
      <c r="C72" s="18" t="s">
        <v>576</v>
      </c>
      <c r="D72" s="19"/>
    </row>
    <row r="73" spans="1:4" ht="15.6">
      <c r="A73" s="17" t="s">
        <v>577</v>
      </c>
      <c r="B73" s="17" t="s">
        <v>577</v>
      </c>
      <c r="C73" s="18" t="s">
        <v>578</v>
      </c>
      <c r="D73" s="19" t="s">
        <v>428</v>
      </c>
    </row>
    <row r="74" spans="1:4" ht="15.6">
      <c r="A74" s="17" t="s">
        <v>579</v>
      </c>
      <c r="B74" s="17" t="s">
        <v>579</v>
      </c>
      <c r="C74" s="18" t="s">
        <v>580</v>
      </c>
      <c r="D74" s="19" t="s">
        <v>438</v>
      </c>
    </row>
    <row r="75" spans="1:4" ht="15.6">
      <c r="A75" s="17" t="s">
        <v>581</v>
      </c>
      <c r="B75" s="17" t="s">
        <v>582</v>
      </c>
      <c r="C75" s="18" t="s">
        <v>583</v>
      </c>
      <c r="D75" s="19" t="s">
        <v>462</v>
      </c>
    </row>
    <row r="76" spans="1:4" ht="15.6">
      <c r="A76" s="17" t="s">
        <v>584</v>
      </c>
      <c r="B76" s="17" t="s">
        <v>584</v>
      </c>
      <c r="C76" s="18" t="s">
        <v>585</v>
      </c>
      <c r="D76" s="19"/>
    </row>
    <row r="77" spans="1:4" ht="15.6">
      <c r="A77" s="17" t="s">
        <v>586</v>
      </c>
      <c r="B77" s="17" t="s">
        <v>587</v>
      </c>
      <c r="C77" s="18" t="s">
        <v>588</v>
      </c>
      <c r="D77" s="19" t="s">
        <v>438</v>
      </c>
    </row>
    <row r="78" spans="1:4" ht="15.6">
      <c r="A78" s="17" t="s">
        <v>589</v>
      </c>
      <c r="B78" s="17" t="s">
        <v>589</v>
      </c>
      <c r="C78" s="18" t="s">
        <v>590</v>
      </c>
      <c r="D78" s="19" t="s">
        <v>591</v>
      </c>
    </row>
    <row r="79" spans="1:4" ht="15.6">
      <c r="A79" s="17" t="s">
        <v>592</v>
      </c>
      <c r="B79" s="17" t="s">
        <v>593</v>
      </c>
      <c r="C79" s="18" t="s">
        <v>594</v>
      </c>
      <c r="D79" s="19" t="s">
        <v>415</v>
      </c>
    </row>
    <row r="80" spans="1:4" ht="15.6">
      <c r="A80" s="17" t="s">
        <v>595</v>
      </c>
      <c r="B80" s="17" t="s">
        <v>595</v>
      </c>
      <c r="C80" s="18"/>
      <c r="D80" s="19"/>
    </row>
    <row r="81" spans="1:4" ht="15.6">
      <c r="A81" s="17" t="s">
        <v>596</v>
      </c>
      <c r="B81" s="17" t="s">
        <v>596</v>
      </c>
      <c r="C81" s="18" t="s">
        <v>597</v>
      </c>
      <c r="D81" s="19" t="s">
        <v>598</v>
      </c>
    </row>
    <row r="82" spans="1:4" ht="15.6">
      <c r="A82" s="17" t="s">
        <v>599</v>
      </c>
      <c r="B82" s="17" t="s">
        <v>599</v>
      </c>
      <c r="C82" s="18" t="s">
        <v>600</v>
      </c>
      <c r="D82" s="19" t="s">
        <v>415</v>
      </c>
    </row>
    <row r="83" spans="1:4" ht="15.6">
      <c r="A83" s="17" t="s">
        <v>601</v>
      </c>
      <c r="B83" s="17" t="s">
        <v>602</v>
      </c>
      <c r="C83" s="18" t="b">
        <v>1</v>
      </c>
      <c r="D83" s="19"/>
    </row>
    <row r="84" spans="1:4" ht="15.6">
      <c r="A84" s="17" t="s">
        <v>603</v>
      </c>
      <c r="B84" s="17" t="s">
        <v>603</v>
      </c>
      <c r="C84" s="18" t="s">
        <v>604</v>
      </c>
      <c r="D84" s="19" t="s">
        <v>415</v>
      </c>
    </row>
    <row r="85" spans="1:4" ht="15.6">
      <c r="A85" s="17" t="s">
        <v>605</v>
      </c>
      <c r="B85" s="17" t="s">
        <v>605</v>
      </c>
      <c r="C85" s="18" t="s">
        <v>606</v>
      </c>
      <c r="D85" s="19" t="s">
        <v>415</v>
      </c>
    </row>
    <row r="86" spans="1:4" ht="15.6">
      <c r="A86" s="17" t="s">
        <v>607</v>
      </c>
      <c r="B86" s="17" t="s">
        <v>607</v>
      </c>
      <c r="C86" s="18" t="s">
        <v>608</v>
      </c>
      <c r="D86" s="19" t="s">
        <v>415</v>
      </c>
    </row>
    <row r="87" spans="1:4" ht="15.6">
      <c r="A87" s="17" t="s">
        <v>609</v>
      </c>
      <c r="B87" s="17" t="s">
        <v>609</v>
      </c>
      <c r="C87" s="18" t="s">
        <v>610</v>
      </c>
      <c r="D87" s="19" t="s">
        <v>415</v>
      </c>
    </row>
    <row r="88" spans="1:4" ht="15.6">
      <c r="A88" s="17" t="s">
        <v>611</v>
      </c>
      <c r="B88" s="17" t="s">
        <v>612</v>
      </c>
      <c r="C88" s="18" t="s">
        <v>613</v>
      </c>
      <c r="D88" s="19" t="s">
        <v>415</v>
      </c>
    </row>
    <row r="89" spans="1:4" ht="16.149999999999999" thickBot="1">
      <c r="A89" s="20" t="s">
        <v>614</v>
      </c>
      <c r="B89" s="20" t="s">
        <v>614</v>
      </c>
      <c r="C89" s="21" t="s">
        <v>615</v>
      </c>
      <c r="D89" s="22" t="s">
        <v>415</v>
      </c>
    </row>
    <row r="90" spans="1:4" ht="15.6">
      <c r="A90" s="239" t="s">
        <v>616</v>
      </c>
      <c r="B90" s="239" t="s">
        <v>616</v>
      </c>
      <c r="C90" s="240" t="s">
        <v>617</v>
      </c>
      <c r="D90" s="241" t="s">
        <v>438</v>
      </c>
    </row>
    <row r="91" spans="1:4" ht="15.6">
      <c r="A91" s="17" t="s">
        <v>618</v>
      </c>
      <c r="B91" s="17" t="s">
        <v>619</v>
      </c>
      <c r="C91" s="18" t="s">
        <v>620</v>
      </c>
      <c r="D91" s="19" t="s">
        <v>462</v>
      </c>
    </row>
    <row r="92" spans="1:4" ht="15.6">
      <c r="A92" s="17" t="s">
        <v>621</v>
      </c>
      <c r="B92" s="17" t="s">
        <v>621</v>
      </c>
      <c r="C92" s="18" t="s">
        <v>622</v>
      </c>
      <c r="D92" s="19" t="s">
        <v>415</v>
      </c>
    </row>
    <row r="93" spans="1:4" ht="15.6">
      <c r="A93" s="17" t="s">
        <v>623</v>
      </c>
      <c r="B93" s="17" t="s">
        <v>623</v>
      </c>
      <c r="C93" s="18" t="s">
        <v>624</v>
      </c>
      <c r="D93" s="19" t="s">
        <v>415</v>
      </c>
    </row>
    <row r="94" spans="1:4" ht="15.6">
      <c r="A94" s="17" t="s">
        <v>625</v>
      </c>
      <c r="B94" s="17" t="s">
        <v>625</v>
      </c>
      <c r="C94" s="18" t="s">
        <v>626</v>
      </c>
      <c r="D94" s="19" t="s">
        <v>415</v>
      </c>
    </row>
    <row r="95" spans="1:4" ht="15.6">
      <c r="A95" s="17" t="s">
        <v>627</v>
      </c>
      <c r="B95" s="17" t="s">
        <v>627</v>
      </c>
      <c r="C95" s="18" t="s">
        <v>628</v>
      </c>
      <c r="D95" s="19" t="s">
        <v>415</v>
      </c>
    </row>
    <row r="96" spans="1:4" ht="15.6">
      <c r="A96" s="17" t="s">
        <v>629</v>
      </c>
      <c r="B96" s="17" t="s">
        <v>629</v>
      </c>
      <c r="C96" s="18" t="s">
        <v>630</v>
      </c>
      <c r="D96" s="19" t="s">
        <v>415</v>
      </c>
    </row>
    <row r="97" spans="1:4" ht="15.6">
      <c r="A97" s="17"/>
      <c r="B97" s="17" t="s">
        <v>631</v>
      </c>
      <c r="C97" s="18" t="s">
        <v>632</v>
      </c>
      <c r="D97" s="19" t="s">
        <v>633</v>
      </c>
    </row>
    <row r="98" spans="1:4" ht="15.6">
      <c r="A98" s="17"/>
      <c r="B98" s="17" t="s">
        <v>634</v>
      </c>
      <c r="C98" s="18" t="s">
        <v>635</v>
      </c>
      <c r="D98" s="19" t="s">
        <v>428</v>
      </c>
    </row>
    <row r="99" spans="1:4" ht="15.6">
      <c r="A99" s="17"/>
      <c r="B99" s="17" t="s">
        <v>636</v>
      </c>
      <c r="C99" s="18" t="s">
        <v>637</v>
      </c>
      <c r="D99" s="19" t="s">
        <v>591</v>
      </c>
    </row>
    <row r="100" spans="1:4" ht="15.6">
      <c r="A100" s="17"/>
      <c r="B100" s="17" t="s">
        <v>638</v>
      </c>
      <c r="C100" s="18" t="s">
        <v>639</v>
      </c>
      <c r="D100" s="19" t="s">
        <v>438</v>
      </c>
    </row>
    <row r="101" spans="1:4" ht="15.6">
      <c r="A101" s="17"/>
      <c r="B101" s="17" t="s">
        <v>640</v>
      </c>
      <c r="C101" s="18" t="s">
        <v>641</v>
      </c>
      <c r="D101" s="19" t="s">
        <v>438</v>
      </c>
    </row>
    <row r="102" spans="1:4" ht="15.6">
      <c r="A102" s="17"/>
      <c r="B102" s="17" t="s">
        <v>642</v>
      </c>
      <c r="C102" s="18" t="s">
        <v>643</v>
      </c>
      <c r="D102" s="19" t="s">
        <v>428</v>
      </c>
    </row>
    <row r="103" spans="1:4" ht="15.6">
      <c r="A103" s="17"/>
      <c r="B103" s="17" t="s">
        <v>644</v>
      </c>
      <c r="C103" s="18" t="s">
        <v>645</v>
      </c>
      <c r="D103" s="19" t="s">
        <v>591</v>
      </c>
    </row>
    <row r="104" spans="1:4" ht="16.149999999999999" thickBot="1">
      <c r="A104" s="20"/>
      <c r="B104" s="20" t="s">
        <v>646</v>
      </c>
      <c r="C104" s="21" t="s">
        <v>647</v>
      </c>
      <c r="D104" s="22" t="s">
        <v>591</v>
      </c>
    </row>
    <row r="105" spans="1:4" ht="16.149999999999999" thickBot="1">
      <c r="A105" s="20"/>
      <c r="B105" s="20"/>
      <c r="C105" s="21"/>
      <c r="D105" s="22"/>
    </row>
    <row r="106" spans="1:4" ht="16.149999999999999" thickBot="1">
      <c r="A106" s="20"/>
      <c r="B106" s="20"/>
      <c r="C106" s="21"/>
      <c r="D106" s="22"/>
    </row>
    <row r="107" spans="1:4" ht="16.149999999999999" thickBot="1">
      <c r="A107" s="20"/>
      <c r="B107" s="20"/>
      <c r="C107" s="21"/>
      <c r="D107" s="22"/>
    </row>
    <row r="108" spans="1:4" ht="16.149999999999999" thickBot="1">
      <c r="A108" s="20"/>
      <c r="B108" s="20"/>
      <c r="C108" s="21"/>
      <c r="D108" s="22"/>
    </row>
    <row r="109" spans="1:4" ht="16.149999999999999" thickBot="1">
      <c r="A109" s="20"/>
      <c r="B109" s="20"/>
      <c r="C109" s="21"/>
      <c r="D109" s="22"/>
    </row>
    <row r="110" spans="1:4" ht="16.149999999999999" thickBot="1">
      <c r="A110" s="20"/>
      <c r="B110" s="20"/>
      <c r="C110" s="21"/>
      <c r="D110" s="22"/>
    </row>
    <row r="111" spans="1:4" ht="16.149999999999999" thickBot="1">
      <c r="A111" s="20"/>
      <c r="B111" s="20"/>
      <c r="C111" s="21"/>
      <c r="D111" s="22"/>
    </row>
    <row r="112" spans="1:4" ht="16.149999999999999" thickBot="1">
      <c r="A112" s="20"/>
      <c r="B112" s="20"/>
      <c r="C112" s="21"/>
      <c r="D112" s="22"/>
    </row>
    <row r="113" spans="1:4" ht="16.149999999999999" thickBot="1">
      <c r="A113" s="20"/>
      <c r="B113" s="20"/>
      <c r="C113" s="21"/>
      <c r="D113" s="22"/>
    </row>
    <row r="114" spans="1:4" ht="16.149999999999999" thickBot="1">
      <c r="A114" s="20"/>
      <c r="B114" s="20"/>
      <c r="C114" s="21"/>
      <c r="D114" s="22"/>
    </row>
    <row r="115" spans="1:4" ht="16.149999999999999" thickBot="1">
      <c r="A115" s="20"/>
      <c r="B115" s="20"/>
      <c r="C115" s="21"/>
      <c r="D115" s="22"/>
    </row>
    <row r="116" spans="1:4" ht="16.149999999999999" thickBot="1">
      <c r="A116" s="20"/>
      <c r="B116" s="20"/>
      <c r="C116" s="21"/>
      <c r="D116" s="22"/>
    </row>
    <row r="117" spans="1:4" ht="16.149999999999999" thickBot="1">
      <c r="A117" s="20"/>
      <c r="B117" s="20"/>
      <c r="C117" s="21"/>
      <c r="D117" s="22"/>
    </row>
    <row r="118" spans="1:4" ht="16.149999999999999" thickBot="1">
      <c r="A118" s="20"/>
      <c r="B118" s="20"/>
      <c r="C118" s="21"/>
      <c r="D118" s="22"/>
    </row>
    <row r="119" spans="1:4" ht="16.149999999999999" thickBot="1">
      <c r="A119" s="20"/>
      <c r="B119" s="20"/>
      <c r="C119" s="21"/>
      <c r="D119" s="22"/>
    </row>
  </sheetData>
  <autoFilter ref="A1:D1" xr:uid="{CEF3AE2D-46A2-4024-A2A9-D2FE32CBD70E}">
    <sortState xmlns:xlrd2="http://schemas.microsoft.com/office/spreadsheetml/2017/richdata2" ref="A2:D91">
      <sortCondition ref="A1"/>
    </sortState>
  </autoFilter>
  <sortState xmlns:xlrd2="http://schemas.microsoft.com/office/spreadsheetml/2017/richdata2" ref="A23:D56">
    <sortCondition ref="A23:A56"/>
  </sortState>
  <pageMargins left="0.7" right="0.7" top="0.75" bottom="0.75" header="0.3" footer="0.3"/>
  <pageSetup orientation="portrait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5901f3a-093f-4077-92c6-789685d5e5e5" xsi:nil="true"/>
    <lcf76f155ced4ddcb4097134ff3c332f xmlns="6b0e16c2-d5ec-4bc5-899f-960b8061fc1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43C1C40936834C83675458C91CC4B4" ma:contentTypeVersion="12" ma:contentTypeDescription="Create a new document." ma:contentTypeScope="" ma:versionID="a62212be8b643389c678836f0d63ae8f">
  <xsd:schema xmlns:xsd="http://www.w3.org/2001/XMLSchema" xmlns:xs="http://www.w3.org/2001/XMLSchema" xmlns:p="http://schemas.microsoft.com/office/2006/metadata/properties" xmlns:ns2="6b0e16c2-d5ec-4bc5-899f-960b8061fc1b" xmlns:ns3="05901f3a-093f-4077-92c6-789685d5e5e5" targetNamespace="http://schemas.microsoft.com/office/2006/metadata/properties" ma:root="true" ma:fieldsID="19865aeac27818d8e560371359a58544" ns2:_="" ns3:_="">
    <xsd:import namespace="6b0e16c2-d5ec-4bc5-899f-960b8061fc1b"/>
    <xsd:import namespace="05901f3a-093f-4077-92c6-789685d5e5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0e16c2-d5ec-4bc5-899f-960b8061fc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d1678fd-64fe-4d15-bd81-45484fa4b2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01f3a-093f-4077-92c6-789685d5e5e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ca46aff-8493-4d72-898a-73db28368c36}" ma:internalName="TaxCatchAll" ma:showField="CatchAllData" ma:web="05901f3a-093f-4077-92c6-789685d5e5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EC8314-E810-4DFA-8114-55AE427D4914}"/>
</file>

<file path=customXml/itemProps2.xml><?xml version="1.0" encoding="utf-8"?>
<ds:datastoreItem xmlns:ds="http://schemas.openxmlformats.org/officeDocument/2006/customXml" ds:itemID="{47CF2F8C-8B12-4501-995E-50211B6EB329}"/>
</file>

<file path=customXml/itemProps3.xml><?xml version="1.0" encoding="utf-8"?>
<ds:datastoreItem xmlns:ds="http://schemas.openxmlformats.org/officeDocument/2006/customXml" ds:itemID="{0E852563-784A-4686-A64F-A4EF22D360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MMeder</dc:creator>
  <cp:keywords/>
  <dc:description/>
  <cp:lastModifiedBy/>
  <cp:revision/>
  <dcterms:created xsi:type="dcterms:W3CDTF">2019-04-27T18:51:07Z</dcterms:created>
  <dcterms:modified xsi:type="dcterms:W3CDTF">2026-04-06T22:49:20Z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0x0101004643C1C40936834C83675458C91CC4B4</vt:lpwstr>
  </property>
  <property fmtid="{D5CDD505-2E9C-101B-9397-08002B2CF9AE}" pid="3" name="Order">
    <vt:r8>51800</vt:r8>
  </property>
  <property fmtid="{D5CDD505-2E9C-101B-9397-08002B2CF9AE}" pid="4" name="MediaServiceImageTags">
    <vt:lpwstr/>
  </property>
</Properties>
</file>